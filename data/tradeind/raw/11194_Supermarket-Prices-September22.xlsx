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Research Unit\Price Data\Data for Publications\2022\September\"/>
    </mc:Choice>
  </mc:AlternateContent>
  <bookViews>
    <workbookView xWindow="0" yWindow="0" windowWidth="19200" windowHeight="7050"/>
  </bookViews>
  <sheets>
    <sheet name="West" sheetId="23" r:id="rId1"/>
    <sheet name="North " sheetId="13" r:id="rId2"/>
    <sheet name="East " sheetId="14" r:id="rId3"/>
    <sheet name="Central " sheetId="15" r:id="rId4"/>
    <sheet name="South " sheetId="16" r:id="rId5"/>
    <sheet name="Tobago" sheetId="22" r:id="rId6"/>
    <sheet name="Sheet1" sheetId="21" state="hidden" r:id="rId7"/>
    <sheet name="Sheet6" sheetId="20" state="hidden" r:id="rId8"/>
  </sheets>
  <definedNames>
    <definedName name="_xlnm._FilterDatabase" localSheetId="3" hidden="1">'Central '!$B$2:$B$170</definedName>
    <definedName name="_xlnm._FilterDatabase" localSheetId="2" hidden="1">'East '!$B$2:$B$198</definedName>
    <definedName name="_xlnm._FilterDatabase" localSheetId="1" hidden="1">'North '!$B$2:$B$142</definedName>
    <definedName name="_xlnm._FilterDatabase" localSheetId="4" hidden="1">'South '!$B$2:$B$141</definedName>
    <definedName name="_xlnm._FilterDatabase" localSheetId="5" hidden="1">Tobago!$B$2:$B$185</definedName>
    <definedName name="_xlnm._FilterDatabase" localSheetId="0" hidden="1">West!$B$2:$B$152</definedName>
  </definedNames>
  <calcPr calcId="162913"/>
</workbook>
</file>

<file path=xl/calcChain.xml><?xml version="1.0" encoding="utf-8"?>
<calcChain xmlns="http://schemas.openxmlformats.org/spreadsheetml/2006/main">
  <c r="K19" i="21" l="1"/>
  <c r="K15" i="21"/>
  <c r="K13" i="21"/>
  <c r="L12" i="21"/>
  <c r="L11" i="21"/>
  <c r="G11" i="21"/>
  <c r="K4" i="21"/>
  <c r="G4" i="21"/>
</calcChain>
</file>

<file path=xl/comments1.xml><?xml version="1.0" encoding="utf-8"?>
<comments xmlns="http://schemas.openxmlformats.org/spreadsheetml/2006/main">
  <authors>
    <author>Author</author>
  </authors>
  <commentList>
    <comment ref="E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chilled</t>
        </r>
      </text>
    </comment>
    <comment ref="E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Superior</t>
        </r>
      </text>
    </comment>
    <comment ref="F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Homestyle</t>
        </r>
      </text>
    </comment>
    <comment ref="E28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>NFFL</t>
        </r>
      </text>
    </comment>
    <comment ref="F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Hope Centre</t>
        </r>
      </text>
    </comment>
    <comment ref="E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 for $19.95</t>
        </r>
      </text>
    </comment>
    <comment ref="F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 for $59.00</t>
        </r>
      </text>
    </comment>
    <comment ref="F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triple protection</t>
        </r>
      </text>
    </comment>
    <comment ref="F9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 x $19.00</t>
        </r>
      </text>
    </comment>
    <comment ref="F1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for $29.00</t>
        </r>
      </text>
    </comment>
    <comment ref="E1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Assorted 2 for $19.95</t>
        </r>
      </text>
    </comment>
    <comment ref="E1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Assorted 2 for $19.95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G20" authorId="0" shapeId="0">
      <text>
        <r>
          <rPr>
            <b/>
            <sz val="9"/>
            <color indexed="81"/>
            <rFont val="Tahoma"/>
            <family val="2"/>
          </rPr>
          <t>Author: Superior</t>
        </r>
      </text>
    </comment>
    <comment ref="H2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Homestyle</t>
        </r>
      </text>
    </comment>
    <comment ref="G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Noo Foods</t>
        </r>
      </text>
    </comment>
    <comment ref="H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Floyd's and Master Farms</t>
        </r>
      </text>
    </comment>
    <comment ref="H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ends 12/09/2022</t>
        </r>
      </text>
    </comment>
    <comment ref="H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ends 30/09/2022</t>
        </r>
      </text>
    </comment>
    <comment ref="H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 for $20.00</t>
        </r>
      </text>
    </comment>
    <comment ref="H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ends 30/09/2022</t>
        </r>
      </text>
    </comment>
    <comment ref="H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Cavity protection</t>
        </r>
      </text>
    </comment>
    <comment ref="H9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 for $20.00</t>
        </r>
      </text>
    </comment>
    <comment ref="H9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x $39.95</t>
        </r>
      </text>
    </comment>
    <comment ref="H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ends 30/09/2022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J36" authorId="0" shapeId="0">
      <text>
        <r>
          <rPr>
            <b/>
            <sz val="11"/>
            <color theme="1"/>
            <rFont val="Calibri"/>
            <family val="2"/>
            <scheme val="minor"/>
          </rPr>
          <t>4 for $20.00</t>
        </r>
      </text>
    </comment>
    <comment ref="I37" authorId="0" shapeId="0">
      <text>
        <r>
          <rPr>
            <b/>
            <sz val="11"/>
            <color theme="1"/>
            <rFont val="Calibri"/>
            <family val="2"/>
            <scheme val="minor"/>
          </rPr>
          <t>6 for $59.00</t>
        </r>
      </text>
    </comment>
    <comment ref="I74" authorId="0" shapeId="0">
      <text>
        <r>
          <rPr>
            <b/>
            <sz val="11"/>
            <color theme="1"/>
            <rFont val="Calibri"/>
            <family val="2"/>
            <scheme val="minor"/>
          </rPr>
          <t>6 for $19.00</t>
        </r>
      </text>
    </comment>
    <comment ref="J94" authorId="0" shapeId="0">
      <text>
        <r>
          <rPr>
            <b/>
            <sz val="11"/>
            <color theme="1"/>
            <rFont val="Calibri"/>
            <family val="2"/>
            <scheme val="minor"/>
          </rPr>
          <t>2 for  $20.50</t>
        </r>
      </text>
    </comment>
    <comment ref="I97" authorId="0" shapeId="0">
      <text>
        <r>
          <rPr>
            <b/>
            <sz val="11"/>
            <color theme="1"/>
            <rFont val="Calibri"/>
            <family val="2"/>
            <scheme val="minor"/>
          </rPr>
          <t>4 for $19.00</t>
        </r>
      </text>
    </comment>
    <comment ref="I107" authorId="0" shapeId="0">
      <text>
        <r>
          <rPr>
            <b/>
            <sz val="11"/>
            <color theme="1"/>
            <rFont val="Calibri"/>
            <family val="2"/>
            <scheme val="minor"/>
          </rPr>
          <t>2 for $29.00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2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 for $23.95</t>
        </r>
      </text>
    </comment>
    <comment ref="M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4 for $20.00</t>
        </r>
      </text>
    </comment>
    <comment ref="N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3 for $18.00</t>
        </r>
      </text>
    </comment>
    <comment ref="O35" authorId="0" shapeId="0">
      <text>
        <r>
          <rPr>
            <b/>
            <sz val="9"/>
            <color indexed="81"/>
            <rFont val="Tahoma"/>
            <family val="2"/>
          </rPr>
          <t>Buy 1 Get 1 Free</t>
        </r>
      </text>
    </comment>
    <comment ref="E36" authorId="0" shapeId="0">
      <text>
        <r>
          <rPr>
            <b/>
            <sz val="9"/>
            <color indexed="81"/>
            <rFont val="Tahoma"/>
            <charset val="1"/>
          </rPr>
          <t>3 for $20.00</t>
        </r>
      </text>
    </comment>
    <comment ref="F36" authorId="0" shapeId="0">
      <text>
        <r>
          <rPr>
            <b/>
            <sz val="9"/>
            <color indexed="81"/>
            <rFont val="Tahoma"/>
            <charset val="1"/>
          </rPr>
          <t>3 for $17.95</t>
        </r>
      </text>
    </comment>
    <comment ref="G3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4 for $19.95</t>
        </r>
      </text>
    </comment>
    <comment ref="O36" authorId="0" shapeId="0">
      <text>
        <r>
          <rPr>
            <b/>
            <sz val="9"/>
            <color indexed="81"/>
            <rFont val="Tahoma"/>
            <family val="2"/>
          </rPr>
          <t>3 for $18.00</t>
        </r>
      </text>
    </comment>
    <comment ref="O37" authorId="0" shapeId="0">
      <text>
        <r>
          <rPr>
            <b/>
            <sz val="9"/>
            <color indexed="81"/>
            <rFont val="Tahoma"/>
            <family val="2"/>
          </rPr>
          <t>2 for $20.00</t>
        </r>
      </text>
    </comment>
    <comment ref="L41" authorId="0" shapeId="0">
      <text>
        <r>
          <rPr>
            <b/>
            <sz val="11"/>
            <color theme="1"/>
            <rFont val="Calibri"/>
            <family val="2"/>
            <scheme val="minor"/>
          </rPr>
          <t>2 for $20.00</t>
        </r>
      </text>
    </comment>
    <comment ref="G4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4 for $19.00</t>
        </r>
      </text>
    </comment>
    <comment ref="E51" authorId="0" shapeId="0">
      <text>
        <r>
          <rPr>
            <b/>
            <sz val="9"/>
            <color indexed="81"/>
            <rFont val="Tahoma"/>
            <family val="2"/>
          </rPr>
          <t>3 for $12.00</t>
        </r>
      </text>
    </comment>
    <comment ref="E53" authorId="0" shapeId="0">
      <text>
        <r>
          <rPr>
            <b/>
            <sz val="9"/>
            <color indexed="81"/>
            <rFont val="Tahoma"/>
            <family val="2"/>
          </rPr>
          <t>2 for $15.00</t>
        </r>
      </text>
    </comment>
    <comment ref="F71" authorId="0" shapeId="0">
      <text>
        <r>
          <rPr>
            <b/>
            <sz val="9"/>
            <color indexed="81"/>
            <rFont val="Tahoma"/>
            <family val="2"/>
          </rPr>
          <t>5 for $8.95</t>
        </r>
      </text>
    </comment>
    <comment ref="E72" authorId="0" shapeId="0">
      <text>
        <r>
          <rPr>
            <b/>
            <sz val="9"/>
            <color indexed="81"/>
            <rFont val="Tahoma"/>
            <family val="2"/>
          </rPr>
          <t>4 for $10.00</t>
        </r>
      </text>
    </comment>
    <comment ref="F72" authorId="0" shapeId="0">
      <text>
        <r>
          <rPr>
            <b/>
            <sz val="9"/>
            <color indexed="81"/>
            <rFont val="Tahoma"/>
            <family val="2"/>
          </rPr>
          <t>5 for $8.95</t>
        </r>
      </text>
    </comment>
    <comment ref="H7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5 lbs for $10</t>
        </r>
      </text>
    </comment>
    <comment ref="E73" authorId="0" shapeId="0">
      <text>
        <r>
          <rPr>
            <b/>
            <sz val="9"/>
            <color indexed="81"/>
            <rFont val="Tahoma"/>
            <family val="2"/>
          </rPr>
          <t>2 for $20.00</t>
        </r>
      </text>
    </comment>
    <comment ref="E79" authorId="0" shapeId="0">
      <text>
        <r>
          <rPr>
            <b/>
            <sz val="9"/>
            <color indexed="81"/>
            <rFont val="Tahoma"/>
            <family val="2"/>
          </rPr>
          <t>3 for $11.00</t>
        </r>
      </text>
    </comment>
    <comment ref="P82" authorId="0" shapeId="0">
      <text>
        <r>
          <rPr>
            <b/>
            <sz val="9"/>
            <color indexed="81"/>
            <rFont val="Tahoma"/>
            <family val="2"/>
          </rPr>
          <t>Buy 1 Get 1 Free</t>
        </r>
      </text>
    </comment>
    <comment ref="O94" authorId="0" shapeId="0">
      <text>
        <r>
          <rPr>
            <b/>
            <sz val="9"/>
            <color indexed="81"/>
            <rFont val="Tahoma"/>
            <family val="2"/>
          </rPr>
          <t>2 for $17.95</t>
        </r>
      </text>
    </comment>
    <comment ref="O95" authorId="0" shapeId="0">
      <text>
        <r>
          <rPr>
            <b/>
            <sz val="9"/>
            <color indexed="81"/>
            <rFont val="Tahoma"/>
            <family val="2"/>
          </rPr>
          <t>2 for $16.00</t>
        </r>
      </text>
    </comment>
    <comment ref="O96" authorId="0" shapeId="0">
      <text>
        <r>
          <rPr>
            <b/>
            <sz val="9"/>
            <color indexed="81"/>
            <rFont val="Tahoma"/>
            <family val="2"/>
          </rPr>
          <t>2 for $16.00</t>
        </r>
      </text>
    </comment>
    <comment ref="F97" authorId="0" shapeId="0">
      <text>
        <r>
          <rPr>
            <b/>
            <sz val="9"/>
            <color indexed="81"/>
            <rFont val="Tahoma"/>
            <family val="2"/>
          </rPr>
          <t>4 for $19.95</t>
        </r>
      </text>
    </comment>
    <comment ref="E108" authorId="0" shapeId="0">
      <text>
        <r>
          <rPr>
            <b/>
            <sz val="9"/>
            <color indexed="81"/>
            <rFont val="Tahoma"/>
            <family val="2"/>
          </rPr>
          <t>5 for $20.00</t>
        </r>
      </text>
    </comment>
    <comment ref="G11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 for $19.95</t>
        </r>
      </text>
    </comment>
    <comment ref="J111" authorId="0" shapeId="0">
      <text>
        <r>
          <rPr>
            <b/>
            <sz val="11"/>
            <color theme="1"/>
            <rFont val="Calibri"/>
            <family val="2"/>
            <scheme val="minor"/>
          </rPr>
          <t>2 for $25.00</t>
        </r>
      </text>
    </comment>
    <comment ref="M1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for $24.00</t>
        </r>
      </text>
    </comment>
    <comment ref="G11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 for $19.95</t>
        </r>
      </text>
    </comment>
    <comment ref="J113" authorId="0" shapeId="0">
      <text>
        <r>
          <rPr>
            <b/>
            <sz val="11"/>
            <color theme="1"/>
            <rFont val="Calibri"/>
            <family val="2"/>
            <scheme val="minor"/>
          </rPr>
          <t>2 for $25.00</t>
        </r>
      </text>
    </comment>
    <comment ref="M1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for $24.00</t>
        </r>
      </text>
    </comment>
    <comment ref="E129" authorId="0" shapeId="0">
      <text>
        <r>
          <rPr>
            <b/>
            <sz val="9"/>
            <color indexed="81"/>
            <rFont val="Tahoma"/>
            <family val="2"/>
          </rPr>
          <t>2 for $16.00</t>
        </r>
      </text>
    </comment>
    <comment ref="E130" authorId="0" shapeId="0">
      <text>
        <r>
          <rPr>
            <b/>
            <sz val="9"/>
            <color indexed="81"/>
            <rFont val="Tahoma"/>
            <family val="2"/>
          </rPr>
          <t>3 for $20.00</t>
        </r>
      </text>
    </comment>
    <comment ref="J130" authorId="0" shapeId="0">
      <text>
        <r>
          <rPr>
            <b/>
            <sz val="11"/>
            <color theme="1"/>
            <rFont val="Calibri"/>
            <family val="2"/>
            <scheme val="minor"/>
          </rPr>
          <t>3 for $25.00</t>
        </r>
      </text>
    </comment>
    <comment ref="E133" authorId="0" shapeId="0">
      <text>
        <r>
          <rPr>
            <b/>
            <sz val="9"/>
            <color indexed="81"/>
            <rFont val="Tahoma"/>
            <charset val="1"/>
          </rPr>
          <t>2 for $20.00</t>
        </r>
      </text>
    </comment>
  </commentList>
</comments>
</file>

<file path=xl/sharedStrings.xml><?xml version="1.0" encoding="utf-8"?>
<sst xmlns="http://schemas.openxmlformats.org/spreadsheetml/2006/main" count="3203" uniqueCount="308">
  <si>
    <t xml:space="preserve">West </t>
  </si>
  <si>
    <t>North</t>
  </si>
  <si>
    <t>Diego Martin</t>
  </si>
  <si>
    <t>Barataria</t>
  </si>
  <si>
    <t>San Juan</t>
  </si>
  <si>
    <t>No.</t>
  </si>
  <si>
    <t>ITEMS</t>
  </si>
  <si>
    <t>BRAND</t>
  </si>
  <si>
    <t>SIZE</t>
  </si>
  <si>
    <t>West Bees Supermarket</t>
  </si>
  <si>
    <t>Food Giant</t>
  </si>
  <si>
    <t>Jumbo Foods</t>
  </si>
  <si>
    <t>Tru Valu</t>
  </si>
  <si>
    <t>WHOLE CHICKEN</t>
  </si>
  <si>
    <t>Frozen</t>
  </si>
  <si>
    <t>454g</t>
  </si>
  <si>
    <t>Chilled</t>
  </si>
  <si>
    <t>CHICKEN BREAST (Frozen)</t>
  </si>
  <si>
    <t>Fine Choice</t>
  </si>
  <si>
    <t>pack</t>
  </si>
  <si>
    <t>CHICKEN DRUMSTICK (Frozen)</t>
  </si>
  <si>
    <t>CHICKEN THIGHS (Frozen)</t>
  </si>
  <si>
    <t>CHICKEN WINGS (Frozen)</t>
  </si>
  <si>
    <t>ECONOMY PACK (Frozen)</t>
  </si>
  <si>
    <t>PORK STEW</t>
  </si>
  <si>
    <t>BEEF STEW</t>
  </si>
  <si>
    <t>PIG TAIL</t>
  </si>
  <si>
    <t>CHICKEN FRANKS</t>
  </si>
  <si>
    <t>Erin Farm</t>
  </si>
  <si>
    <t>12pk</t>
  </si>
  <si>
    <t>SALTED FISH (w/Bone)</t>
  </si>
  <si>
    <t>Unbranded</t>
  </si>
  <si>
    <t>Branded</t>
  </si>
  <si>
    <t>SALTED FISH (Boneless)</t>
  </si>
  <si>
    <t>SMOKED HERRING (w/Bone)</t>
  </si>
  <si>
    <t>FRESH BUTTER</t>
  </si>
  <si>
    <t>Kerrygold</t>
  </si>
  <si>
    <t xml:space="preserve">CHEDDAR CHEESE </t>
  </si>
  <si>
    <t>COOKING MARGARINE</t>
  </si>
  <si>
    <t>G/Ray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</si>
  <si>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</si>
  <si>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</si>
  <si>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</si>
  <si>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</si>
  <si>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</si>
  <si>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</si>
  <si>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</si>
  <si>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</si>
  <si>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</si>
  <si>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</si>
  <si>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</si>
  <si>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</si>
  <si>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</si>
  <si>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>Svelty</t>
  </si>
  <si>
    <t xml:space="preserve">POWDERED MILK </t>
  </si>
  <si>
    <t>D/Dairy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</si>
  <si>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</si>
  <si>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</si>
  <si>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</si>
  <si>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</si>
  <si>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</si>
  <si>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</si>
  <si>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</si>
  <si>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EVAPORATED MILK (Pack)</t>
  </si>
  <si>
    <t>G/Butterfly</t>
  </si>
  <si>
    <t>250ml</t>
  </si>
  <si>
    <t>CONDENSED MILK</t>
  </si>
  <si>
    <t>395g</t>
  </si>
  <si>
    <t>Eve</t>
  </si>
  <si>
    <t>MACARONI</t>
  </si>
  <si>
    <t>Swiss</t>
  </si>
  <si>
    <t>SPAGHETTI</t>
  </si>
  <si>
    <t>BAKING POWDER</t>
  </si>
  <si>
    <t>Lion</t>
  </si>
  <si>
    <t>PRE PACKAGED FLOUR</t>
  </si>
  <si>
    <t>Ibis</t>
  </si>
  <si>
    <t>2kg</t>
  </si>
  <si>
    <t>FLOUR</t>
  </si>
  <si>
    <t>10kg</t>
  </si>
  <si>
    <t>PRE PACKAGED RICE (Parboiled)</t>
  </si>
  <si>
    <t>Happi</t>
  </si>
  <si>
    <t>1800g</t>
  </si>
  <si>
    <t>Lotus</t>
  </si>
  <si>
    <t>1kg</t>
  </si>
  <si>
    <t>OATS</t>
  </si>
  <si>
    <t>Cook’s Mate</t>
  </si>
  <si>
    <t>226g</t>
  </si>
  <si>
    <t>YEAST</t>
  </si>
  <si>
    <t>Fermipan</t>
  </si>
  <si>
    <t>4x11g</t>
  </si>
  <si>
    <t>CORN MEAL</t>
  </si>
  <si>
    <t>Regal</t>
  </si>
  <si>
    <t>BISCUITS (Unsweetened)</t>
  </si>
  <si>
    <t>Crix - Original</t>
  </si>
  <si>
    <t>9 oz</t>
  </si>
  <si>
    <t>SPLIT PEAS (Loose)</t>
  </si>
  <si>
    <t>RED BEANS (Loose)</t>
  </si>
  <si>
    <t xml:space="preserve"> </t>
  </si>
  <si>
    <t>D/PIGEON PEAS (Loose)</t>
  </si>
  <si>
    <t>CHANNA (Loose)</t>
  </si>
  <si>
    <t>BLACK EYE PEAS (Loose)</t>
  </si>
  <si>
    <t>LENTIL (Loose)</t>
  </si>
  <si>
    <t>SPLIT PEAS (Pre Packaged)</t>
  </si>
  <si>
    <t>N/Pride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</si>
  <si>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</si>
  <si>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</si>
  <si>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</si>
  <si>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</si>
  <si>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</si>
  <si>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</si>
  <si>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</si>
  <si>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</si>
  <si>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</si>
  <si>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Mabel</t>
  </si>
  <si>
    <t>POTATO</t>
  </si>
  <si>
    <t>ONION</t>
  </si>
  <si>
    <t>GARLIC</t>
  </si>
  <si>
    <t>SUGAR (Loose)</t>
  </si>
  <si>
    <t>Brown</t>
  </si>
  <si>
    <t>SUGAR – BROWN (Pre Packaged)</t>
  </si>
  <si>
    <t>Demerara</t>
  </si>
  <si>
    <t>SUGAR (Granulated)</t>
  </si>
  <si>
    <t>Sweet Cane</t>
  </si>
  <si>
    <t>TABLE SALT (Pre Packaged)</t>
  </si>
  <si>
    <t>Chief</t>
  </si>
  <si>
    <t>500g</t>
  </si>
  <si>
    <t>Free Flow</t>
  </si>
  <si>
    <t>INFANT FORMULA</t>
  </si>
  <si>
    <t>SMA (0 to 6 months)</t>
  </si>
  <si>
    <t>900g</t>
  </si>
  <si>
    <t>Lactogen 1 (0 to 6 mths)</t>
  </si>
  <si>
    <t>Klim (growing up)</t>
  </si>
  <si>
    <t>INFANT CEREAL</t>
  </si>
  <si>
    <t>Nestle –Rice</t>
  </si>
  <si>
    <t>270g</t>
  </si>
  <si>
    <t>Nestle – Wheat &amp; Honey</t>
  </si>
  <si>
    <t xml:space="preserve">TOILET PAPER </t>
  </si>
  <si>
    <t>S’N’Pretty</t>
  </si>
  <si>
    <t>6pk</t>
  </si>
  <si>
    <t>TOILET SOAP</t>
  </si>
  <si>
    <t>Refresh</t>
  </si>
  <si>
    <t>3pk</t>
  </si>
  <si>
    <t>TOOTHPASTE</t>
  </si>
  <si>
    <t>Colgate</t>
  </si>
  <si>
    <t>170g</t>
  </si>
  <si>
    <t>DISHWASHING LIQUID</t>
  </si>
  <si>
    <t>Squeezy</t>
  </si>
  <si>
    <t>725ml</t>
  </si>
  <si>
    <t>SOAP POWDER</t>
  </si>
  <si>
    <t>Breeze M/A</t>
  </si>
  <si>
    <t>840g</t>
  </si>
  <si>
    <t>375g</t>
  </si>
  <si>
    <t>Radiante</t>
  </si>
  <si>
    <t>330g</t>
  </si>
  <si>
    <t xml:space="preserve">SARDINES </t>
  </si>
  <si>
    <t>Brunswick</t>
  </si>
  <si>
    <t>106g</t>
  </si>
  <si>
    <t>TUNA (FLAKES IN WATER)</t>
  </si>
  <si>
    <t>142g</t>
  </si>
  <si>
    <t>TUNA (FLAKES IN OIL)</t>
  </si>
  <si>
    <t>VIENNA SAUSAGE (Chicken)</t>
  </si>
  <si>
    <t>Santa Rosa</t>
  </si>
  <si>
    <t>141g</t>
  </si>
  <si>
    <t>CORNED BEEF</t>
  </si>
  <si>
    <t>Target</t>
  </si>
  <si>
    <t>340g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</si>
  <si>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</si>
  <si>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</si>
  <si>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</si>
  <si>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</si>
  <si>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</si>
  <si>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</si>
  <si>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</si>
  <si>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</si>
  <si>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TEA BAGS (GREEN)</t>
  </si>
  <si>
    <t>20 pk</t>
  </si>
  <si>
    <t>Dilmah</t>
  </si>
  <si>
    <t>20pk</t>
  </si>
  <si>
    <t>COFFEE (INSTANT)</t>
  </si>
  <si>
    <t>100g</t>
  </si>
  <si>
    <t>Colcafe (Red)</t>
  </si>
  <si>
    <t>MAUBY</t>
  </si>
  <si>
    <t>Matouk’s</t>
  </si>
  <si>
    <t>750ml</t>
  </si>
  <si>
    <t>ORANGE DRINK</t>
  </si>
  <si>
    <t>Orchard</t>
  </si>
  <si>
    <t>GRAPEFRUIT DRINK</t>
  </si>
  <si>
    <t>ORANGE JUICE</t>
  </si>
  <si>
    <t>T/Citrus</t>
  </si>
  <si>
    <t>19 oz</t>
  </si>
  <si>
    <t>Dole</t>
  </si>
  <si>
    <t>18 oz</t>
  </si>
  <si>
    <t>GRAPEFRUIT JUICE</t>
  </si>
  <si>
    <t>PEANUT BUTTER</t>
  </si>
  <si>
    <t>VEGETABLE OIL</t>
  </si>
  <si>
    <t>Richport</t>
  </si>
  <si>
    <t>900ml</t>
  </si>
  <si>
    <t>SOYA OIL</t>
  </si>
  <si>
    <t>3.8L</t>
  </si>
  <si>
    <t>COCONUT OIL</t>
  </si>
  <si>
    <t>Nariel</t>
  </si>
  <si>
    <t>OLIVE OIL (Extra Virgin)</t>
  </si>
  <si>
    <t>James Plagniol</t>
  </si>
  <si>
    <t xml:space="preserve">CORN FLAKES </t>
  </si>
  <si>
    <t>Sunshine</t>
  </si>
  <si>
    <t>200g</t>
  </si>
  <si>
    <t xml:space="preserve">18 oz </t>
  </si>
  <si>
    <t>FROSTED FLAKES</t>
  </si>
  <si>
    <t>20 oz</t>
  </si>
  <si>
    <t>SOYA CHUNKS</t>
  </si>
  <si>
    <t>Cook's Mate</t>
  </si>
  <si>
    <t>Chatak</t>
  </si>
  <si>
    <t>230g</t>
  </si>
  <si>
    <t>RED BEANS</t>
  </si>
  <si>
    <t>MP</t>
  </si>
  <si>
    <t>1 Tin</t>
  </si>
  <si>
    <t>BAKED BEANS</t>
  </si>
  <si>
    <t>GREEN PIGEON PEAS</t>
  </si>
  <si>
    <t>PROCESSED PIGEON PEAS</t>
  </si>
  <si>
    <t>PEAS AND CARROTS</t>
  </si>
  <si>
    <t>TOMATO KETCHUP (Bottled)</t>
  </si>
  <si>
    <t>TOMATO KETCHUP (Spouch Pack)</t>
  </si>
  <si>
    <t>MUSTARD (Squeeze Bottle)</t>
  </si>
  <si>
    <t>8oz</t>
  </si>
  <si>
    <t>MAYONNAISE (Bottled)</t>
  </si>
  <si>
    <t>375ml</t>
  </si>
  <si>
    <t>CHICKEN BREAST (Chilled)</t>
  </si>
  <si>
    <t>CHICKEN DRUMSTICK (Chilled)</t>
  </si>
  <si>
    <t>CHICKEN THIGHS (Chilled)</t>
  </si>
  <si>
    <t>CHICKEN WINGS (Chilled)</t>
  </si>
  <si>
    <t>East</t>
  </si>
  <si>
    <t>Curepe</t>
  </si>
  <si>
    <t>Tunapuna</t>
  </si>
  <si>
    <t>Arouca</t>
  </si>
  <si>
    <t>Arima</t>
  </si>
  <si>
    <t>Sangre Grande</t>
  </si>
  <si>
    <t>Toco</t>
  </si>
  <si>
    <t>Massy Stores St. Augustine</t>
  </si>
  <si>
    <t>Tru Valu Valpark</t>
  </si>
  <si>
    <t>Cost Cutters</t>
  </si>
  <si>
    <t>DiskoMart</t>
  </si>
  <si>
    <t>Tru Valu Trincity Mall</t>
  </si>
  <si>
    <t>Xtra Foods</t>
  </si>
  <si>
    <t>Massy Stores</t>
  </si>
  <si>
    <t>Maharaj Budget Price</t>
  </si>
  <si>
    <t>Coss Cutters</t>
  </si>
  <si>
    <t>Cumana Co Operative</t>
  </si>
  <si>
    <t>Central</t>
  </si>
  <si>
    <t>Cunupia/Montrose</t>
  </si>
  <si>
    <t>Chaguanas</t>
  </si>
  <si>
    <t>Low Cost Supermarket S.M.R.</t>
  </si>
  <si>
    <t>$ Value Supermarket Montrose</t>
  </si>
  <si>
    <t>Price Club</t>
  </si>
  <si>
    <t>South</t>
  </si>
  <si>
    <t>San Fernando</t>
  </si>
  <si>
    <t>Debe</t>
  </si>
  <si>
    <t>Siparia/Fyzabad</t>
  </si>
  <si>
    <t>Point Fortin</t>
  </si>
  <si>
    <t>Princes Town</t>
  </si>
  <si>
    <t>Rio Claro</t>
  </si>
  <si>
    <t>Mayaro</t>
  </si>
  <si>
    <t>Len Hap</t>
  </si>
  <si>
    <t>Food Basket</t>
  </si>
  <si>
    <t>MS Food City</t>
  </si>
  <si>
    <t>G &amp; N</t>
  </si>
  <si>
    <t>Stop &amp; Shop</t>
  </si>
  <si>
    <t>Anand Low Price</t>
  </si>
  <si>
    <t>Peiping</t>
  </si>
  <si>
    <t>Persad's</t>
  </si>
  <si>
    <t>SNSR</t>
  </si>
  <si>
    <t>Persad D' Food King</t>
  </si>
  <si>
    <t>S &amp; S Persad</t>
  </si>
  <si>
    <t>Anand Low Price South Park</t>
  </si>
  <si>
    <t>Persad's Import and Export Ltd</t>
  </si>
  <si>
    <t>ORANGE/ PINEAPPLE JUICE</t>
  </si>
  <si>
    <t>Massy Stores Alyce Glen</t>
  </si>
  <si>
    <t>284g</t>
  </si>
  <si>
    <t>Universal</t>
  </si>
  <si>
    <t>Tobago</t>
  </si>
  <si>
    <t>Viewport</t>
  </si>
  <si>
    <t>Pennysavers</t>
  </si>
  <si>
    <t>Double B's Supermarket</t>
  </si>
  <si>
    <t>St. James</t>
  </si>
  <si>
    <t>John's Supermarket</t>
  </si>
  <si>
    <t>Anand Low Price Fyzabad</t>
  </si>
  <si>
    <t>Massy Stores Marabella</t>
  </si>
  <si>
    <t>Par Excellence</t>
  </si>
  <si>
    <t>Click the tabs below to choose region</t>
  </si>
  <si>
    <t>*Specials Available</t>
  </si>
  <si>
    <t xml:space="preserve">Search item   </t>
  </si>
  <si>
    <t>Search Items</t>
  </si>
  <si>
    <t>Couva</t>
  </si>
  <si>
    <t>$ Value Supermarket</t>
  </si>
  <si>
    <t>Harris Megastore</t>
  </si>
  <si>
    <t>Gasparillo</t>
  </si>
  <si>
    <t>Island Shoppers</t>
  </si>
  <si>
    <t>Pan Man Supermarket</t>
  </si>
  <si>
    <t>Naturally Fresh Foods</t>
  </si>
  <si>
    <t>Tru Valu Long Circular</t>
  </si>
  <si>
    <t>Cumana</t>
  </si>
  <si>
    <t>Cumana Cooperative</t>
  </si>
  <si>
    <t>Toolsie's</t>
  </si>
  <si>
    <t>Bay View</t>
  </si>
  <si>
    <t>Pablo</t>
  </si>
  <si>
    <t>SALTED FISH (Boneless) Unbranded</t>
  </si>
  <si>
    <t>SALTED FISH (Boneless) Branded</t>
  </si>
  <si>
    <t>SALTED FISH (w/Bone) Unbranded</t>
  </si>
  <si>
    <t>SALTED FISH (w/Bone) Branded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</si>
</sst>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\(#,##0.00\);_(&quot;$&quot;* &quot;-&quot;??_);_(@_)"/>
    <numFmt numFmtId="165" formatCode="&quot;$&quot;#,##0.00"/>
    <numFmt numFmtId="166" formatCode="[$-409]General"/>
  </numFmts>
  <fonts count="2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548DD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theme="4" tint="-0.249977111117893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4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4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BE5F1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6" fontId="7" fillId="0" borderId="0"/>
    <xf numFmtId="164" fontId="15" fillId="0" borderId="0" applyFont="0" applyFill="0" applyBorder="0" applyAlignment="0" applyProtection="0"/>
  </cellStyleXfs>
  <cellXfs count="18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0" xfId="0" applyFill="1"/>
    <xf numFmtId="0" fontId="2" fillId="0" borderId="1" xfId="0" applyFont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165" fontId="1" fillId="0" borderId="1" xfId="0" applyNumberFormat="1" applyFont="1" applyFill="1" applyBorder="1"/>
    <xf numFmtId="165" fontId="1" fillId="0" borderId="1" xfId="0" applyNumberFormat="1" applyFont="1" applyFill="1" applyBorder="1" applyAlignment="1">
      <alignment horizontal="right"/>
    </xf>
    <xf numFmtId="165" fontId="1" fillId="0" borderId="1" xfId="0" applyNumberFormat="1" applyFont="1" applyFill="1" applyBorder="1" applyAlignment="1"/>
    <xf numFmtId="0" fontId="2" fillId="0" borderId="1" xfId="0" applyFont="1" applyFill="1" applyBorder="1" applyAlignment="1">
      <alignment wrapText="1"/>
    </xf>
    <xf numFmtId="0" fontId="1" fillId="0" borderId="1" xfId="0" applyFont="1" applyFill="1" applyBorder="1"/>
    <xf numFmtId="0" fontId="1" fillId="0" borderId="1" xfId="0" applyNumberFormat="1" applyFont="1" applyBorder="1"/>
    <xf numFmtId="0" fontId="1" fillId="0" borderId="1" xfId="0" applyNumberFormat="1" applyFont="1" applyFill="1" applyBorder="1"/>
    <xf numFmtId="165" fontId="2" fillId="0" borderId="1" xfId="0" applyNumberFormat="1" applyFont="1" applyFill="1" applyBorder="1"/>
    <xf numFmtId="165" fontId="0" fillId="0" borderId="1" xfId="0" applyNumberFormat="1" applyBorder="1"/>
    <xf numFmtId="165" fontId="5" fillId="0" borderId="1" xfId="0" applyNumberFormat="1" applyFont="1" applyFill="1" applyBorder="1"/>
    <xf numFmtId="165" fontId="3" fillId="0" borderId="1" xfId="0" applyNumberFormat="1" applyFont="1" applyFill="1" applyBorder="1"/>
    <xf numFmtId="165" fontId="4" fillId="0" borderId="1" xfId="0" applyNumberFormat="1" applyFont="1" applyFill="1" applyBorder="1"/>
    <xf numFmtId="0" fontId="2" fillId="0" borderId="3" xfId="0" applyFont="1" applyFill="1" applyBorder="1" applyAlignment="1">
      <alignment horizontal="center"/>
    </xf>
    <xf numFmtId="165" fontId="8" fillId="0" borderId="1" xfId="0" applyNumberFormat="1" applyFont="1" applyFill="1" applyBorder="1"/>
    <xf numFmtId="165" fontId="0" fillId="0" borderId="1" xfId="0" applyNumberFormat="1" applyFont="1" applyBorder="1"/>
    <xf numFmtId="0" fontId="0" fillId="0" borderId="1" xfId="0" applyFont="1" applyBorder="1"/>
    <xf numFmtId="0" fontId="0" fillId="0" borderId="1" xfId="0" applyBorder="1"/>
    <xf numFmtId="165" fontId="9" fillId="0" borderId="1" xfId="0" applyNumberFormat="1" applyFont="1" applyFill="1" applyBorder="1"/>
    <xf numFmtId="165" fontId="1" fillId="2" borderId="1" xfId="0" applyNumberFormat="1" applyFont="1" applyFill="1" applyBorder="1"/>
    <xf numFmtId="0" fontId="6" fillId="3" borderId="1" xfId="0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0" fontId="0" fillId="0" borderId="5" xfId="0" applyBorder="1"/>
    <xf numFmtId="165" fontId="1" fillId="0" borderId="1" xfId="0" applyNumberFormat="1" applyFont="1" applyBorder="1"/>
    <xf numFmtId="165" fontId="7" fillId="3" borderId="1" xfId="1" applyNumberFormat="1" applyFont="1" applyFill="1" applyBorder="1"/>
    <xf numFmtId="165" fontId="11" fillId="3" borderId="1" xfId="1" applyNumberFormat="1" applyFont="1" applyFill="1" applyBorder="1"/>
    <xf numFmtId="165" fontId="10" fillId="0" borderId="1" xfId="0" applyNumberFormat="1" applyFont="1" applyFill="1" applyBorder="1"/>
    <xf numFmtId="165" fontId="7" fillId="3" borderId="1" xfId="1" applyNumberFormat="1" applyFont="1" applyFill="1" applyBorder="1" applyAlignment="1">
      <alignment horizontal="right"/>
    </xf>
    <xf numFmtId="165" fontId="7" fillId="3" borderId="1" xfId="1" applyNumberFormat="1" applyFont="1" applyFill="1" applyBorder="1" applyAlignment="1"/>
    <xf numFmtId="165" fontId="7" fillId="3" borderId="1" xfId="1" applyNumberFormat="1" applyFill="1" applyBorder="1"/>
    <xf numFmtId="165" fontId="12" fillId="3" borderId="1" xfId="1" applyNumberFormat="1" applyFont="1" applyFill="1" applyBorder="1"/>
    <xf numFmtId="0" fontId="4" fillId="0" borderId="0" xfId="0" applyFont="1" applyFill="1"/>
    <xf numFmtId="0" fontId="0" fillId="0" borderId="5" xfId="0" applyBorder="1"/>
    <xf numFmtId="0" fontId="0" fillId="0" borderId="0" xfId="0" applyBorder="1"/>
    <xf numFmtId="0" fontId="2" fillId="0" borderId="1" xfId="0" applyFont="1" applyBorder="1" applyAlignment="1">
      <alignment vertical="center"/>
    </xf>
    <xf numFmtId="0" fontId="0" fillId="0" borderId="0" xfId="0"/>
    <xf numFmtId="0" fontId="2" fillId="0" borderId="1" xfId="0" applyFont="1" applyBorder="1"/>
    <xf numFmtId="0" fontId="0" fillId="0" borderId="0" xfId="0" applyFill="1"/>
    <xf numFmtId="0" fontId="2" fillId="0" borderId="1" xfId="0" applyFont="1" applyBorder="1" applyAlignment="1">
      <alignment horizontal="center" vertical="center"/>
    </xf>
    <xf numFmtId="0" fontId="0" fillId="0" borderId="0" xfId="0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Fill="1"/>
    <xf numFmtId="0" fontId="0" fillId="0" borderId="0" xfId="0"/>
    <xf numFmtId="0" fontId="2" fillId="0" borderId="1" xfId="0" applyFont="1" applyBorder="1"/>
    <xf numFmtId="0" fontId="0" fillId="0" borderId="0" xfId="0" applyBorder="1"/>
    <xf numFmtId="0" fontId="2" fillId="0" borderId="1" xfId="0" applyFont="1" applyFill="1" applyBorder="1" applyAlignment="1">
      <alignment horizontal="center" vertical="center" wrapText="1"/>
    </xf>
    <xf numFmtId="165" fontId="14" fillId="0" borderId="0" xfId="0" applyNumberFormat="1" applyFont="1" applyFill="1" applyBorder="1" applyAlignment="1">
      <alignment horizontal="center" vertical="center"/>
    </xf>
    <xf numFmtId="166" fontId="7" fillId="0" borderId="0" xfId="1"/>
    <xf numFmtId="166" fontId="7" fillId="0" borderId="0" xfId="1" applyBorder="1"/>
    <xf numFmtId="0" fontId="18" fillId="0" borderId="6" xfId="0" applyFont="1" applyBorder="1" applyAlignment="1">
      <alignment vertical="center"/>
    </xf>
    <xf numFmtId="0" fontId="0" fillId="0" borderId="0" xfId="0"/>
    <xf numFmtId="0" fontId="0" fillId="0" borderId="0" xfId="0" applyFill="1"/>
    <xf numFmtId="0" fontId="4" fillId="0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65" fontId="14" fillId="0" borderId="0" xfId="0" applyNumberFormat="1" applyFont="1" applyFill="1" applyBorder="1" applyAlignment="1"/>
    <xf numFmtId="0" fontId="0" fillId="0" borderId="0" xfId="0"/>
    <xf numFmtId="0" fontId="0" fillId="0" borderId="0" xfId="0" applyFill="1"/>
    <xf numFmtId="0" fontId="0" fillId="0" borderId="0" xfId="0"/>
    <xf numFmtId="0" fontId="18" fillId="0" borderId="6" xfId="0" applyFont="1" applyBorder="1" applyAlignment="1"/>
    <xf numFmtId="0" fontId="0" fillId="0" borderId="0" xfId="0"/>
    <xf numFmtId="0" fontId="0" fillId="0" borderId="0" xfId="0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14" fillId="0" borderId="6" xfId="0" applyNumberFormat="1" applyFont="1" applyFill="1" applyBorder="1" applyAlignment="1">
      <alignment vertical="center"/>
    </xf>
    <xf numFmtId="0" fontId="0" fillId="0" borderId="0" xfId="0"/>
    <xf numFmtId="0" fontId="20" fillId="0" borderId="0" xfId="0" applyFont="1" applyAlignment="1">
      <alignment horizontal="center" vertical="center"/>
    </xf>
    <xf numFmtId="165" fontId="19" fillId="0" borderId="0" xfId="0" applyNumberFormat="1" applyFont="1" applyFill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Fill="1" applyBorder="1"/>
    <xf numFmtId="0" fontId="1" fillId="0" borderId="1" xfId="0" applyFont="1" applyBorder="1"/>
    <xf numFmtId="0" fontId="0" fillId="0" borderId="0" xfId="0" applyFill="1"/>
    <xf numFmtId="0" fontId="1" fillId="0" borderId="1" xfId="0" applyFont="1" applyFill="1" applyBorder="1"/>
    <xf numFmtId="165" fontId="19" fillId="0" borderId="6" xfId="0" applyNumberFormat="1" applyFont="1" applyFill="1" applyBorder="1" applyAlignment="1">
      <alignment vertical="center" wrapText="1"/>
    </xf>
    <xf numFmtId="0" fontId="1" fillId="0" borderId="10" xfId="0" applyFont="1" applyFill="1" applyBorder="1"/>
    <xf numFmtId="0" fontId="1" fillId="0" borderId="1" xfId="0" applyFont="1" applyBorder="1"/>
    <xf numFmtId="0" fontId="1" fillId="0" borderId="1" xfId="0" applyFont="1" applyFill="1" applyBorder="1"/>
    <xf numFmtId="0" fontId="1" fillId="0" borderId="0" xfId="0" applyFont="1" applyFill="1" applyBorder="1"/>
    <xf numFmtId="165" fontId="5" fillId="0" borderId="0" xfId="0" applyNumberFormat="1" applyFont="1" applyFill="1" applyBorder="1"/>
    <xf numFmtId="165" fontId="1" fillId="0" borderId="0" xfId="0" applyNumberFormat="1" applyFont="1" applyFill="1" applyBorder="1"/>
    <xf numFmtId="165" fontId="7" fillId="0" borderId="0" xfId="1" applyNumberFormat="1" applyFont="1" applyFill="1" applyBorder="1" applyAlignment="1" applyProtection="1"/>
    <xf numFmtId="165" fontId="1" fillId="0" borderId="0" xfId="0" applyNumberFormat="1" applyFont="1" applyFill="1" applyBorder="1" applyAlignment="1">
      <alignment horizontal="right"/>
    </xf>
    <xf numFmtId="165" fontId="7" fillId="0" borderId="0" xfId="1" applyNumberFormat="1" applyFont="1" applyFill="1" applyBorder="1" applyAlignment="1" applyProtection="1">
      <alignment horizontal="right"/>
    </xf>
    <xf numFmtId="165" fontId="1" fillId="0" borderId="0" xfId="0" applyNumberFormat="1" applyFont="1" applyFill="1" applyBorder="1" applyAlignment="1"/>
    <xf numFmtId="165" fontId="13" fillId="0" borderId="0" xfId="0" applyNumberFormat="1" applyFont="1" applyFill="1" applyBorder="1"/>
    <xf numFmtId="0" fontId="21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65" fontId="1" fillId="0" borderId="0" xfId="0" applyNumberFormat="1" applyFont="1" applyFill="1" applyBorder="1" applyAlignment="1">
      <alignment vertical="center"/>
    </xf>
    <xf numFmtId="165" fontId="5" fillId="0" borderId="0" xfId="0" applyNumberFormat="1" applyFont="1" applyFill="1" applyBorder="1" applyAlignment="1">
      <alignment vertical="center"/>
    </xf>
    <xf numFmtId="0" fontId="1" fillId="0" borderId="1" xfId="0" applyFont="1" applyBorder="1"/>
    <xf numFmtId="0" fontId="1" fillId="0" borderId="1" xfId="0" applyFont="1" applyBorder="1"/>
    <xf numFmtId="0" fontId="1" fillId="0" borderId="1" xfId="0" applyFont="1" applyFill="1" applyBorder="1"/>
    <xf numFmtId="0" fontId="2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Fill="1" applyBorder="1"/>
    <xf numFmtId="0" fontId="1" fillId="0" borderId="1" xfId="0" applyNumberFormat="1" applyFont="1" applyBorder="1"/>
    <xf numFmtId="0" fontId="1" fillId="0" borderId="1" xfId="0" applyNumberFormat="1" applyFont="1" applyFill="1" applyBorder="1"/>
    <xf numFmtId="0" fontId="1" fillId="0" borderId="1" xfId="0" applyFont="1" applyBorder="1"/>
    <xf numFmtId="0" fontId="1" fillId="0" borderId="1" xfId="0" applyFont="1" applyFill="1" applyBorder="1"/>
    <xf numFmtId="0" fontId="1" fillId="0" borderId="1" xfId="0" applyNumberFormat="1" applyFont="1" applyBorder="1"/>
    <xf numFmtId="0" fontId="1" fillId="0" borderId="1" xfId="0" applyNumberFormat="1" applyFont="1" applyFill="1" applyBorder="1"/>
    <xf numFmtId="0" fontId="1" fillId="0" borderId="1" xfId="0" applyFont="1" applyBorder="1"/>
    <xf numFmtId="0" fontId="1" fillId="0" borderId="1" xfId="0" applyFont="1" applyFill="1" applyBorder="1"/>
    <xf numFmtId="0" fontId="1" fillId="0" borderId="1" xfId="0" applyNumberFormat="1" applyFont="1" applyBorder="1"/>
    <xf numFmtId="0" fontId="1" fillId="0" borderId="1" xfId="0" applyNumberFormat="1" applyFont="1" applyFill="1" applyBorder="1"/>
    <xf numFmtId="0" fontId="1" fillId="0" borderId="1" xfId="0" applyFont="1" applyBorder="1"/>
    <xf numFmtId="0" fontId="1" fillId="0" borderId="1" xfId="0" applyFont="1" applyFill="1" applyBorder="1"/>
    <xf numFmtId="0" fontId="1" fillId="0" borderId="1" xfId="0" applyNumberFormat="1" applyFont="1" applyBorder="1"/>
    <xf numFmtId="0" fontId="1" fillId="0" borderId="1" xfId="0" applyNumberFormat="1" applyFont="1" applyFill="1" applyBorder="1"/>
    <xf numFmtId="0" fontId="1" fillId="0" borderId="1" xfId="0" applyFont="1" applyBorder="1"/>
    <xf numFmtId="165" fontId="1" fillId="0" borderId="1" xfId="0" applyNumberFormat="1" applyFont="1" applyFill="1" applyBorder="1"/>
    <xf numFmtId="165" fontId="1" fillId="0" borderId="1" xfId="0" applyNumberFormat="1" applyFont="1" applyFill="1" applyBorder="1" applyAlignment="1">
      <alignment horizontal="right"/>
    </xf>
    <xf numFmtId="165" fontId="1" fillId="0" borderId="1" xfId="0" applyNumberFormat="1" applyFont="1" applyFill="1" applyBorder="1" applyAlignment="1"/>
    <xf numFmtId="0" fontId="1" fillId="0" borderId="1" xfId="0" applyFont="1" applyFill="1" applyBorder="1"/>
    <xf numFmtId="0" fontId="1" fillId="0" borderId="1" xfId="0" applyNumberFormat="1" applyFont="1" applyBorder="1"/>
    <xf numFmtId="0" fontId="1" fillId="0" borderId="1" xfId="0" applyNumberFormat="1" applyFont="1" applyFill="1" applyBorder="1"/>
    <xf numFmtId="165" fontId="14" fillId="0" borderId="0" xfId="0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165" fontId="19" fillId="0" borderId="0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Fill="1" applyBorder="1" applyAlignment="1">
      <alignment horizontal="center" vertical="center"/>
    </xf>
    <xf numFmtId="165" fontId="19" fillId="0" borderId="6" xfId="0" applyNumberFormat="1" applyFont="1" applyFill="1" applyBorder="1" applyAlignment="1">
      <alignment horizontal="center" vertical="center" wrapText="1"/>
    </xf>
    <xf numFmtId="165" fontId="14" fillId="0" borderId="0" xfId="0" applyNumberFormat="1" applyFont="1" applyFill="1" applyBorder="1" applyAlignment="1">
      <alignment horizontal="center" vertical="center"/>
    </xf>
    <xf numFmtId="0" fontId="17" fillId="6" borderId="0" xfId="0" applyFont="1" applyFill="1" applyBorder="1" applyAlignment="1">
      <alignment horizontal="center"/>
    </xf>
    <xf numFmtId="0" fontId="17" fillId="9" borderId="0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165" fontId="1" fillId="0" borderId="1" xfId="0" applyNumberFormat="1" applyFont="1" applyFill="1" applyBorder="1" applyAlignment="1">
      <alignment wrapText="1"/>
    </xf>
    <xf numFmtId="165" fontId="14" fillId="0" borderId="1" xfId="0" applyNumberFormat="1" applyFont="1" applyFill="1" applyBorder="1"/>
    <xf numFmtId="165" fontId="0" fillId="0" borderId="1" xfId="0" applyNumberFormat="1" applyFont="1" applyFill="1" applyBorder="1"/>
    <xf numFmtId="165" fontId="23" fillId="0" borderId="1" xfId="0" applyNumberFormat="1" applyFont="1" applyFill="1" applyBorder="1"/>
    <xf numFmtId="165" fontId="13" fillId="0" borderId="1" xfId="0" applyNumberFormat="1" applyFont="1" applyFill="1" applyBorder="1"/>
    <xf numFmtId="165" fontId="1" fillId="0" borderId="0" xfId="0" applyNumberFormat="1" applyFont="1" applyFill="1"/>
    <xf numFmtId="0" fontId="21" fillId="0" borderId="3" xfId="0" applyFont="1" applyBorder="1" applyAlignment="1">
      <alignment horizontal="center" vertical="center"/>
    </xf>
    <xf numFmtId="165" fontId="25" fillId="0" borderId="1" xfId="0" applyNumberFormat="1" applyFont="1" applyFill="1" applyBorder="1"/>
    <xf numFmtId="165" fontId="1" fillId="0" borderId="1" xfId="0" applyNumberFormat="1" applyFont="1" applyBorder="1" applyAlignment="1">
      <alignment horizontal="right"/>
    </xf>
    <xf numFmtId="165" fontId="14" fillId="0" borderId="1" xfId="0" applyNumberFormat="1" applyFont="1" applyBorder="1"/>
    <xf numFmtId="0" fontId="18" fillId="0" borderId="0" xfId="0" applyFont="1" applyBorder="1" applyAlignment="1">
      <alignment horizontal="center" vertical="center"/>
    </xf>
    <xf numFmtId="165" fontId="14" fillId="0" borderId="0" xfId="0" applyNumberFormat="1" applyFont="1" applyFill="1" applyBorder="1" applyAlignment="1">
      <alignment horizontal="center" vertical="center"/>
    </xf>
    <xf numFmtId="165" fontId="14" fillId="0" borderId="8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17" fillId="4" borderId="0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/>
    </xf>
    <xf numFmtId="0" fontId="17" fillId="5" borderId="6" xfId="0" applyFont="1" applyFill="1" applyBorder="1" applyAlignment="1">
      <alignment horizontal="center"/>
    </xf>
    <xf numFmtId="0" fontId="17" fillId="5" borderId="9" xfId="0" applyFont="1" applyFill="1" applyBorder="1" applyAlignment="1">
      <alignment horizontal="center"/>
    </xf>
    <xf numFmtId="165" fontId="14" fillId="0" borderId="6" xfId="0" applyNumberFormat="1" applyFont="1" applyFill="1" applyBorder="1" applyAlignment="1">
      <alignment horizontal="center" vertical="center"/>
    </xf>
    <xf numFmtId="0" fontId="17" fillId="9" borderId="7" xfId="0" applyFont="1" applyFill="1" applyBorder="1" applyAlignment="1">
      <alignment horizontal="center"/>
    </xf>
    <xf numFmtId="0" fontId="17" fillId="9" borderId="6" xfId="0" applyFont="1" applyFill="1" applyBorder="1" applyAlignment="1">
      <alignment horizontal="center"/>
    </xf>
    <xf numFmtId="165" fontId="2" fillId="0" borderId="2" xfId="0" applyNumberFormat="1" applyFont="1" applyFill="1" applyBorder="1" applyAlignment="1">
      <alignment horizontal="center"/>
    </xf>
    <xf numFmtId="165" fontId="2" fillId="0" borderId="3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17" fillId="6" borderId="5" xfId="0" applyFont="1" applyFill="1" applyBorder="1" applyAlignment="1">
      <alignment horizontal="center"/>
    </xf>
    <xf numFmtId="0" fontId="17" fillId="6" borderId="0" xfId="0" applyFont="1" applyFill="1" applyBorder="1" applyAlignment="1">
      <alignment horizontal="center"/>
    </xf>
    <xf numFmtId="165" fontId="14" fillId="0" borderId="0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/>
    </xf>
    <xf numFmtId="165" fontId="2" fillId="0" borderId="1" xfId="0" applyNumberFormat="1" applyFont="1" applyFill="1" applyBorder="1" applyAlignment="1">
      <alignment horizontal="center" vertical="center" wrapText="1"/>
    </xf>
    <xf numFmtId="165" fontId="2" fillId="0" borderId="2" xfId="0" applyNumberFormat="1" applyFont="1" applyFill="1" applyBorder="1" applyAlignment="1">
      <alignment horizontal="center" vertical="center" wrapText="1"/>
    </xf>
    <xf numFmtId="165" fontId="2" fillId="0" borderId="3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6" fillId="8" borderId="7" xfId="0" applyFont="1" applyFill="1" applyBorder="1" applyAlignment="1">
      <alignment horizontal="center"/>
    </xf>
    <xf numFmtId="0" fontId="16" fillId="8" borderId="6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2" fillId="3" borderId="2" xfId="0" applyNumberFormat="1" applyFont="1" applyFill="1" applyBorder="1" applyAlignment="1">
      <alignment horizontal="center"/>
    </xf>
    <xf numFmtId="165" fontId="2" fillId="3" borderId="3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 wrapText="1"/>
    </xf>
  </cellXfs>
  <cellStyles count="3">
    <cellStyle name="Currency 2" xfId="2"/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V143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G99" sqref="G99"/>
    </sheetView>
  </sheetViews>
  <sheetFormatPr defaultRowHeight="14.5" x14ac:dyDescent="0.35"/>
  <cols>
    <col min="1" max="1" width="4.54296875" customWidth="1"/>
    <col min="2" max="2" width="31.1796875" customWidth="1"/>
    <col min="3" max="3" width="23" customWidth="1"/>
    <col min="4" max="4" width="9.1796875" customWidth="1"/>
    <col min="5" max="5" width="12.54296875" style="3" bestFit="1" customWidth="1"/>
    <col min="6" max="6" width="12.453125" style="3" bestFit="1" customWidth="1"/>
    <col min="7" max="7" width="12.453125" bestFit="1" customWidth="1"/>
    <col min="8" max="8" width="12.81640625" customWidth="1"/>
    <col min="9" max="12" width="9.1796875" style="38"/>
  </cols>
  <sheetData>
    <row r="1" spans="1:906" s="40" customFormat="1" x14ac:dyDescent="0.35">
      <c r="A1" s="151" t="s">
        <v>287</v>
      </c>
      <c r="B1" s="151"/>
      <c r="E1" s="42"/>
      <c r="F1" s="42"/>
      <c r="I1" s="44"/>
      <c r="J1" s="44"/>
      <c r="K1" s="44"/>
      <c r="L1" s="44"/>
    </row>
    <row r="2" spans="1:906" ht="18.75" customHeight="1" x14ac:dyDescent="0.35">
      <c r="A2" s="151" t="s">
        <v>289</v>
      </c>
      <c r="B2" s="151"/>
      <c r="D2" s="82"/>
      <c r="E2" s="82"/>
      <c r="F2" s="82"/>
      <c r="G2" s="152" t="s">
        <v>288</v>
      </c>
      <c r="H2" s="153"/>
      <c r="I2" s="37"/>
    </row>
    <row r="3" spans="1:906" s="27" customFormat="1" x14ac:dyDescent="0.35">
      <c r="A3" s="155" t="s">
        <v>0</v>
      </c>
      <c r="B3" s="155"/>
      <c r="C3" s="155"/>
      <c r="D3" s="155"/>
      <c r="E3" s="155"/>
      <c r="F3" s="155"/>
      <c r="G3" s="155"/>
      <c r="H3" s="155"/>
      <c r="I3" s="37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8"/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8"/>
      <c r="GL3" s="38"/>
      <c r="GM3" s="38"/>
      <c r="GN3" s="38"/>
      <c r="GO3" s="38"/>
      <c r="GP3" s="38"/>
      <c r="GQ3" s="38"/>
      <c r="GR3" s="38"/>
      <c r="GS3" s="38"/>
      <c r="GT3" s="38"/>
      <c r="GU3" s="38"/>
      <c r="GV3" s="38"/>
      <c r="GW3" s="38"/>
      <c r="GX3" s="38"/>
      <c r="GY3" s="38"/>
      <c r="GZ3" s="38"/>
      <c r="HA3" s="38"/>
      <c r="HB3" s="38"/>
      <c r="HC3" s="38"/>
      <c r="HD3" s="38"/>
      <c r="HE3" s="38"/>
      <c r="HF3" s="38"/>
      <c r="HG3" s="38"/>
      <c r="HH3" s="38"/>
      <c r="HI3" s="38"/>
      <c r="HJ3" s="38"/>
      <c r="HK3" s="38"/>
      <c r="HL3" s="38"/>
      <c r="HM3" s="38"/>
      <c r="HN3" s="38"/>
      <c r="HO3" s="38"/>
      <c r="HP3" s="38"/>
      <c r="HQ3" s="38"/>
      <c r="HR3" s="38"/>
      <c r="HS3" s="38"/>
      <c r="HT3" s="38"/>
      <c r="HU3" s="38"/>
      <c r="HV3" s="38"/>
      <c r="HW3" s="38"/>
      <c r="HX3" s="38"/>
      <c r="HY3" s="38"/>
      <c r="HZ3" s="38"/>
      <c r="IA3" s="38"/>
      <c r="IB3" s="38"/>
      <c r="IC3" s="38"/>
      <c r="ID3" s="38"/>
      <c r="IE3" s="38"/>
      <c r="IF3" s="38"/>
      <c r="IG3" s="38"/>
      <c r="IH3" s="38"/>
      <c r="II3" s="38"/>
      <c r="IJ3" s="38"/>
      <c r="IK3" s="38"/>
      <c r="IL3" s="38"/>
      <c r="IM3" s="38"/>
      <c r="IN3" s="38"/>
      <c r="IO3" s="38"/>
      <c r="IP3" s="38"/>
      <c r="IQ3" s="38"/>
      <c r="IR3" s="38"/>
      <c r="IS3" s="38"/>
      <c r="IT3" s="38"/>
      <c r="IU3" s="38"/>
      <c r="IV3" s="38"/>
      <c r="IW3" s="38"/>
      <c r="IX3" s="38"/>
      <c r="IY3" s="38"/>
      <c r="IZ3" s="38"/>
      <c r="JA3" s="38"/>
      <c r="JB3" s="38"/>
      <c r="JC3" s="38"/>
      <c r="JD3" s="38"/>
      <c r="JE3" s="38"/>
      <c r="JF3" s="38"/>
      <c r="JG3" s="38"/>
      <c r="JH3" s="38"/>
      <c r="JI3" s="38"/>
      <c r="JJ3" s="38"/>
      <c r="JK3" s="38"/>
      <c r="JL3" s="38"/>
      <c r="JM3" s="38"/>
      <c r="JN3" s="38"/>
      <c r="JO3" s="38"/>
      <c r="JP3" s="38"/>
      <c r="JQ3" s="38"/>
      <c r="JR3" s="38"/>
      <c r="JS3" s="38"/>
      <c r="JT3" s="38"/>
      <c r="JU3" s="38"/>
      <c r="JV3" s="38"/>
      <c r="JW3" s="38"/>
      <c r="JX3" s="38"/>
      <c r="JY3" s="38"/>
      <c r="JZ3" s="38"/>
      <c r="KA3" s="38"/>
      <c r="KB3" s="38"/>
      <c r="KC3" s="38"/>
      <c r="KD3" s="38"/>
      <c r="KE3" s="38"/>
      <c r="KF3" s="38"/>
      <c r="KG3" s="38"/>
      <c r="KH3" s="38"/>
      <c r="KI3" s="38"/>
      <c r="KJ3" s="38"/>
      <c r="KK3" s="38"/>
      <c r="KL3" s="38"/>
      <c r="KM3" s="38"/>
      <c r="KN3" s="38"/>
      <c r="KO3" s="38"/>
      <c r="KP3" s="38"/>
      <c r="KQ3" s="38"/>
      <c r="KR3" s="38"/>
      <c r="KS3" s="38"/>
      <c r="KT3" s="38"/>
      <c r="KU3" s="38"/>
      <c r="KV3" s="38"/>
      <c r="KW3" s="38"/>
      <c r="KX3" s="38"/>
      <c r="KY3" s="38"/>
      <c r="KZ3" s="38"/>
      <c r="LA3" s="38"/>
      <c r="LB3" s="38"/>
      <c r="LC3" s="38"/>
      <c r="LD3" s="38"/>
      <c r="LE3" s="38"/>
      <c r="LF3" s="38"/>
      <c r="LG3" s="38"/>
      <c r="LH3" s="38"/>
      <c r="LI3" s="38"/>
      <c r="LJ3" s="38"/>
      <c r="LK3" s="38"/>
      <c r="LL3" s="38"/>
      <c r="LM3" s="38"/>
      <c r="LN3" s="38"/>
      <c r="LO3" s="38"/>
      <c r="LP3" s="38"/>
      <c r="LQ3" s="38"/>
      <c r="LR3" s="38"/>
      <c r="LS3" s="38"/>
      <c r="LT3" s="38"/>
      <c r="LU3" s="38"/>
      <c r="LV3" s="38"/>
      <c r="LW3" s="38"/>
      <c r="LX3" s="38"/>
      <c r="LY3" s="38"/>
      <c r="LZ3" s="38"/>
      <c r="MA3" s="38"/>
      <c r="MB3" s="38"/>
      <c r="MC3" s="38"/>
      <c r="MD3" s="38"/>
      <c r="ME3" s="38"/>
      <c r="MF3" s="38"/>
      <c r="MG3" s="38"/>
      <c r="MH3" s="38"/>
      <c r="MI3" s="38"/>
      <c r="MJ3" s="38"/>
      <c r="MK3" s="38"/>
      <c r="ML3" s="38"/>
      <c r="MM3" s="38"/>
      <c r="MN3" s="38"/>
      <c r="MO3" s="38"/>
      <c r="MP3" s="38"/>
      <c r="MQ3" s="38"/>
      <c r="MR3" s="38"/>
      <c r="MS3" s="38"/>
      <c r="MT3" s="38"/>
      <c r="MU3" s="38"/>
      <c r="MV3" s="38"/>
      <c r="MW3" s="38"/>
      <c r="MX3" s="38"/>
      <c r="MY3" s="38"/>
      <c r="MZ3" s="38"/>
      <c r="NA3" s="38"/>
      <c r="NB3" s="38"/>
      <c r="NC3" s="38"/>
      <c r="ND3" s="38"/>
      <c r="NE3" s="38"/>
      <c r="NF3" s="38"/>
      <c r="NG3" s="38"/>
      <c r="NH3" s="38"/>
      <c r="NI3" s="38"/>
      <c r="NJ3" s="38"/>
      <c r="NK3" s="38"/>
      <c r="NL3" s="38"/>
      <c r="NM3" s="38"/>
      <c r="NN3" s="38"/>
      <c r="NO3" s="38"/>
      <c r="NP3" s="38"/>
      <c r="NQ3" s="38"/>
      <c r="NR3" s="38"/>
      <c r="NS3" s="38"/>
      <c r="NT3" s="38"/>
      <c r="NU3" s="38"/>
      <c r="NV3" s="38"/>
      <c r="NW3" s="38"/>
      <c r="NX3" s="38"/>
      <c r="NY3" s="38"/>
      <c r="NZ3" s="38"/>
      <c r="OA3" s="38"/>
      <c r="OB3" s="38"/>
      <c r="OC3" s="38"/>
      <c r="OD3" s="38"/>
      <c r="OE3" s="38"/>
      <c r="OF3" s="38"/>
      <c r="OG3" s="38"/>
      <c r="OH3" s="38"/>
      <c r="OI3" s="38"/>
      <c r="OJ3" s="38"/>
      <c r="OK3" s="38"/>
      <c r="OL3" s="38"/>
      <c r="OM3" s="38"/>
      <c r="ON3" s="38"/>
      <c r="OO3" s="38"/>
      <c r="OP3" s="38"/>
      <c r="OQ3" s="38"/>
      <c r="OR3" s="38"/>
      <c r="OS3" s="38"/>
      <c r="OT3" s="38"/>
      <c r="OU3" s="38"/>
      <c r="OV3" s="38"/>
      <c r="OW3" s="38"/>
      <c r="OX3" s="38"/>
      <c r="OY3" s="38"/>
      <c r="OZ3" s="38"/>
      <c r="PA3" s="38"/>
      <c r="PB3" s="38"/>
      <c r="PC3" s="38"/>
      <c r="PD3" s="38"/>
      <c r="PE3" s="38"/>
      <c r="PF3" s="38"/>
      <c r="PG3" s="38"/>
      <c r="PH3" s="38"/>
      <c r="PI3" s="38"/>
      <c r="PJ3" s="38"/>
      <c r="PK3" s="38"/>
      <c r="PL3" s="38"/>
      <c r="PM3" s="38"/>
      <c r="PN3" s="38"/>
      <c r="PO3" s="38"/>
      <c r="PP3" s="38"/>
      <c r="PQ3" s="38"/>
      <c r="PR3" s="38"/>
      <c r="PS3" s="38"/>
      <c r="PT3" s="38"/>
      <c r="PU3" s="38"/>
      <c r="PV3" s="38"/>
      <c r="PW3" s="38"/>
      <c r="PX3" s="38"/>
      <c r="PY3" s="38"/>
      <c r="PZ3" s="38"/>
      <c r="QA3" s="38"/>
      <c r="QB3" s="38"/>
      <c r="QC3" s="38"/>
      <c r="QD3" s="38"/>
      <c r="QE3" s="38"/>
      <c r="QF3" s="38"/>
      <c r="QG3" s="38"/>
      <c r="QH3" s="38"/>
      <c r="QI3" s="38"/>
      <c r="QJ3" s="38"/>
      <c r="QK3" s="38"/>
      <c r="QL3" s="38"/>
      <c r="QM3" s="38"/>
      <c r="QN3" s="38"/>
      <c r="QO3" s="38"/>
      <c r="QP3" s="38"/>
      <c r="QQ3" s="38"/>
      <c r="QR3" s="38"/>
      <c r="QS3" s="38"/>
      <c r="QT3" s="38"/>
      <c r="QU3" s="38"/>
      <c r="QV3" s="38"/>
      <c r="QW3" s="38"/>
      <c r="QX3" s="38"/>
      <c r="QY3" s="38"/>
      <c r="QZ3" s="38"/>
      <c r="RA3" s="38"/>
      <c r="RB3" s="38"/>
      <c r="RC3" s="38"/>
      <c r="RD3" s="38"/>
      <c r="RE3" s="38"/>
      <c r="RF3" s="38"/>
      <c r="RG3" s="38"/>
      <c r="RH3" s="38"/>
      <c r="RI3" s="38"/>
      <c r="RJ3" s="38"/>
      <c r="RK3" s="38"/>
      <c r="RL3" s="38"/>
      <c r="RM3" s="38"/>
      <c r="RN3" s="38"/>
      <c r="RO3" s="38"/>
      <c r="RP3" s="38"/>
      <c r="RQ3" s="38"/>
      <c r="RR3" s="38"/>
      <c r="RS3" s="38"/>
      <c r="RT3" s="38"/>
      <c r="RU3" s="38"/>
      <c r="RV3" s="38"/>
      <c r="RW3" s="38"/>
      <c r="RX3" s="38"/>
      <c r="RY3" s="38"/>
      <c r="RZ3" s="38"/>
      <c r="SA3" s="38"/>
      <c r="SB3" s="38"/>
      <c r="SC3" s="38"/>
      <c r="SD3" s="38"/>
      <c r="SE3" s="38"/>
      <c r="SF3" s="38"/>
      <c r="SG3" s="38"/>
      <c r="SH3" s="38"/>
      <c r="SI3" s="38"/>
      <c r="SJ3" s="38"/>
      <c r="SK3" s="38"/>
      <c r="SL3" s="38"/>
      <c r="SM3" s="38"/>
      <c r="SN3" s="38"/>
      <c r="SO3" s="38"/>
      <c r="SP3" s="38"/>
      <c r="SQ3" s="38"/>
      <c r="SR3" s="38"/>
      <c r="SS3" s="38"/>
      <c r="ST3" s="38"/>
      <c r="SU3" s="38"/>
      <c r="SV3" s="38"/>
      <c r="SW3" s="38"/>
      <c r="SX3" s="38"/>
      <c r="SY3" s="38"/>
      <c r="SZ3" s="38"/>
      <c r="TA3" s="38"/>
      <c r="TB3" s="38"/>
      <c r="TC3" s="38"/>
      <c r="TD3" s="38"/>
      <c r="TE3" s="38"/>
      <c r="TF3" s="38"/>
      <c r="TG3" s="38"/>
      <c r="TH3" s="38"/>
      <c r="TI3" s="38"/>
      <c r="TJ3" s="38"/>
      <c r="TK3" s="38"/>
      <c r="TL3" s="38"/>
      <c r="TM3" s="38"/>
      <c r="TN3" s="38"/>
      <c r="TO3" s="38"/>
      <c r="TP3" s="38"/>
      <c r="TQ3" s="38"/>
      <c r="TR3" s="38"/>
      <c r="TS3" s="38"/>
      <c r="TT3" s="38"/>
      <c r="TU3" s="38"/>
      <c r="TV3" s="38"/>
      <c r="TW3" s="38"/>
      <c r="TX3" s="38"/>
      <c r="TY3" s="38"/>
      <c r="TZ3" s="38"/>
      <c r="UA3" s="38"/>
      <c r="UB3" s="38"/>
      <c r="UC3" s="38"/>
      <c r="UD3" s="38"/>
      <c r="UE3" s="38"/>
      <c r="UF3" s="38"/>
      <c r="UG3" s="38"/>
      <c r="UH3" s="38"/>
      <c r="UI3" s="38"/>
      <c r="UJ3" s="38"/>
      <c r="UK3" s="38"/>
      <c r="UL3" s="38"/>
      <c r="UM3" s="38"/>
      <c r="UN3" s="38"/>
      <c r="UO3" s="38"/>
      <c r="UP3" s="38"/>
      <c r="UQ3" s="38"/>
      <c r="UR3" s="38"/>
      <c r="US3" s="38"/>
      <c r="UT3" s="38"/>
      <c r="UU3" s="38"/>
      <c r="UV3" s="38"/>
      <c r="UW3" s="38"/>
      <c r="UX3" s="38"/>
      <c r="UY3" s="38"/>
      <c r="UZ3" s="38"/>
      <c r="VA3" s="38"/>
      <c r="VB3" s="38"/>
      <c r="VC3" s="38"/>
      <c r="VD3" s="38"/>
      <c r="VE3" s="38"/>
      <c r="VF3" s="38"/>
      <c r="VG3" s="38"/>
      <c r="VH3" s="38"/>
      <c r="VI3" s="38"/>
      <c r="VJ3" s="38"/>
      <c r="VK3" s="38"/>
      <c r="VL3" s="38"/>
      <c r="VM3" s="38"/>
      <c r="VN3" s="38"/>
      <c r="VO3" s="38"/>
      <c r="VP3" s="38"/>
      <c r="VQ3" s="38"/>
      <c r="VR3" s="38"/>
      <c r="VS3" s="38"/>
      <c r="VT3" s="38"/>
      <c r="VU3" s="38"/>
      <c r="VV3" s="38"/>
      <c r="VW3" s="38"/>
      <c r="VX3" s="38"/>
      <c r="VY3" s="38"/>
      <c r="VZ3" s="38"/>
      <c r="WA3" s="38"/>
      <c r="WB3" s="38"/>
      <c r="WC3" s="38"/>
      <c r="WD3" s="38"/>
      <c r="WE3" s="38"/>
      <c r="WF3" s="38"/>
      <c r="WG3" s="38"/>
      <c r="WH3" s="38"/>
      <c r="WI3" s="38"/>
      <c r="WJ3" s="38"/>
      <c r="WK3" s="38"/>
      <c r="WL3" s="38"/>
      <c r="WM3" s="38"/>
      <c r="WN3" s="38"/>
      <c r="WO3" s="38"/>
      <c r="WP3" s="38"/>
      <c r="WQ3" s="38"/>
      <c r="WR3" s="38"/>
      <c r="WS3" s="38"/>
      <c r="WT3" s="38"/>
      <c r="WU3" s="38"/>
      <c r="WV3" s="38"/>
      <c r="WW3" s="38"/>
      <c r="WX3" s="38"/>
      <c r="WY3" s="38"/>
      <c r="WZ3" s="38"/>
      <c r="XA3" s="38"/>
      <c r="XB3" s="38"/>
      <c r="XC3" s="38"/>
      <c r="XD3" s="38"/>
      <c r="XE3" s="38"/>
      <c r="XF3" s="38"/>
      <c r="XG3" s="38"/>
      <c r="XH3" s="38"/>
      <c r="XI3" s="38"/>
      <c r="XJ3" s="38"/>
      <c r="XK3" s="38"/>
      <c r="XL3" s="38"/>
      <c r="XM3" s="38"/>
      <c r="XN3" s="38"/>
      <c r="XO3" s="38"/>
      <c r="XP3" s="38"/>
      <c r="XQ3" s="38"/>
      <c r="XR3" s="38"/>
      <c r="XS3" s="38"/>
      <c r="XT3" s="38"/>
      <c r="XU3" s="38"/>
      <c r="XV3" s="38"/>
      <c r="XW3" s="38"/>
      <c r="XX3" s="38"/>
      <c r="XY3" s="38"/>
      <c r="XZ3" s="38"/>
      <c r="YA3" s="38"/>
      <c r="YB3" s="38"/>
      <c r="YC3" s="38"/>
      <c r="YD3" s="38"/>
      <c r="YE3" s="38"/>
      <c r="YF3" s="38"/>
      <c r="YG3" s="38"/>
      <c r="YH3" s="38"/>
      <c r="YI3" s="38"/>
      <c r="YJ3" s="38"/>
      <c r="YK3" s="38"/>
      <c r="YL3" s="38"/>
      <c r="YM3" s="38"/>
      <c r="YN3" s="38"/>
      <c r="YO3" s="38"/>
      <c r="YP3" s="38"/>
      <c r="YQ3" s="38"/>
      <c r="YR3" s="38"/>
      <c r="YS3" s="38"/>
      <c r="YT3" s="38"/>
      <c r="YU3" s="38"/>
      <c r="YV3" s="38"/>
      <c r="YW3" s="38"/>
      <c r="YX3" s="38"/>
      <c r="YY3" s="38"/>
      <c r="YZ3" s="38"/>
      <c r="ZA3" s="38"/>
      <c r="ZB3" s="38"/>
      <c r="ZC3" s="38"/>
      <c r="ZD3" s="38"/>
      <c r="ZE3" s="38"/>
      <c r="ZF3" s="38"/>
      <c r="ZG3" s="38"/>
      <c r="ZH3" s="38"/>
      <c r="ZI3" s="38"/>
      <c r="ZJ3" s="38"/>
      <c r="ZK3" s="38"/>
      <c r="ZL3" s="38"/>
      <c r="ZM3" s="38"/>
      <c r="ZN3" s="38"/>
      <c r="ZO3" s="38"/>
      <c r="ZP3" s="38"/>
      <c r="ZQ3" s="38"/>
      <c r="ZR3" s="38"/>
      <c r="ZS3" s="38"/>
      <c r="ZT3" s="38"/>
      <c r="ZU3" s="38"/>
      <c r="ZV3" s="38"/>
      <c r="ZW3" s="38"/>
      <c r="ZX3" s="38"/>
      <c r="ZY3" s="38"/>
      <c r="ZZ3" s="38"/>
      <c r="AAA3" s="38"/>
      <c r="AAB3" s="38"/>
      <c r="AAC3" s="38"/>
      <c r="AAD3" s="38"/>
      <c r="AAE3" s="38"/>
      <c r="AAF3" s="38"/>
      <c r="AAG3" s="38"/>
      <c r="AAH3" s="38"/>
      <c r="AAI3" s="38"/>
      <c r="AAJ3" s="38"/>
      <c r="AAK3" s="38"/>
      <c r="AAL3" s="38"/>
      <c r="AAM3" s="38"/>
      <c r="AAN3" s="38"/>
      <c r="AAO3" s="38"/>
      <c r="AAP3" s="38"/>
      <c r="AAQ3" s="38"/>
      <c r="AAR3" s="38"/>
      <c r="AAS3" s="38"/>
      <c r="AAT3" s="38"/>
      <c r="AAU3" s="38"/>
      <c r="AAV3" s="38"/>
      <c r="AAW3" s="38"/>
      <c r="AAX3" s="38"/>
      <c r="AAY3" s="38"/>
      <c r="AAZ3" s="38"/>
      <c r="ABA3" s="38"/>
      <c r="ABB3" s="38"/>
      <c r="ABC3" s="38"/>
      <c r="ABD3" s="38"/>
      <c r="ABE3" s="38"/>
      <c r="ABF3" s="38"/>
      <c r="ABG3" s="38"/>
      <c r="ABH3" s="38"/>
      <c r="ABI3" s="38"/>
      <c r="ABJ3" s="38"/>
      <c r="ABK3" s="38"/>
      <c r="ABL3" s="38"/>
      <c r="ABM3" s="38"/>
      <c r="ABN3" s="38"/>
      <c r="ABO3" s="38"/>
      <c r="ABP3" s="38"/>
      <c r="ABQ3" s="38"/>
      <c r="ABR3" s="38"/>
      <c r="ABS3" s="38"/>
      <c r="ABT3" s="38"/>
      <c r="ABU3" s="38"/>
      <c r="ABV3" s="38"/>
      <c r="ABW3" s="38"/>
      <c r="ABX3" s="38"/>
      <c r="ABY3" s="38"/>
      <c r="ABZ3" s="38"/>
      <c r="ACA3" s="38"/>
      <c r="ACB3" s="38"/>
      <c r="ACC3" s="38"/>
      <c r="ACD3" s="38"/>
      <c r="ACE3" s="38"/>
      <c r="ACF3" s="38"/>
      <c r="ACG3" s="38"/>
      <c r="ACH3" s="38"/>
      <c r="ACI3" s="38"/>
      <c r="ACJ3" s="38"/>
      <c r="ACK3" s="38"/>
      <c r="ACL3" s="38"/>
      <c r="ACM3" s="38"/>
      <c r="ACN3" s="38"/>
      <c r="ACO3" s="38"/>
      <c r="ACP3" s="38"/>
      <c r="ACQ3" s="38"/>
      <c r="ACR3" s="38"/>
      <c r="ACS3" s="38"/>
      <c r="ACT3" s="38"/>
      <c r="ACU3" s="38"/>
      <c r="ACV3" s="38"/>
      <c r="ACW3" s="38"/>
      <c r="ACX3" s="38"/>
      <c r="ACY3" s="38"/>
      <c r="ACZ3" s="38"/>
      <c r="ADA3" s="38"/>
      <c r="ADB3" s="38"/>
      <c r="ADC3" s="38"/>
      <c r="ADD3" s="38"/>
      <c r="ADE3" s="38"/>
      <c r="ADF3" s="38"/>
      <c r="ADG3" s="38"/>
      <c r="ADH3" s="38"/>
      <c r="ADI3" s="38"/>
      <c r="ADJ3" s="38"/>
      <c r="ADK3" s="38"/>
      <c r="ADL3" s="38"/>
      <c r="ADM3" s="38"/>
      <c r="ADN3" s="38"/>
      <c r="ADO3" s="38"/>
      <c r="ADP3" s="38"/>
      <c r="ADQ3" s="38"/>
      <c r="ADR3" s="38"/>
      <c r="ADS3" s="38"/>
      <c r="ADT3" s="38"/>
      <c r="ADU3" s="38"/>
      <c r="ADV3" s="38"/>
      <c r="ADW3" s="38"/>
      <c r="ADX3" s="38"/>
      <c r="ADY3" s="38"/>
      <c r="ADZ3" s="38"/>
      <c r="AEA3" s="38"/>
      <c r="AEB3" s="38"/>
      <c r="AEC3" s="38"/>
      <c r="AED3" s="38"/>
      <c r="AEE3" s="38"/>
      <c r="AEF3" s="38"/>
      <c r="AEG3" s="38"/>
      <c r="AEH3" s="38"/>
      <c r="AEI3" s="38"/>
      <c r="AEJ3" s="38"/>
      <c r="AEK3" s="38"/>
      <c r="AEL3" s="38"/>
      <c r="AEM3" s="38"/>
      <c r="AEN3" s="38"/>
      <c r="AEO3" s="38"/>
      <c r="AEP3" s="38"/>
      <c r="AEQ3" s="38"/>
      <c r="AER3" s="38"/>
      <c r="AES3" s="38"/>
      <c r="AET3" s="38"/>
      <c r="AEU3" s="38"/>
      <c r="AEV3" s="38"/>
      <c r="AEW3" s="38"/>
      <c r="AEX3" s="38"/>
      <c r="AEY3" s="38"/>
      <c r="AEZ3" s="38"/>
      <c r="AFA3" s="38"/>
      <c r="AFB3" s="38"/>
      <c r="AFC3" s="38"/>
      <c r="AFD3" s="38"/>
      <c r="AFE3" s="38"/>
      <c r="AFF3" s="38"/>
      <c r="AFG3" s="38"/>
      <c r="AFH3" s="38"/>
      <c r="AFI3" s="38"/>
      <c r="AFJ3" s="38"/>
      <c r="AFK3" s="38"/>
      <c r="AFL3" s="38"/>
      <c r="AFM3" s="38"/>
      <c r="AFN3" s="38"/>
      <c r="AFO3" s="38"/>
      <c r="AFP3" s="38"/>
      <c r="AFQ3" s="38"/>
      <c r="AFR3" s="38"/>
      <c r="AFS3" s="38"/>
      <c r="AFT3" s="38"/>
      <c r="AFU3" s="38"/>
      <c r="AFV3" s="38"/>
      <c r="AFW3" s="38"/>
      <c r="AFX3" s="38"/>
      <c r="AFY3" s="38"/>
      <c r="AFZ3" s="38"/>
      <c r="AGA3" s="38"/>
      <c r="AGB3" s="38"/>
      <c r="AGC3" s="38"/>
      <c r="AGD3" s="38"/>
      <c r="AGE3" s="38"/>
      <c r="AGF3" s="38"/>
      <c r="AGG3" s="38"/>
      <c r="AGH3" s="38"/>
      <c r="AGI3" s="38"/>
      <c r="AGJ3" s="38"/>
      <c r="AGK3" s="38"/>
      <c r="AGL3" s="38"/>
      <c r="AGM3" s="38"/>
      <c r="AGN3" s="38"/>
      <c r="AGO3" s="38"/>
      <c r="AGP3" s="38"/>
      <c r="AGQ3" s="38"/>
      <c r="AGR3" s="38"/>
      <c r="AGS3" s="38"/>
      <c r="AGT3" s="38"/>
      <c r="AGU3" s="38"/>
      <c r="AGV3" s="38"/>
      <c r="AGW3" s="38"/>
      <c r="AGX3" s="38"/>
      <c r="AGY3" s="38"/>
      <c r="AGZ3" s="38"/>
      <c r="AHA3" s="38"/>
      <c r="AHB3" s="38"/>
      <c r="AHC3" s="38"/>
      <c r="AHD3" s="38"/>
      <c r="AHE3" s="38"/>
      <c r="AHF3" s="38"/>
      <c r="AHG3" s="38"/>
      <c r="AHH3" s="38"/>
      <c r="AHI3" s="38"/>
      <c r="AHJ3" s="38"/>
      <c r="AHK3" s="38"/>
      <c r="AHL3" s="38"/>
      <c r="AHM3" s="38"/>
      <c r="AHN3" s="38"/>
      <c r="AHO3" s="38"/>
      <c r="AHP3" s="38"/>
      <c r="AHQ3" s="38"/>
      <c r="AHR3" s="38"/>
      <c r="AHS3" s="38"/>
      <c r="AHT3" s="38"/>
      <c r="AHU3" s="38"/>
      <c r="AHV3" s="38"/>
    </row>
    <row r="4" spans="1:906" s="27" customFormat="1" x14ac:dyDescent="0.35">
      <c r="A4" s="41"/>
      <c r="B4" s="41"/>
      <c r="C4" s="41"/>
      <c r="D4" s="41"/>
      <c r="E4" s="154" t="s">
        <v>2</v>
      </c>
      <c r="F4" s="154"/>
      <c r="G4" s="154" t="s">
        <v>282</v>
      </c>
      <c r="H4" s="154"/>
      <c r="I4" s="37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</row>
    <row r="5" spans="1:906" s="27" customFormat="1" ht="33" customHeight="1" x14ac:dyDescent="0.35">
      <c r="A5" s="43" t="s">
        <v>5</v>
      </c>
      <c r="B5" s="43" t="s">
        <v>6</v>
      </c>
      <c r="C5" s="43" t="s">
        <v>7</v>
      </c>
      <c r="D5" s="43" t="s">
        <v>8</v>
      </c>
      <c r="E5" s="45" t="s">
        <v>275</v>
      </c>
      <c r="F5" s="45" t="s">
        <v>9</v>
      </c>
      <c r="G5" s="46" t="s">
        <v>283</v>
      </c>
      <c r="H5" s="46" t="s">
        <v>298</v>
      </c>
      <c r="I5" s="37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</row>
    <row r="6" spans="1:906" s="27" customFormat="1" x14ac:dyDescent="0.35">
      <c r="A6" s="83">
        <v>1</v>
      </c>
      <c r="B6" s="108" t="s">
        <v>13</v>
      </c>
      <c r="C6" s="108" t="s">
        <v>14</v>
      </c>
      <c r="D6" s="108" t="s">
        <v>15</v>
      </c>
      <c r="E6" s="125"/>
      <c r="F6" s="125"/>
      <c r="G6" s="125"/>
      <c r="H6" s="125"/>
      <c r="I6" s="37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</row>
    <row r="7" spans="1:906" s="27" customFormat="1" x14ac:dyDescent="0.35">
      <c r="A7" s="83">
        <v>2</v>
      </c>
      <c r="B7" s="108" t="s">
        <v>13</v>
      </c>
      <c r="C7" s="108" t="s">
        <v>16</v>
      </c>
      <c r="D7" s="108" t="s">
        <v>15</v>
      </c>
      <c r="E7" s="125"/>
      <c r="F7" s="125">
        <v>18.95</v>
      </c>
      <c r="G7" s="125"/>
      <c r="H7" s="125"/>
      <c r="I7" s="37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</row>
    <row r="8" spans="1:906" s="27" customFormat="1" x14ac:dyDescent="0.35">
      <c r="A8" s="83">
        <v>3</v>
      </c>
      <c r="B8" s="108" t="s">
        <v>17</v>
      </c>
      <c r="C8" s="109" t="s">
        <v>18</v>
      </c>
      <c r="D8" s="109" t="s">
        <v>19</v>
      </c>
      <c r="E8" s="125"/>
      <c r="F8" s="125"/>
      <c r="G8" s="125">
        <v>28</v>
      </c>
      <c r="H8" s="125">
        <v>22.72</v>
      </c>
      <c r="I8" s="37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</row>
    <row r="9" spans="1:906" s="27" customFormat="1" x14ac:dyDescent="0.35">
      <c r="A9" s="83">
        <v>4</v>
      </c>
      <c r="B9" s="108" t="s">
        <v>20</v>
      </c>
      <c r="C9" s="109" t="s">
        <v>18</v>
      </c>
      <c r="D9" s="109" t="s">
        <v>19</v>
      </c>
      <c r="E9" s="125"/>
      <c r="F9" s="125"/>
      <c r="G9" s="125">
        <v>28</v>
      </c>
      <c r="H9" s="125">
        <v>24.65</v>
      </c>
      <c r="I9" s="37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</row>
    <row r="10" spans="1:906" s="27" customFormat="1" x14ac:dyDescent="0.35">
      <c r="A10" s="83">
        <v>5</v>
      </c>
      <c r="B10" s="108" t="s">
        <v>21</v>
      </c>
      <c r="C10" s="109" t="s">
        <v>18</v>
      </c>
      <c r="D10" s="109" t="s">
        <v>19</v>
      </c>
      <c r="E10" s="125"/>
      <c r="F10" s="125"/>
      <c r="G10" s="125">
        <v>20</v>
      </c>
      <c r="H10" s="125">
        <v>15.56</v>
      </c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38"/>
      <c r="OD10" s="38"/>
      <c r="OE10" s="38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38"/>
      <c r="PS10" s="38"/>
      <c r="PT10" s="38"/>
      <c r="PU10" s="38"/>
      <c r="PV10" s="3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38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38"/>
      <c r="RR10" s="38"/>
      <c r="RS10" s="38"/>
      <c r="RT10" s="38"/>
      <c r="RU10" s="38"/>
      <c r="RV10" s="38"/>
      <c r="RW10" s="38"/>
      <c r="RX10" s="38"/>
      <c r="RY10" s="38"/>
      <c r="RZ10" s="38"/>
      <c r="SA10" s="38"/>
      <c r="SB10" s="38"/>
      <c r="SC10" s="38"/>
      <c r="SD10" s="38"/>
      <c r="SE10" s="38"/>
      <c r="SF10" s="38"/>
      <c r="SG10" s="38"/>
      <c r="SH10" s="38"/>
      <c r="SI10" s="38"/>
      <c r="SJ10" s="38"/>
      <c r="SK10" s="38"/>
      <c r="SL10" s="38"/>
      <c r="SM10" s="38"/>
      <c r="SN10" s="38"/>
      <c r="SO10" s="38"/>
      <c r="SP10" s="38"/>
      <c r="SQ10" s="38"/>
      <c r="SR10" s="38"/>
      <c r="SS10" s="38"/>
      <c r="ST10" s="38"/>
      <c r="SU10" s="38"/>
      <c r="SV10" s="38"/>
      <c r="SW10" s="38"/>
      <c r="SX10" s="38"/>
      <c r="SY10" s="38"/>
      <c r="SZ10" s="38"/>
      <c r="TA10" s="38"/>
      <c r="TB10" s="38"/>
      <c r="TC10" s="38"/>
      <c r="TD10" s="38"/>
      <c r="TE10" s="38"/>
      <c r="TF10" s="38"/>
      <c r="TG10" s="38"/>
      <c r="TH10" s="38"/>
      <c r="TI10" s="38"/>
      <c r="TJ10" s="38"/>
      <c r="TK10" s="38"/>
      <c r="TL10" s="38"/>
      <c r="TM10" s="38"/>
      <c r="TN10" s="38"/>
      <c r="TO10" s="38"/>
      <c r="TP10" s="38"/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38"/>
      <c r="VG10" s="38"/>
      <c r="VH10" s="38"/>
      <c r="VI10" s="38"/>
      <c r="VJ10" s="38"/>
      <c r="VK10" s="38"/>
      <c r="VL10" s="38"/>
      <c r="VM10" s="38"/>
      <c r="VN10" s="38"/>
      <c r="VO10" s="38"/>
      <c r="VP10" s="38"/>
      <c r="VQ10" s="38"/>
      <c r="VR10" s="38"/>
      <c r="VS10" s="38"/>
      <c r="VT10" s="38"/>
      <c r="VU10" s="38"/>
      <c r="VV10" s="38"/>
      <c r="VW10" s="38"/>
      <c r="VX10" s="38"/>
      <c r="VY10" s="38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/>
      <c r="WR10" s="38"/>
      <c r="WS10" s="38"/>
      <c r="WT10" s="38"/>
      <c r="WU10" s="38"/>
      <c r="WV10" s="38"/>
      <c r="WW10" s="38"/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/>
      <c r="YD10" s="38"/>
      <c r="YE10" s="38"/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38"/>
      <c r="YU10" s="38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/>
      <c r="ZM10" s="38"/>
      <c r="ZN10" s="38"/>
      <c r="ZO10" s="38"/>
      <c r="ZP10" s="38"/>
      <c r="ZQ10" s="38"/>
      <c r="ZR10" s="38"/>
      <c r="ZS10" s="38"/>
      <c r="ZT10" s="38"/>
      <c r="ZU10" s="38"/>
      <c r="ZV10" s="38"/>
      <c r="ZW10" s="38"/>
      <c r="ZX10" s="38"/>
      <c r="ZY10" s="38"/>
      <c r="ZZ10" s="38"/>
      <c r="AAA10" s="38"/>
      <c r="AAB10" s="38"/>
      <c r="AAC10" s="38"/>
      <c r="AAD10" s="38"/>
      <c r="AAE10" s="38"/>
      <c r="AAF10" s="38"/>
      <c r="AAG10" s="38"/>
      <c r="AAH10" s="38"/>
      <c r="AAI10" s="38"/>
      <c r="AAJ10" s="38"/>
      <c r="AAK10" s="38"/>
      <c r="AAL10" s="38"/>
      <c r="AAM10" s="38"/>
      <c r="AAN10" s="38"/>
      <c r="AAO10" s="38"/>
      <c r="AAP10" s="38"/>
      <c r="AAQ10" s="38"/>
      <c r="AAR10" s="38"/>
      <c r="AAS10" s="38"/>
      <c r="AAT10" s="38"/>
      <c r="AAU10" s="38"/>
      <c r="AAV10" s="38"/>
      <c r="AAW10" s="38"/>
      <c r="AAX10" s="38"/>
      <c r="AAY10" s="38"/>
      <c r="AAZ10" s="38"/>
      <c r="ABA10" s="38"/>
      <c r="ABB10" s="38"/>
      <c r="ABC10" s="38"/>
      <c r="ABD10" s="38"/>
      <c r="ABE10" s="38"/>
      <c r="ABF10" s="38"/>
      <c r="ABG10" s="38"/>
      <c r="ABH10" s="38"/>
      <c r="ABI10" s="38"/>
      <c r="ABJ10" s="38"/>
      <c r="ABK10" s="38"/>
      <c r="ABL10" s="38"/>
      <c r="ABM10" s="38"/>
      <c r="ABN10" s="38"/>
      <c r="ABO10" s="38"/>
      <c r="ABP10" s="38"/>
      <c r="ABQ10" s="38"/>
      <c r="ABR10" s="38"/>
      <c r="ABS10" s="38"/>
      <c r="ABT10" s="38"/>
      <c r="ABU10" s="38"/>
      <c r="ABV10" s="38"/>
      <c r="ABW10" s="38"/>
      <c r="ABX10" s="38"/>
      <c r="ABY10" s="38"/>
      <c r="ABZ10" s="38"/>
      <c r="ACA10" s="38"/>
      <c r="ACB10" s="38"/>
      <c r="ACC10" s="38"/>
      <c r="ACD10" s="38"/>
      <c r="ACE10" s="38"/>
      <c r="ACF10" s="38"/>
      <c r="ACG10" s="38"/>
      <c r="ACH10" s="38"/>
      <c r="ACI10" s="38"/>
      <c r="ACJ10" s="38"/>
      <c r="ACK10" s="38"/>
      <c r="ACL10" s="38"/>
      <c r="ACM10" s="38"/>
      <c r="ACN10" s="38"/>
      <c r="ACO10" s="38"/>
      <c r="ACP10" s="38"/>
      <c r="ACQ10" s="38"/>
      <c r="ACR10" s="38"/>
      <c r="ACS10" s="38"/>
      <c r="ACT10" s="38"/>
      <c r="ACU10" s="38"/>
      <c r="ACV10" s="38"/>
      <c r="ACW10" s="38"/>
      <c r="ACX10" s="38"/>
      <c r="ACY10" s="38"/>
      <c r="ACZ10" s="38"/>
      <c r="ADA10" s="38"/>
      <c r="ADB10" s="38"/>
      <c r="ADC10" s="38"/>
      <c r="ADD10" s="38"/>
      <c r="ADE10" s="38"/>
      <c r="ADF10" s="38"/>
      <c r="ADG10" s="38"/>
      <c r="ADH10" s="38"/>
      <c r="ADI10" s="38"/>
      <c r="ADJ10" s="38"/>
      <c r="ADK10" s="38"/>
      <c r="ADL10" s="38"/>
      <c r="ADM10" s="38"/>
      <c r="ADN10" s="38"/>
      <c r="ADO10" s="38"/>
      <c r="ADP10" s="38"/>
      <c r="ADQ10" s="38"/>
      <c r="ADR10" s="38"/>
      <c r="ADS10" s="38"/>
      <c r="ADT10" s="38"/>
      <c r="ADU10" s="38"/>
      <c r="ADV10" s="38"/>
      <c r="ADW10" s="38"/>
      <c r="ADX10" s="38"/>
      <c r="ADY10" s="38"/>
      <c r="ADZ10" s="38"/>
      <c r="AEA10" s="38"/>
      <c r="AEB10" s="38"/>
      <c r="AEC10" s="38"/>
      <c r="AED10" s="38"/>
      <c r="AEE10" s="38"/>
      <c r="AEF10" s="38"/>
      <c r="AEG10" s="38"/>
      <c r="AEH10" s="38"/>
      <c r="AEI10" s="38"/>
      <c r="AEJ10" s="38"/>
      <c r="AEK10" s="38"/>
      <c r="AEL10" s="38"/>
      <c r="AEM10" s="38"/>
      <c r="AEN10" s="38"/>
      <c r="AEO10" s="38"/>
      <c r="AEP10" s="38"/>
      <c r="AEQ10" s="38"/>
      <c r="AER10" s="38"/>
      <c r="AES10" s="38"/>
      <c r="AET10" s="38"/>
      <c r="AEU10" s="38"/>
      <c r="AEV10" s="38"/>
      <c r="AEW10" s="38"/>
      <c r="AEX10" s="38"/>
      <c r="AEY10" s="38"/>
      <c r="AEZ10" s="38"/>
      <c r="AFA10" s="38"/>
      <c r="AFB10" s="38"/>
      <c r="AFC10" s="38"/>
      <c r="AFD10" s="38"/>
      <c r="AFE10" s="38"/>
      <c r="AFF10" s="38"/>
      <c r="AFG10" s="38"/>
      <c r="AFH10" s="38"/>
      <c r="AFI10" s="38"/>
      <c r="AFJ10" s="38"/>
      <c r="AFK10" s="38"/>
      <c r="AFL10" s="38"/>
      <c r="AFM10" s="38"/>
      <c r="AFN10" s="38"/>
      <c r="AFO10" s="38"/>
      <c r="AFP10" s="38"/>
      <c r="AFQ10" s="38"/>
      <c r="AFR10" s="38"/>
      <c r="AFS10" s="38"/>
      <c r="AFT10" s="38"/>
      <c r="AFU10" s="38"/>
      <c r="AFV10" s="38"/>
      <c r="AFW10" s="38"/>
      <c r="AFX10" s="38"/>
      <c r="AFY10" s="38"/>
      <c r="AFZ10" s="38"/>
      <c r="AGA10" s="38"/>
      <c r="AGB10" s="38"/>
      <c r="AGC10" s="38"/>
      <c r="AGD10" s="38"/>
      <c r="AGE10" s="38"/>
      <c r="AGF10" s="38"/>
      <c r="AGG10" s="38"/>
      <c r="AGH10" s="38"/>
      <c r="AGI10" s="38"/>
      <c r="AGJ10" s="38"/>
      <c r="AGK10" s="38"/>
      <c r="AGL10" s="38"/>
      <c r="AGM10" s="38"/>
      <c r="AGN10" s="38"/>
      <c r="AGO10" s="38"/>
      <c r="AGP10" s="38"/>
      <c r="AGQ10" s="38"/>
      <c r="AGR10" s="38"/>
      <c r="AGS10" s="38"/>
      <c r="AGT10" s="38"/>
      <c r="AGU10" s="38"/>
      <c r="AGV10" s="38"/>
      <c r="AGW10" s="38"/>
      <c r="AGX10" s="38"/>
      <c r="AGY10" s="38"/>
      <c r="AGZ10" s="38"/>
      <c r="AHA10" s="38"/>
      <c r="AHB10" s="38"/>
      <c r="AHC10" s="38"/>
      <c r="AHD10" s="38"/>
      <c r="AHE10" s="38"/>
      <c r="AHF10" s="38"/>
      <c r="AHG10" s="38"/>
      <c r="AHH10" s="38"/>
      <c r="AHI10" s="38"/>
      <c r="AHJ10" s="38"/>
      <c r="AHK10" s="38"/>
      <c r="AHL10" s="38"/>
      <c r="AHM10" s="38"/>
      <c r="AHN10" s="38"/>
      <c r="AHO10" s="38"/>
      <c r="AHP10" s="38"/>
      <c r="AHQ10" s="38"/>
      <c r="AHR10" s="38"/>
      <c r="AHS10" s="38"/>
      <c r="AHT10" s="38"/>
      <c r="AHU10" s="38"/>
      <c r="AHV10" s="38"/>
    </row>
    <row r="11" spans="1:906" s="27" customFormat="1" x14ac:dyDescent="0.35">
      <c r="A11" s="83">
        <v>6</v>
      </c>
      <c r="B11" s="108" t="s">
        <v>22</v>
      </c>
      <c r="C11" s="109" t="s">
        <v>18</v>
      </c>
      <c r="D11" s="109" t="s">
        <v>19</v>
      </c>
      <c r="E11" s="125"/>
      <c r="F11" s="125"/>
      <c r="G11" s="125">
        <v>30</v>
      </c>
      <c r="H11" s="125">
        <v>23.38</v>
      </c>
      <c r="I11" s="37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38"/>
      <c r="OD11" s="38"/>
      <c r="OE11" s="38"/>
      <c r="OF11" s="38"/>
      <c r="OG11" s="38"/>
      <c r="OH11" s="38"/>
      <c r="OI11" s="38"/>
      <c r="OJ11" s="38"/>
      <c r="OK11" s="38"/>
      <c r="OL11" s="38"/>
      <c r="OM11" s="38"/>
      <c r="ON11" s="38"/>
      <c r="OO11" s="38"/>
      <c r="OP11" s="38"/>
      <c r="OQ11" s="38"/>
      <c r="OR11" s="38"/>
      <c r="OS11" s="38"/>
      <c r="OT11" s="38"/>
      <c r="OU11" s="38"/>
      <c r="OV11" s="38"/>
      <c r="OW11" s="38"/>
      <c r="OX11" s="38"/>
      <c r="OY11" s="38"/>
      <c r="OZ11" s="38"/>
      <c r="PA11" s="38"/>
      <c r="PB11" s="38"/>
      <c r="PC11" s="38"/>
      <c r="PD11" s="38"/>
      <c r="PE11" s="38"/>
      <c r="PF11" s="38"/>
      <c r="PG11" s="38"/>
      <c r="PH11" s="38"/>
      <c r="PI11" s="38"/>
      <c r="PJ11" s="38"/>
      <c r="PK11" s="38"/>
      <c r="PL11" s="38"/>
      <c r="PM11" s="38"/>
      <c r="PN11" s="38"/>
      <c r="PO11" s="38"/>
      <c r="PP11" s="38"/>
      <c r="PQ11" s="38"/>
      <c r="PR11" s="38"/>
      <c r="PS11" s="38"/>
      <c r="PT11" s="38"/>
      <c r="PU11" s="38"/>
      <c r="PV11" s="38"/>
      <c r="PW11" s="38"/>
      <c r="PX11" s="38"/>
      <c r="PY11" s="38"/>
      <c r="PZ11" s="38"/>
      <c r="QA11" s="38"/>
      <c r="QB11" s="38"/>
      <c r="QC11" s="38"/>
      <c r="QD11" s="38"/>
      <c r="QE11" s="38"/>
      <c r="QF11" s="38"/>
      <c r="QG11" s="38"/>
      <c r="QH11" s="38"/>
      <c r="QI11" s="38"/>
      <c r="QJ11" s="38"/>
      <c r="QK11" s="38"/>
      <c r="QL11" s="38"/>
      <c r="QM11" s="38"/>
      <c r="QN11" s="38"/>
      <c r="QO11" s="38"/>
      <c r="QP11" s="38"/>
      <c r="QQ11" s="38"/>
      <c r="QR11" s="38"/>
      <c r="QS11" s="38"/>
      <c r="QT11" s="38"/>
      <c r="QU11" s="38"/>
      <c r="QV11" s="38"/>
      <c r="QW11" s="38"/>
      <c r="QX11" s="38"/>
      <c r="QY11" s="38"/>
      <c r="QZ11" s="38"/>
      <c r="RA11" s="38"/>
      <c r="RB11" s="38"/>
      <c r="RC11" s="38"/>
      <c r="RD11" s="38"/>
      <c r="RE11" s="38"/>
      <c r="RF11" s="38"/>
      <c r="RG11" s="38"/>
      <c r="RH11" s="38"/>
      <c r="RI11" s="38"/>
      <c r="RJ11" s="38"/>
      <c r="RK11" s="38"/>
      <c r="RL11" s="38"/>
      <c r="RM11" s="38"/>
      <c r="RN11" s="38"/>
      <c r="RO11" s="38"/>
      <c r="RP11" s="38"/>
      <c r="RQ11" s="38"/>
      <c r="RR11" s="38"/>
      <c r="RS11" s="38"/>
      <c r="RT11" s="38"/>
      <c r="RU11" s="38"/>
      <c r="RV11" s="38"/>
      <c r="RW11" s="38"/>
      <c r="RX11" s="38"/>
      <c r="RY11" s="38"/>
      <c r="RZ11" s="38"/>
      <c r="SA11" s="38"/>
      <c r="SB11" s="38"/>
      <c r="SC11" s="38"/>
      <c r="SD11" s="38"/>
      <c r="SE11" s="38"/>
      <c r="SF11" s="38"/>
      <c r="SG11" s="38"/>
      <c r="SH11" s="38"/>
      <c r="SI11" s="38"/>
      <c r="SJ11" s="38"/>
      <c r="SK11" s="38"/>
      <c r="SL11" s="38"/>
      <c r="SM11" s="38"/>
      <c r="SN11" s="38"/>
      <c r="SO11" s="38"/>
      <c r="SP11" s="38"/>
      <c r="SQ11" s="38"/>
      <c r="SR11" s="38"/>
      <c r="SS11" s="38"/>
      <c r="ST11" s="38"/>
      <c r="SU11" s="38"/>
      <c r="SV11" s="38"/>
      <c r="SW11" s="38"/>
      <c r="SX11" s="38"/>
      <c r="SY11" s="38"/>
      <c r="SZ11" s="38"/>
      <c r="TA11" s="38"/>
      <c r="TB11" s="38"/>
      <c r="TC11" s="38"/>
      <c r="TD11" s="38"/>
      <c r="TE11" s="38"/>
      <c r="TF11" s="38"/>
      <c r="TG11" s="38"/>
      <c r="TH11" s="38"/>
      <c r="TI11" s="38"/>
      <c r="TJ11" s="38"/>
      <c r="TK11" s="38"/>
      <c r="TL11" s="38"/>
      <c r="TM11" s="38"/>
      <c r="TN11" s="38"/>
      <c r="TO11" s="38"/>
      <c r="TP11" s="38"/>
      <c r="TQ11" s="38"/>
      <c r="TR11" s="38"/>
      <c r="TS11" s="38"/>
      <c r="TT11" s="38"/>
      <c r="TU11" s="38"/>
      <c r="TV11" s="38"/>
      <c r="TW11" s="38"/>
      <c r="TX11" s="38"/>
      <c r="TY11" s="38"/>
      <c r="TZ11" s="38"/>
      <c r="UA11" s="38"/>
      <c r="UB11" s="38"/>
      <c r="UC11" s="38"/>
      <c r="UD11" s="38"/>
      <c r="UE11" s="38"/>
      <c r="UF11" s="38"/>
      <c r="UG11" s="38"/>
      <c r="UH11" s="38"/>
      <c r="UI11" s="38"/>
      <c r="UJ11" s="38"/>
      <c r="UK11" s="38"/>
      <c r="UL11" s="38"/>
      <c r="UM11" s="38"/>
      <c r="UN11" s="38"/>
      <c r="UO11" s="38"/>
      <c r="UP11" s="38"/>
      <c r="UQ11" s="38"/>
      <c r="UR11" s="38"/>
      <c r="US11" s="38"/>
      <c r="UT11" s="38"/>
      <c r="UU11" s="38"/>
      <c r="UV11" s="38"/>
      <c r="UW11" s="38"/>
      <c r="UX11" s="38"/>
      <c r="UY11" s="38"/>
      <c r="UZ11" s="38"/>
      <c r="VA11" s="38"/>
      <c r="VB11" s="38"/>
      <c r="VC11" s="38"/>
      <c r="VD11" s="38"/>
      <c r="VE11" s="38"/>
      <c r="VF11" s="38"/>
      <c r="VG11" s="38"/>
      <c r="VH11" s="38"/>
      <c r="VI11" s="38"/>
      <c r="VJ11" s="38"/>
      <c r="VK11" s="38"/>
      <c r="VL11" s="38"/>
      <c r="VM11" s="38"/>
      <c r="VN11" s="38"/>
      <c r="VO11" s="38"/>
      <c r="VP11" s="38"/>
      <c r="VQ11" s="38"/>
      <c r="VR11" s="38"/>
      <c r="VS11" s="38"/>
      <c r="VT11" s="38"/>
      <c r="VU11" s="38"/>
      <c r="VV11" s="38"/>
      <c r="VW11" s="38"/>
      <c r="VX11" s="38"/>
      <c r="VY11" s="38"/>
      <c r="VZ11" s="38"/>
      <c r="WA11" s="38"/>
      <c r="WB11" s="38"/>
      <c r="WC11" s="38"/>
      <c r="WD11" s="38"/>
      <c r="WE11" s="38"/>
      <c r="WF11" s="38"/>
      <c r="WG11" s="38"/>
      <c r="WH11" s="38"/>
      <c r="WI11" s="38"/>
      <c r="WJ11" s="38"/>
      <c r="WK11" s="38"/>
      <c r="WL11" s="38"/>
      <c r="WM11" s="38"/>
      <c r="WN11" s="38"/>
      <c r="WO11" s="38"/>
      <c r="WP11" s="38"/>
      <c r="WQ11" s="38"/>
      <c r="WR11" s="38"/>
      <c r="WS11" s="38"/>
      <c r="WT11" s="38"/>
      <c r="WU11" s="38"/>
      <c r="WV11" s="38"/>
      <c r="WW11" s="38"/>
      <c r="WX11" s="38"/>
      <c r="WY11" s="38"/>
      <c r="WZ11" s="38"/>
      <c r="XA11" s="38"/>
      <c r="XB11" s="38"/>
      <c r="XC11" s="38"/>
      <c r="XD11" s="38"/>
      <c r="XE11" s="38"/>
      <c r="XF11" s="38"/>
      <c r="XG11" s="38"/>
      <c r="XH11" s="38"/>
      <c r="XI11" s="38"/>
      <c r="XJ11" s="38"/>
      <c r="XK11" s="38"/>
      <c r="XL11" s="38"/>
      <c r="XM11" s="38"/>
      <c r="XN11" s="38"/>
      <c r="XO11" s="38"/>
      <c r="XP11" s="38"/>
      <c r="XQ11" s="38"/>
      <c r="XR11" s="38"/>
      <c r="XS11" s="38"/>
      <c r="XT11" s="38"/>
      <c r="XU11" s="38"/>
      <c r="XV11" s="38"/>
      <c r="XW11" s="38"/>
      <c r="XX11" s="38"/>
      <c r="XY11" s="38"/>
      <c r="XZ11" s="38"/>
      <c r="YA11" s="38"/>
      <c r="YB11" s="38"/>
      <c r="YC11" s="38"/>
      <c r="YD11" s="38"/>
      <c r="YE11" s="38"/>
      <c r="YF11" s="38"/>
      <c r="YG11" s="38"/>
      <c r="YH11" s="38"/>
      <c r="YI11" s="38"/>
      <c r="YJ11" s="38"/>
      <c r="YK11" s="38"/>
      <c r="YL11" s="38"/>
      <c r="YM11" s="38"/>
      <c r="YN11" s="38"/>
      <c r="YO11" s="38"/>
      <c r="YP11" s="38"/>
      <c r="YQ11" s="38"/>
      <c r="YR11" s="38"/>
      <c r="YS11" s="38"/>
      <c r="YT11" s="38"/>
      <c r="YU11" s="38"/>
      <c r="YV11" s="38"/>
      <c r="YW11" s="38"/>
      <c r="YX11" s="38"/>
      <c r="YY11" s="38"/>
      <c r="YZ11" s="38"/>
      <c r="ZA11" s="38"/>
      <c r="ZB11" s="38"/>
      <c r="ZC11" s="38"/>
      <c r="ZD11" s="38"/>
      <c r="ZE11" s="38"/>
      <c r="ZF11" s="38"/>
      <c r="ZG11" s="38"/>
      <c r="ZH11" s="38"/>
      <c r="ZI11" s="38"/>
      <c r="ZJ11" s="38"/>
      <c r="ZK11" s="38"/>
      <c r="ZL11" s="38"/>
      <c r="ZM11" s="38"/>
      <c r="ZN11" s="38"/>
      <c r="ZO11" s="38"/>
      <c r="ZP11" s="38"/>
      <c r="ZQ11" s="38"/>
      <c r="ZR11" s="38"/>
      <c r="ZS11" s="38"/>
      <c r="ZT11" s="38"/>
      <c r="ZU11" s="38"/>
      <c r="ZV11" s="38"/>
      <c r="ZW11" s="38"/>
      <c r="ZX11" s="38"/>
      <c r="ZY11" s="38"/>
      <c r="ZZ11" s="38"/>
      <c r="AAA11" s="38"/>
      <c r="AAB11" s="38"/>
      <c r="AAC11" s="38"/>
      <c r="AAD11" s="38"/>
      <c r="AAE11" s="38"/>
      <c r="AAF11" s="38"/>
      <c r="AAG11" s="38"/>
      <c r="AAH11" s="38"/>
      <c r="AAI11" s="38"/>
      <c r="AAJ11" s="38"/>
      <c r="AAK11" s="38"/>
      <c r="AAL11" s="38"/>
      <c r="AAM11" s="38"/>
      <c r="AAN11" s="38"/>
      <c r="AAO11" s="38"/>
      <c r="AAP11" s="38"/>
      <c r="AAQ11" s="38"/>
      <c r="AAR11" s="38"/>
      <c r="AAS11" s="38"/>
      <c r="AAT11" s="38"/>
      <c r="AAU11" s="38"/>
      <c r="AAV11" s="38"/>
      <c r="AAW11" s="38"/>
      <c r="AAX11" s="38"/>
      <c r="AAY11" s="38"/>
      <c r="AAZ11" s="38"/>
      <c r="ABA11" s="38"/>
      <c r="ABB11" s="38"/>
      <c r="ABC11" s="38"/>
      <c r="ABD11" s="38"/>
      <c r="ABE11" s="38"/>
      <c r="ABF11" s="38"/>
      <c r="ABG11" s="38"/>
      <c r="ABH11" s="38"/>
      <c r="ABI11" s="38"/>
      <c r="ABJ11" s="38"/>
      <c r="ABK11" s="38"/>
      <c r="ABL11" s="38"/>
      <c r="ABM11" s="38"/>
      <c r="ABN11" s="38"/>
      <c r="ABO11" s="38"/>
      <c r="ABP11" s="38"/>
      <c r="ABQ11" s="38"/>
      <c r="ABR11" s="38"/>
      <c r="ABS11" s="38"/>
      <c r="ABT11" s="38"/>
      <c r="ABU11" s="38"/>
      <c r="ABV11" s="38"/>
      <c r="ABW11" s="38"/>
      <c r="ABX11" s="38"/>
      <c r="ABY11" s="38"/>
      <c r="ABZ11" s="38"/>
      <c r="ACA11" s="38"/>
      <c r="ACB11" s="38"/>
      <c r="ACC11" s="38"/>
      <c r="ACD11" s="38"/>
      <c r="ACE11" s="38"/>
      <c r="ACF11" s="38"/>
      <c r="ACG11" s="38"/>
      <c r="ACH11" s="38"/>
      <c r="ACI11" s="38"/>
      <c r="ACJ11" s="38"/>
      <c r="ACK11" s="38"/>
      <c r="ACL11" s="38"/>
      <c r="ACM11" s="38"/>
      <c r="ACN11" s="38"/>
      <c r="ACO11" s="38"/>
      <c r="ACP11" s="38"/>
      <c r="ACQ11" s="38"/>
      <c r="ACR11" s="38"/>
      <c r="ACS11" s="38"/>
      <c r="ACT11" s="38"/>
      <c r="ACU11" s="38"/>
      <c r="ACV11" s="38"/>
      <c r="ACW11" s="38"/>
      <c r="ACX11" s="38"/>
      <c r="ACY11" s="38"/>
      <c r="ACZ11" s="38"/>
      <c r="ADA11" s="38"/>
      <c r="ADB11" s="38"/>
      <c r="ADC11" s="38"/>
      <c r="ADD11" s="38"/>
      <c r="ADE11" s="38"/>
      <c r="ADF11" s="38"/>
      <c r="ADG11" s="38"/>
      <c r="ADH11" s="38"/>
      <c r="ADI11" s="38"/>
      <c r="ADJ11" s="38"/>
      <c r="ADK11" s="38"/>
      <c r="ADL11" s="38"/>
      <c r="ADM11" s="38"/>
      <c r="ADN11" s="38"/>
      <c r="ADO11" s="38"/>
      <c r="ADP11" s="38"/>
      <c r="ADQ11" s="38"/>
      <c r="ADR11" s="38"/>
      <c r="ADS11" s="38"/>
      <c r="ADT11" s="38"/>
      <c r="ADU11" s="38"/>
      <c r="ADV11" s="38"/>
      <c r="ADW11" s="38"/>
      <c r="ADX11" s="38"/>
      <c r="ADY11" s="38"/>
      <c r="ADZ11" s="38"/>
      <c r="AEA11" s="38"/>
      <c r="AEB11" s="38"/>
      <c r="AEC11" s="38"/>
      <c r="AED11" s="38"/>
      <c r="AEE11" s="38"/>
      <c r="AEF11" s="38"/>
      <c r="AEG11" s="38"/>
      <c r="AEH11" s="38"/>
      <c r="AEI11" s="38"/>
      <c r="AEJ11" s="38"/>
      <c r="AEK11" s="38"/>
      <c r="AEL11" s="38"/>
      <c r="AEM11" s="38"/>
      <c r="AEN11" s="38"/>
      <c r="AEO11" s="38"/>
      <c r="AEP11" s="38"/>
      <c r="AEQ11" s="38"/>
      <c r="AER11" s="38"/>
      <c r="AES11" s="38"/>
      <c r="AET11" s="38"/>
      <c r="AEU11" s="38"/>
      <c r="AEV11" s="38"/>
      <c r="AEW11" s="38"/>
      <c r="AEX11" s="38"/>
      <c r="AEY11" s="38"/>
      <c r="AEZ11" s="38"/>
      <c r="AFA11" s="38"/>
      <c r="AFB11" s="38"/>
      <c r="AFC11" s="38"/>
      <c r="AFD11" s="38"/>
      <c r="AFE11" s="38"/>
      <c r="AFF11" s="38"/>
      <c r="AFG11" s="38"/>
      <c r="AFH11" s="38"/>
      <c r="AFI11" s="38"/>
      <c r="AFJ11" s="38"/>
      <c r="AFK11" s="38"/>
      <c r="AFL11" s="38"/>
      <c r="AFM11" s="38"/>
      <c r="AFN11" s="38"/>
      <c r="AFO11" s="38"/>
      <c r="AFP11" s="38"/>
      <c r="AFQ11" s="38"/>
      <c r="AFR11" s="38"/>
      <c r="AFS11" s="38"/>
      <c r="AFT11" s="38"/>
      <c r="AFU11" s="38"/>
      <c r="AFV11" s="38"/>
      <c r="AFW11" s="38"/>
      <c r="AFX11" s="38"/>
      <c r="AFY11" s="38"/>
      <c r="AFZ11" s="38"/>
      <c r="AGA11" s="38"/>
      <c r="AGB11" s="38"/>
      <c r="AGC11" s="38"/>
      <c r="AGD11" s="38"/>
      <c r="AGE11" s="38"/>
      <c r="AGF11" s="38"/>
      <c r="AGG11" s="38"/>
      <c r="AGH11" s="38"/>
      <c r="AGI11" s="38"/>
      <c r="AGJ11" s="38"/>
      <c r="AGK11" s="38"/>
      <c r="AGL11" s="38"/>
      <c r="AGM11" s="38"/>
      <c r="AGN11" s="38"/>
      <c r="AGO11" s="38"/>
      <c r="AGP11" s="38"/>
      <c r="AGQ11" s="38"/>
      <c r="AGR11" s="38"/>
      <c r="AGS11" s="38"/>
      <c r="AGT11" s="38"/>
      <c r="AGU11" s="38"/>
      <c r="AGV11" s="38"/>
      <c r="AGW11" s="38"/>
      <c r="AGX11" s="38"/>
      <c r="AGY11" s="38"/>
      <c r="AGZ11" s="38"/>
      <c r="AHA11" s="38"/>
      <c r="AHB11" s="38"/>
      <c r="AHC11" s="38"/>
      <c r="AHD11" s="38"/>
      <c r="AHE11" s="38"/>
      <c r="AHF11" s="38"/>
      <c r="AHG11" s="38"/>
      <c r="AHH11" s="38"/>
      <c r="AHI11" s="38"/>
      <c r="AHJ11" s="38"/>
      <c r="AHK11" s="38"/>
      <c r="AHL11" s="38"/>
      <c r="AHM11" s="38"/>
      <c r="AHN11" s="38"/>
      <c r="AHO11" s="38"/>
      <c r="AHP11" s="38"/>
      <c r="AHQ11" s="38"/>
      <c r="AHR11" s="38"/>
      <c r="AHS11" s="38"/>
      <c r="AHT11" s="38"/>
      <c r="AHU11" s="38"/>
      <c r="AHV11" s="38"/>
    </row>
    <row r="12" spans="1:906" s="27" customFormat="1" x14ac:dyDescent="0.35">
      <c r="A12" s="83">
        <v>7</v>
      </c>
      <c r="B12" s="108" t="s">
        <v>23</v>
      </c>
      <c r="C12" s="109" t="s">
        <v>18</v>
      </c>
      <c r="D12" s="109" t="s">
        <v>19</v>
      </c>
      <c r="E12" s="125"/>
      <c r="F12" s="125"/>
      <c r="G12" s="125">
        <v>50</v>
      </c>
      <c r="H12" s="125"/>
      <c r="I12" s="37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  <c r="KW12" s="38"/>
      <c r="KX12" s="38"/>
      <c r="KY12" s="38"/>
      <c r="KZ12" s="38"/>
      <c r="LA12" s="38"/>
      <c r="LB12" s="38"/>
      <c r="LC12" s="38"/>
      <c r="LD12" s="38"/>
      <c r="LE12" s="38"/>
      <c r="LF12" s="38"/>
      <c r="LG12" s="38"/>
      <c r="LH12" s="38"/>
      <c r="LI12" s="38"/>
      <c r="LJ12" s="38"/>
      <c r="LK12" s="38"/>
      <c r="LL12" s="38"/>
      <c r="LM12" s="38"/>
      <c r="LN12" s="38"/>
      <c r="LO12" s="38"/>
      <c r="LP12" s="38"/>
      <c r="LQ12" s="38"/>
      <c r="LR12" s="38"/>
      <c r="LS12" s="38"/>
      <c r="LT12" s="38"/>
      <c r="LU12" s="38"/>
      <c r="LV12" s="38"/>
      <c r="LW12" s="38"/>
      <c r="LX12" s="38"/>
      <c r="LY12" s="38"/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/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  <c r="NB12" s="38"/>
      <c r="NC12" s="38"/>
      <c r="ND12" s="38"/>
      <c r="NE12" s="38"/>
      <c r="NF12" s="38"/>
      <c r="NG12" s="38"/>
      <c r="NH12" s="38"/>
      <c r="NI12" s="38"/>
      <c r="NJ12" s="38"/>
      <c r="NK12" s="38"/>
      <c r="NL12" s="38"/>
      <c r="NM12" s="38"/>
      <c r="NN12" s="38"/>
      <c r="NO12" s="38"/>
      <c r="NP12" s="38"/>
      <c r="NQ12" s="38"/>
      <c r="NR12" s="38"/>
      <c r="NS12" s="38"/>
      <c r="NT12" s="38"/>
      <c r="NU12" s="38"/>
      <c r="NV12" s="38"/>
      <c r="NW12" s="38"/>
      <c r="NX12" s="38"/>
      <c r="NY12" s="38"/>
      <c r="NZ12" s="38"/>
      <c r="OA12" s="38"/>
      <c r="OB12" s="38"/>
      <c r="OC12" s="38"/>
      <c r="OD12" s="38"/>
      <c r="OE12" s="38"/>
      <c r="OF12" s="38"/>
      <c r="OG12" s="38"/>
      <c r="OH12" s="38"/>
      <c r="OI12" s="38"/>
      <c r="OJ12" s="38"/>
      <c r="OK12" s="38"/>
      <c r="OL12" s="38"/>
      <c r="OM12" s="38"/>
      <c r="ON12" s="38"/>
      <c r="OO12" s="38"/>
      <c r="OP12" s="38"/>
      <c r="OQ12" s="38"/>
      <c r="OR12" s="38"/>
      <c r="OS12" s="38"/>
      <c r="OT12" s="38"/>
      <c r="OU12" s="38"/>
      <c r="OV12" s="38"/>
      <c r="OW12" s="38"/>
      <c r="OX12" s="38"/>
      <c r="OY12" s="38"/>
      <c r="OZ12" s="38"/>
      <c r="PA12" s="38"/>
      <c r="PB12" s="38"/>
      <c r="PC12" s="38"/>
      <c r="PD12" s="38"/>
      <c r="PE12" s="38"/>
      <c r="PF12" s="38"/>
      <c r="PG12" s="38"/>
      <c r="PH12" s="38"/>
      <c r="PI12" s="38"/>
      <c r="PJ12" s="38"/>
      <c r="PK12" s="38"/>
      <c r="PL12" s="38"/>
      <c r="PM12" s="38"/>
      <c r="PN12" s="38"/>
      <c r="PO12" s="38"/>
      <c r="PP12" s="38"/>
      <c r="PQ12" s="38"/>
      <c r="PR12" s="38"/>
      <c r="PS12" s="38"/>
      <c r="PT12" s="38"/>
      <c r="PU12" s="38"/>
      <c r="PV12" s="38"/>
      <c r="PW12" s="38"/>
      <c r="PX12" s="38"/>
      <c r="PY12" s="38"/>
      <c r="PZ12" s="38"/>
      <c r="QA12" s="38"/>
      <c r="QB12" s="38"/>
      <c r="QC12" s="38"/>
      <c r="QD12" s="38"/>
      <c r="QE12" s="38"/>
      <c r="QF12" s="38"/>
      <c r="QG12" s="38"/>
      <c r="QH12" s="38"/>
      <c r="QI12" s="38"/>
      <c r="QJ12" s="38"/>
      <c r="QK12" s="38"/>
      <c r="QL12" s="38"/>
      <c r="QM12" s="38"/>
      <c r="QN12" s="38"/>
      <c r="QO12" s="38"/>
      <c r="QP12" s="38"/>
      <c r="QQ12" s="38"/>
      <c r="QR12" s="38"/>
      <c r="QS12" s="38"/>
      <c r="QT12" s="38"/>
      <c r="QU12" s="38"/>
      <c r="QV12" s="38"/>
      <c r="QW12" s="38"/>
      <c r="QX12" s="38"/>
      <c r="QY12" s="38"/>
      <c r="QZ12" s="38"/>
      <c r="RA12" s="38"/>
      <c r="RB12" s="38"/>
      <c r="RC12" s="38"/>
      <c r="RD12" s="38"/>
      <c r="RE12" s="38"/>
      <c r="RF12" s="38"/>
      <c r="RG12" s="38"/>
      <c r="RH12" s="38"/>
      <c r="RI12" s="38"/>
      <c r="RJ12" s="38"/>
      <c r="RK12" s="38"/>
      <c r="RL12" s="38"/>
      <c r="RM12" s="38"/>
      <c r="RN12" s="38"/>
      <c r="RO12" s="38"/>
      <c r="RP12" s="38"/>
      <c r="RQ12" s="38"/>
      <c r="RR12" s="38"/>
      <c r="RS12" s="38"/>
      <c r="RT12" s="38"/>
      <c r="RU12" s="38"/>
      <c r="RV12" s="38"/>
      <c r="RW12" s="38"/>
      <c r="RX12" s="38"/>
      <c r="RY12" s="38"/>
      <c r="RZ12" s="38"/>
      <c r="SA12" s="38"/>
      <c r="SB12" s="38"/>
      <c r="SC12" s="38"/>
      <c r="SD12" s="38"/>
      <c r="SE12" s="38"/>
      <c r="SF12" s="38"/>
      <c r="SG12" s="38"/>
      <c r="SH12" s="38"/>
      <c r="SI12" s="38"/>
      <c r="SJ12" s="38"/>
      <c r="SK12" s="38"/>
      <c r="SL12" s="38"/>
      <c r="SM12" s="38"/>
      <c r="SN12" s="38"/>
      <c r="SO12" s="38"/>
      <c r="SP12" s="38"/>
      <c r="SQ12" s="38"/>
      <c r="SR12" s="38"/>
      <c r="SS12" s="38"/>
      <c r="ST12" s="38"/>
      <c r="SU12" s="38"/>
      <c r="SV12" s="38"/>
      <c r="SW12" s="38"/>
      <c r="SX12" s="38"/>
      <c r="SY12" s="38"/>
      <c r="SZ12" s="38"/>
      <c r="TA12" s="38"/>
      <c r="TB12" s="38"/>
      <c r="TC12" s="38"/>
      <c r="TD12" s="38"/>
      <c r="TE12" s="38"/>
      <c r="TF12" s="38"/>
      <c r="TG12" s="38"/>
      <c r="TH12" s="38"/>
      <c r="TI12" s="38"/>
      <c r="TJ12" s="38"/>
      <c r="TK12" s="38"/>
      <c r="TL12" s="38"/>
      <c r="TM12" s="38"/>
      <c r="TN12" s="38"/>
      <c r="TO12" s="38"/>
      <c r="TP12" s="38"/>
      <c r="TQ12" s="38"/>
      <c r="TR12" s="38"/>
      <c r="TS12" s="38"/>
      <c r="TT12" s="38"/>
      <c r="TU12" s="38"/>
      <c r="TV12" s="38"/>
      <c r="TW12" s="38"/>
      <c r="TX12" s="38"/>
      <c r="TY12" s="38"/>
      <c r="TZ12" s="38"/>
      <c r="UA12" s="38"/>
      <c r="UB12" s="38"/>
      <c r="UC12" s="38"/>
      <c r="UD12" s="38"/>
      <c r="UE12" s="38"/>
      <c r="UF12" s="38"/>
      <c r="UG12" s="38"/>
      <c r="UH12" s="38"/>
      <c r="UI12" s="38"/>
      <c r="UJ12" s="38"/>
      <c r="UK12" s="38"/>
      <c r="UL12" s="38"/>
      <c r="UM12" s="38"/>
      <c r="UN12" s="38"/>
      <c r="UO12" s="38"/>
      <c r="UP12" s="38"/>
      <c r="UQ12" s="38"/>
      <c r="UR12" s="38"/>
      <c r="US12" s="38"/>
      <c r="UT12" s="38"/>
      <c r="UU12" s="38"/>
      <c r="UV12" s="38"/>
      <c r="UW12" s="38"/>
      <c r="UX12" s="38"/>
      <c r="UY12" s="38"/>
      <c r="UZ12" s="38"/>
      <c r="VA12" s="38"/>
      <c r="VB12" s="38"/>
      <c r="VC12" s="38"/>
      <c r="VD12" s="38"/>
      <c r="VE12" s="38"/>
      <c r="VF12" s="38"/>
      <c r="VG12" s="38"/>
      <c r="VH12" s="38"/>
      <c r="VI12" s="38"/>
      <c r="VJ12" s="38"/>
      <c r="VK12" s="38"/>
      <c r="VL12" s="38"/>
      <c r="VM12" s="38"/>
      <c r="VN12" s="38"/>
      <c r="VO12" s="38"/>
      <c r="VP12" s="38"/>
      <c r="VQ12" s="38"/>
      <c r="VR12" s="38"/>
      <c r="VS12" s="38"/>
      <c r="VT12" s="38"/>
      <c r="VU12" s="38"/>
      <c r="VV12" s="38"/>
      <c r="VW12" s="38"/>
      <c r="VX12" s="38"/>
      <c r="VY12" s="38"/>
      <c r="VZ12" s="38"/>
      <c r="WA12" s="38"/>
      <c r="WB12" s="38"/>
      <c r="WC12" s="38"/>
      <c r="WD12" s="38"/>
      <c r="WE12" s="38"/>
      <c r="WF12" s="38"/>
      <c r="WG12" s="38"/>
      <c r="WH12" s="38"/>
      <c r="WI12" s="38"/>
      <c r="WJ12" s="38"/>
      <c r="WK12" s="38"/>
      <c r="WL12" s="38"/>
      <c r="WM12" s="38"/>
      <c r="WN12" s="38"/>
      <c r="WO12" s="38"/>
      <c r="WP12" s="38"/>
      <c r="WQ12" s="38"/>
      <c r="WR12" s="38"/>
      <c r="WS12" s="38"/>
      <c r="WT12" s="38"/>
      <c r="WU12" s="38"/>
      <c r="WV12" s="38"/>
      <c r="WW12" s="38"/>
      <c r="WX12" s="38"/>
      <c r="WY12" s="38"/>
      <c r="WZ12" s="38"/>
      <c r="XA12" s="38"/>
      <c r="XB12" s="38"/>
      <c r="XC12" s="38"/>
      <c r="XD12" s="38"/>
      <c r="XE12" s="38"/>
      <c r="XF12" s="38"/>
      <c r="XG12" s="38"/>
      <c r="XH12" s="38"/>
      <c r="XI12" s="38"/>
      <c r="XJ12" s="38"/>
      <c r="XK12" s="38"/>
      <c r="XL12" s="38"/>
      <c r="XM12" s="38"/>
      <c r="XN12" s="38"/>
      <c r="XO12" s="38"/>
      <c r="XP12" s="38"/>
      <c r="XQ12" s="38"/>
      <c r="XR12" s="38"/>
      <c r="XS12" s="38"/>
      <c r="XT12" s="38"/>
      <c r="XU12" s="38"/>
      <c r="XV12" s="38"/>
      <c r="XW12" s="38"/>
      <c r="XX12" s="38"/>
      <c r="XY12" s="38"/>
      <c r="XZ12" s="38"/>
      <c r="YA12" s="38"/>
      <c r="YB12" s="38"/>
      <c r="YC12" s="38"/>
      <c r="YD12" s="38"/>
      <c r="YE12" s="38"/>
      <c r="YF12" s="38"/>
      <c r="YG12" s="38"/>
      <c r="YH12" s="38"/>
      <c r="YI12" s="38"/>
      <c r="YJ12" s="38"/>
      <c r="YK12" s="38"/>
      <c r="YL12" s="38"/>
      <c r="YM12" s="38"/>
      <c r="YN12" s="38"/>
      <c r="YO12" s="38"/>
      <c r="YP12" s="38"/>
      <c r="YQ12" s="38"/>
      <c r="YR12" s="38"/>
      <c r="YS12" s="38"/>
      <c r="YT12" s="38"/>
      <c r="YU12" s="38"/>
      <c r="YV12" s="38"/>
      <c r="YW12" s="38"/>
      <c r="YX12" s="38"/>
      <c r="YY12" s="38"/>
      <c r="YZ12" s="38"/>
      <c r="ZA12" s="38"/>
      <c r="ZB12" s="38"/>
      <c r="ZC12" s="38"/>
      <c r="ZD12" s="38"/>
      <c r="ZE12" s="38"/>
      <c r="ZF12" s="38"/>
      <c r="ZG12" s="38"/>
      <c r="ZH12" s="38"/>
      <c r="ZI12" s="38"/>
      <c r="ZJ12" s="38"/>
      <c r="ZK12" s="38"/>
      <c r="ZL12" s="38"/>
      <c r="ZM12" s="38"/>
      <c r="ZN12" s="38"/>
      <c r="ZO12" s="38"/>
      <c r="ZP12" s="38"/>
      <c r="ZQ12" s="38"/>
      <c r="ZR12" s="38"/>
      <c r="ZS12" s="38"/>
      <c r="ZT12" s="38"/>
      <c r="ZU12" s="38"/>
      <c r="ZV12" s="38"/>
      <c r="ZW12" s="38"/>
      <c r="ZX12" s="38"/>
      <c r="ZY12" s="38"/>
      <c r="ZZ12" s="38"/>
      <c r="AAA12" s="38"/>
      <c r="AAB12" s="38"/>
      <c r="AAC12" s="38"/>
      <c r="AAD12" s="38"/>
      <c r="AAE12" s="38"/>
      <c r="AAF12" s="38"/>
      <c r="AAG12" s="38"/>
      <c r="AAH12" s="38"/>
      <c r="AAI12" s="38"/>
      <c r="AAJ12" s="38"/>
      <c r="AAK12" s="38"/>
      <c r="AAL12" s="38"/>
      <c r="AAM12" s="38"/>
      <c r="AAN12" s="38"/>
      <c r="AAO12" s="38"/>
      <c r="AAP12" s="38"/>
      <c r="AAQ12" s="38"/>
      <c r="AAR12" s="38"/>
      <c r="AAS12" s="38"/>
      <c r="AAT12" s="38"/>
      <c r="AAU12" s="38"/>
      <c r="AAV12" s="38"/>
      <c r="AAW12" s="38"/>
      <c r="AAX12" s="38"/>
      <c r="AAY12" s="38"/>
      <c r="AAZ12" s="38"/>
      <c r="ABA12" s="38"/>
      <c r="ABB12" s="38"/>
      <c r="ABC12" s="38"/>
      <c r="ABD12" s="38"/>
      <c r="ABE12" s="38"/>
      <c r="ABF12" s="38"/>
      <c r="ABG12" s="38"/>
      <c r="ABH12" s="38"/>
      <c r="ABI12" s="38"/>
      <c r="ABJ12" s="38"/>
      <c r="ABK12" s="38"/>
      <c r="ABL12" s="38"/>
      <c r="ABM12" s="38"/>
      <c r="ABN12" s="38"/>
      <c r="ABO12" s="38"/>
      <c r="ABP12" s="38"/>
      <c r="ABQ12" s="38"/>
      <c r="ABR12" s="38"/>
      <c r="ABS12" s="38"/>
      <c r="ABT12" s="38"/>
      <c r="ABU12" s="38"/>
      <c r="ABV12" s="38"/>
      <c r="ABW12" s="38"/>
      <c r="ABX12" s="38"/>
      <c r="ABY12" s="38"/>
      <c r="ABZ12" s="38"/>
      <c r="ACA12" s="38"/>
      <c r="ACB12" s="38"/>
      <c r="ACC12" s="38"/>
      <c r="ACD12" s="38"/>
      <c r="ACE12" s="38"/>
      <c r="ACF12" s="38"/>
      <c r="ACG12" s="38"/>
      <c r="ACH12" s="38"/>
      <c r="ACI12" s="38"/>
      <c r="ACJ12" s="38"/>
      <c r="ACK12" s="38"/>
      <c r="ACL12" s="38"/>
      <c r="ACM12" s="38"/>
      <c r="ACN12" s="38"/>
      <c r="ACO12" s="38"/>
      <c r="ACP12" s="38"/>
      <c r="ACQ12" s="38"/>
      <c r="ACR12" s="38"/>
      <c r="ACS12" s="38"/>
      <c r="ACT12" s="38"/>
      <c r="ACU12" s="38"/>
      <c r="ACV12" s="38"/>
      <c r="ACW12" s="38"/>
      <c r="ACX12" s="38"/>
      <c r="ACY12" s="38"/>
      <c r="ACZ12" s="38"/>
      <c r="ADA12" s="38"/>
      <c r="ADB12" s="38"/>
      <c r="ADC12" s="38"/>
      <c r="ADD12" s="38"/>
      <c r="ADE12" s="38"/>
      <c r="ADF12" s="38"/>
      <c r="ADG12" s="38"/>
      <c r="ADH12" s="38"/>
      <c r="ADI12" s="38"/>
      <c r="ADJ12" s="38"/>
      <c r="ADK12" s="38"/>
      <c r="ADL12" s="38"/>
      <c r="ADM12" s="38"/>
      <c r="ADN12" s="38"/>
      <c r="ADO12" s="38"/>
      <c r="ADP12" s="38"/>
      <c r="ADQ12" s="38"/>
      <c r="ADR12" s="38"/>
      <c r="ADS12" s="38"/>
      <c r="ADT12" s="38"/>
      <c r="ADU12" s="38"/>
      <c r="ADV12" s="38"/>
      <c r="ADW12" s="38"/>
      <c r="ADX12" s="38"/>
      <c r="ADY12" s="38"/>
      <c r="ADZ12" s="38"/>
      <c r="AEA12" s="38"/>
      <c r="AEB12" s="38"/>
      <c r="AEC12" s="38"/>
      <c r="AED12" s="38"/>
      <c r="AEE12" s="38"/>
      <c r="AEF12" s="38"/>
      <c r="AEG12" s="38"/>
      <c r="AEH12" s="38"/>
      <c r="AEI12" s="38"/>
      <c r="AEJ12" s="38"/>
      <c r="AEK12" s="38"/>
      <c r="AEL12" s="38"/>
      <c r="AEM12" s="38"/>
      <c r="AEN12" s="38"/>
      <c r="AEO12" s="38"/>
      <c r="AEP12" s="38"/>
      <c r="AEQ12" s="38"/>
      <c r="AER12" s="38"/>
      <c r="AES12" s="38"/>
      <c r="AET12" s="38"/>
      <c r="AEU12" s="38"/>
      <c r="AEV12" s="38"/>
      <c r="AEW12" s="38"/>
      <c r="AEX12" s="38"/>
      <c r="AEY12" s="38"/>
      <c r="AEZ12" s="38"/>
      <c r="AFA12" s="38"/>
      <c r="AFB12" s="38"/>
      <c r="AFC12" s="38"/>
      <c r="AFD12" s="38"/>
      <c r="AFE12" s="38"/>
      <c r="AFF12" s="38"/>
      <c r="AFG12" s="38"/>
      <c r="AFH12" s="38"/>
      <c r="AFI12" s="38"/>
      <c r="AFJ12" s="38"/>
      <c r="AFK12" s="38"/>
      <c r="AFL12" s="38"/>
      <c r="AFM12" s="38"/>
      <c r="AFN12" s="38"/>
      <c r="AFO12" s="38"/>
      <c r="AFP12" s="38"/>
      <c r="AFQ12" s="38"/>
      <c r="AFR12" s="38"/>
      <c r="AFS12" s="38"/>
      <c r="AFT12" s="38"/>
      <c r="AFU12" s="38"/>
      <c r="AFV12" s="38"/>
      <c r="AFW12" s="38"/>
      <c r="AFX12" s="38"/>
      <c r="AFY12" s="38"/>
      <c r="AFZ12" s="38"/>
      <c r="AGA12" s="38"/>
      <c r="AGB12" s="38"/>
      <c r="AGC12" s="38"/>
      <c r="AGD12" s="38"/>
      <c r="AGE12" s="38"/>
      <c r="AGF12" s="38"/>
      <c r="AGG12" s="38"/>
      <c r="AGH12" s="38"/>
      <c r="AGI12" s="38"/>
      <c r="AGJ12" s="38"/>
      <c r="AGK12" s="38"/>
      <c r="AGL12" s="38"/>
      <c r="AGM12" s="38"/>
      <c r="AGN12" s="38"/>
      <c r="AGO12" s="38"/>
      <c r="AGP12" s="38"/>
      <c r="AGQ12" s="38"/>
      <c r="AGR12" s="38"/>
      <c r="AGS12" s="38"/>
      <c r="AGT12" s="38"/>
      <c r="AGU12" s="38"/>
      <c r="AGV12" s="38"/>
      <c r="AGW12" s="38"/>
      <c r="AGX12" s="38"/>
      <c r="AGY12" s="38"/>
      <c r="AGZ12" s="38"/>
      <c r="AHA12" s="38"/>
      <c r="AHB12" s="38"/>
      <c r="AHC12" s="38"/>
      <c r="AHD12" s="38"/>
      <c r="AHE12" s="38"/>
      <c r="AHF12" s="38"/>
      <c r="AHG12" s="38"/>
      <c r="AHH12" s="38"/>
      <c r="AHI12" s="38"/>
      <c r="AHJ12" s="38"/>
      <c r="AHK12" s="38"/>
      <c r="AHL12" s="38"/>
      <c r="AHM12" s="38"/>
      <c r="AHN12" s="38"/>
      <c r="AHO12" s="38"/>
      <c r="AHP12" s="38"/>
      <c r="AHQ12" s="38"/>
      <c r="AHR12" s="38"/>
      <c r="AHS12" s="38"/>
      <c r="AHT12" s="38"/>
      <c r="AHU12" s="38"/>
      <c r="AHV12" s="38"/>
    </row>
    <row r="13" spans="1:906" s="27" customFormat="1" ht="14.5" customHeight="1" x14ac:dyDescent="0.35">
      <c r="A13" s="83">
        <v>8</v>
      </c>
      <c r="B13" s="108" t="s">
        <v>24</v>
      </c>
      <c r="C13" s="109"/>
      <c r="D13" s="109" t="s">
        <v>15</v>
      </c>
      <c r="E13" s="125"/>
      <c r="F13" s="125">
        <v>17.95</v>
      </c>
      <c r="G13" s="125">
        <v>21.95</v>
      </c>
      <c r="H13" s="125">
        <v>26.13</v>
      </c>
      <c r="I13" s="37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  <c r="NJ13" s="38"/>
      <c r="NK13" s="38"/>
      <c r="NL13" s="38"/>
      <c r="NM13" s="38"/>
      <c r="NN13" s="38"/>
      <c r="NO13" s="38"/>
      <c r="NP13" s="38"/>
      <c r="NQ13" s="38"/>
      <c r="NR13" s="38"/>
      <c r="NS13" s="38"/>
      <c r="NT13" s="38"/>
      <c r="NU13" s="38"/>
      <c r="NV13" s="38"/>
      <c r="NW13" s="38"/>
      <c r="NX13" s="38"/>
      <c r="NY13" s="38"/>
      <c r="NZ13" s="38"/>
      <c r="OA13" s="38"/>
      <c r="OB13" s="38"/>
      <c r="OC13" s="38"/>
      <c r="OD13" s="38"/>
      <c r="OE13" s="38"/>
      <c r="OF13" s="38"/>
      <c r="OG13" s="38"/>
      <c r="OH13" s="38"/>
      <c r="OI13" s="38"/>
      <c r="OJ13" s="38"/>
      <c r="OK13" s="38"/>
      <c r="OL13" s="38"/>
      <c r="OM13" s="38"/>
      <c r="ON13" s="38"/>
      <c r="OO13" s="38"/>
      <c r="OP13" s="38"/>
      <c r="OQ13" s="38"/>
      <c r="OR13" s="38"/>
      <c r="OS13" s="38"/>
      <c r="OT13" s="38"/>
      <c r="OU13" s="38"/>
      <c r="OV13" s="38"/>
      <c r="OW13" s="38"/>
      <c r="OX13" s="38"/>
      <c r="OY13" s="38"/>
      <c r="OZ13" s="38"/>
      <c r="PA13" s="38"/>
      <c r="PB13" s="38"/>
      <c r="PC13" s="38"/>
      <c r="PD13" s="38"/>
      <c r="PE13" s="38"/>
      <c r="PF13" s="38"/>
      <c r="PG13" s="38"/>
      <c r="PH13" s="38"/>
      <c r="PI13" s="38"/>
      <c r="PJ13" s="38"/>
      <c r="PK13" s="38"/>
      <c r="PL13" s="38"/>
      <c r="PM13" s="38"/>
      <c r="PN13" s="38"/>
      <c r="PO13" s="38"/>
      <c r="PP13" s="38"/>
      <c r="PQ13" s="38"/>
      <c r="PR13" s="38"/>
      <c r="PS13" s="38"/>
      <c r="PT13" s="38"/>
      <c r="PU13" s="38"/>
      <c r="PV13" s="38"/>
      <c r="PW13" s="38"/>
      <c r="PX13" s="38"/>
      <c r="PY13" s="38"/>
      <c r="PZ13" s="38"/>
      <c r="QA13" s="38"/>
      <c r="QB13" s="38"/>
      <c r="QC13" s="38"/>
      <c r="QD13" s="38"/>
      <c r="QE13" s="38"/>
      <c r="QF13" s="38"/>
      <c r="QG13" s="38"/>
      <c r="QH13" s="38"/>
      <c r="QI13" s="38"/>
      <c r="QJ13" s="38"/>
      <c r="QK13" s="38"/>
      <c r="QL13" s="38"/>
      <c r="QM13" s="38"/>
      <c r="QN13" s="38"/>
      <c r="QO13" s="38"/>
      <c r="QP13" s="38"/>
      <c r="QQ13" s="38"/>
      <c r="QR13" s="38"/>
      <c r="QS13" s="38"/>
      <c r="QT13" s="38"/>
      <c r="QU13" s="38"/>
      <c r="QV13" s="38"/>
      <c r="QW13" s="38"/>
      <c r="QX13" s="38"/>
      <c r="QY13" s="38"/>
      <c r="QZ13" s="38"/>
      <c r="RA13" s="38"/>
      <c r="RB13" s="38"/>
      <c r="RC13" s="38"/>
      <c r="RD13" s="38"/>
      <c r="RE13" s="38"/>
      <c r="RF13" s="38"/>
      <c r="RG13" s="38"/>
      <c r="RH13" s="38"/>
      <c r="RI13" s="38"/>
      <c r="RJ13" s="38"/>
      <c r="RK13" s="38"/>
      <c r="RL13" s="38"/>
      <c r="RM13" s="38"/>
      <c r="RN13" s="38"/>
      <c r="RO13" s="38"/>
      <c r="RP13" s="38"/>
      <c r="RQ13" s="38"/>
      <c r="RR13" s="38"/>
      <c r="RS13" s="38"/>
      <c r="RT13" s="38"/>
      <c r="RU13" s="38"/>
      <c r="RV13" s="38"/>
      <c r="RW13" s="38"/>
      <c r="RX13" s="38"/>
      <c r="RY13" s="38"/>
      <c r="RZ13" s="38"/>
      <c r="SA13" s="38"/>
      <c r="SB13" s="38"/>
      <c r="SC13" s="38"/>
      <c r="SD13" s="38"/>
      <c r="SE13" s="38"/>
      <c r="SF13" s="38"/>
      <c r="SG13" s="38"/>
      <c r="SH13" s="38"/>
      <c r="SI13" s="38"/>
      <c r="SJ13" s="38"/>
      <c r="SK13" s="38"/>
      <c r="SL13" s="38"/>
      <c r="SM13" s="38"/>
      <c r="SN13" s="38"/>
      <c r="SO13" s="38"/>
      <c r="SP13" s="38"/>
      <c r="SQ13" s="38"/>
      <c r="SR13" s="38"/>
      <c r="SS13" s="38"/>
      <c r="ST13" s="38"/>
      <c r="SU13" s="38"/>
      <c r="SV13" s="38"/>
      <c r="SW13" s="38"/>
      <c r="SX13" s="38"/>
      <c r="SY13" s="38"/>
      <c r="SZ13" s="38"/>
      <c r="TA13" s="38"/>
      <c r="TB13" s="38"/>
      <c r="TC13" s="38"/>
      <c r="TD13" s="38"/>
      <c r="TE13" s="38"/>
      <c r="TF13" s="38"/>
      <c r="TG13" s="38"/>
      <c r="TH13" s="38"/>
      <c r="TI13" s="38"/>
      <c r="TJ13" s="38"/>
      <c r="TK13" s="38"/>
      <c r="TL13" s="38"/>
      <c r="TM13" s="38"/>
      <c r="TN13" s="38"/>
      <c r="TO13" s="38"/>
      <c r="TP13" s="38"/>
      <c r="TQ13" s="38"/>
      <c r="TR13" s="38"/>
      <c r="TS13" s="38"/>
      <c r="TT13" s="38"/>
      <c r="TU13" s="38"/>
      <c r="TV13" s="38"/>
      <c r="TW13" s="38"/>
      <c r="TX13" s="38"/>
      <c r="TY13" s="38"/>
      <c r="TZ13" s="38"/>
      <c r="UA13" s="38"/>
      <c r="UB13" s="38"/>
      <c r="UC13" s="38"/>
      <c r="UD13" s="38"/>
      <c r="UE13" s="38"/>
      <c r="UF13" s="38"/>
      <c r="UG13" s="38"/>
      <c r="UH13" s="38"/>
      <c r="UI13" s="38"/>
      <c r="UJ13" s="38"/>
      <c r="UK13" s="38"/>
      <c r="UL13" s="38"/>
      <c r="UM13" s="38"/>
      <c r="UN13" s="38"/>
      <c r="UO13" s="38"/>
      <c r="UP13" s="38"/>
      <c r="UQ13" s="38"/>
      <c r="UR13" s="38"/>
      <c r="US13" s="38"/>
      <c r="UT13" s="38"/>
      <c r="UU13" s="38"/>
      <c r="UV13" s="38"/>
      <c r="UW13" s="38"/>
      <c r="UX13" s="38"/>
      <c r="UY13" s="38"/>
      <c r="UZ13" s="38"/>
      <c r="VA13" s="38"/>
      <c r="VB13" s="38"/>
      <c r="VC13" s="38"/>
      <c r="VD13" s="38"/>
      <c r="VE13" s="38"/>
      <c r="VF13" s="38"/>
      <c r="VG13" s="38"/>
      <c r="VH13" s="38"/>
      <c r="VI13" s="38"/>
      <c r="VJ13" s="38"/>
      <c r="VK13" s="38"/>
      <c r="VL13" s="38"/>
      <c r="VM13" s="38"/>
      <c r="VN13" s="38"/>
      <c r="VO13" s="38"/>
      <c r="VP13" s="38"/>
      <c r="VQ13" s="38"/>
      <c r="VR13" s="38"/>
      <c r="VS13" s="38"/>
      <c r="VT13" s="38"/>
      <c r="VU13" s="38"/>
      <c r="VV13" s="38"/>
      <c r="VW13" s="38"/>
      <c r="VX13" s="38"/>
      <c r="VY13" s="38"/>
      <c r="VZ13" s="38"/>
      <c r="WA13" s="38"/>
      <c r="WB13" s="38"/>
      <c r="WC13" s="38"/>
      <c r="WD13" s="38"/>
      <c r="WE13" s="38"/>
      <c r="WF13" s="38"/>
      <c r="WG13" s="38"/>
      <c r="WH13" s="38"/>
      <c r="WI13" s="38"/>
      <c r="WJ13" s="38"/>
      <c r="WK13" s="38"/>
      <c r="WL13" s="38"/>
      <c r="WM13" s="38"/>
      <c r="WN13" s="38"/>
      <c r="WO13" s="38"/>
      <c r="WP13" s="38"/>
      <c r="WQ13" s="38"/>
      <c r="WR13" s="38"/>
      <c r="WS13" s="38"/>
      <c r="WT13" s="38"/>
      <c r="WU13" s="38"/>
      <c r="WV13" s="38"/>
      <c r="WW13" s="38"/>
      <c r="WX13" s="38"/>
      <c r="WY13" s="38"/>
      <c r="WZ13" s="38"/>
      <c r="XA13" s="38"/>
      <c r="XB13" s="38"/>
      <c r="XC13" s="38"/>
      <c r="XD13" s="38"/>
      <c r="XE13" s="38"/>
      <c r="XF13" s="38"/>
      <c r="XG13" s="38"/>
      <c r="XH13" s="38"/>
      <c r="XI13" s="38"/>
      <c r="XJ13" s="38"/>
      <c r="XK13" s="38"/>
      <c r="XL13" s="38"/>
      <c r="XM13" s="38"/>
      <c r="XN13" s="38"/>
      <c r="XO13" s="38"/>
      <c r="XP13" s="38"/>
      <c r="XQ13" s="38"/>
      <c r="XR13" s="38"/>
      <c r="XS13" s="38"/>
      <c r="XT13" s="38"/>
      <c r="XU13" s="38"/>
      <c r="XV13" s="38"/>
      <c r="XW13" s="38"/>
      <c r="XX13" s="38"/>
      <c r="XY13" s="38"/>
      <c r="XZ13" s="38"/>
      <c r="YA13" s="38"/>
      <c r="YB13" s="38"/>
      <c r="YC13" s="38"/>
      <c r="YD13" s="38"/>
      <c r="YE13" s="38"/>
      <c r="YF13" s="38"/>
      <c r="YG13" s="38"/>
      <c r="YH13" s="38"/>
      <c r="YI13" s="38"/>
      <c r="YJ13" s="38"/>
      <c r="YK13" s="38"/>
      <c r="YL13" s="38"/>
      <c r="YM13" s="38"/>
      <c r="YN13" s="38"/>
      <c r="YO13" s="38"/>
      <c r="YP13" s="38"/>
      <c r="YQ13" s="38"/>
      <c r="YR13" s="38"/>
      <c r="YS13" s="38"/>
      <c r="YT13" s="38"/>
      <c r="YU13" s="38"/>
      <c r="YV13" s="38"/>
      <c r="YW13" s="38"/>
      <c r="YX13" s="38"/>
      <c r="YY13" s="38"/>
      <c r="YZ13" s="38"/>
      <c r="ZA13" s="38"/>
      <c r="ZB13" s="38"/>
      <c r="ZC13" s="38"/>
      <c r="ZD13" s="38"/>
      <c r="ZE13" s="38"/>
      <c r="ZF13" s="38"/>
      <c r="ZG13" s="38"/>
      <c r="ZH13" s="38"/>
      <c r="ZI13" s="38"/>
      <c r="ZJ13" s="38"/>
      <c r="ZK13" s="38"/>
      <c r="ZL13" s="38"/>
      <c r="ZM13" s="38"/>
      <c r="ZN13" s="38"/>
      <c r="ZO13" s="38"/>
      <c r="ZP13" s="38"/>
      <c r="ZQ13" s="38"/>
      <c r="ZR13" s="38"/>
      <c r="ZS13" s="38"/>
      <c r="ZT13" s="38"/>
      <c r="ZU13" s="38"/>
      <c r="ZV13" s="38"/>
      <c r="ZW13" s="38"/>
      <c r="ZX13" s="38"/>
      <c r="ZY13" s="38"/>
      <c r="ZZ13" s="38"/>
      <c r="AAA13" s="38"/>
      <c r="AAB13" s="38"/>
      <c r="AAC13" s="38"/>
      <c r="AAD13" s="38"/>
      <c r="AAE13" s="38"/>
      <c r="AAF13" s="38"/>
      <c r="AAG13" s="38"/>
      <c r="AAH13" s="38"/>
      <c r="AAI13" s="38"/>
      <c r="AAJ13" s="38"/>
      <c r="AAK13" s="38"/>
      <c r="AAL13" s="38"/>
      <c r="AAM13" s="38"/>
      <c r="AAN13" s="38"/>
      <c r="AAO13" s="38"/>
      <c r="AAP13" s="38"/>
      <c r="AAQ13" s="38"/>
      <c r="AAR13" s="38"/>
      <c r="AAS13" s="38"/>
      <c r="AAT13" s="38"/>
      <c r="AAU13" s="38"/>
      <c r="AAV13" s="38"/>
      <c r="AAW13" s="38"/>
      <c r="AAX13" s="38"/>
      <c r="AAY13" s="38"/>
      <c r="AAZ13" s="38"/>
      <c r="ABA13" s="38"/>
      <c r="ABB13" s="38"/>
      <c r="ABC13" s="38"/>
      <c r="ABD13" s="38"/>
      <c r="ABE13" s="38"/>
      <c r="ABF13" s="38"/>
      <c r="ABG13" s="38"/>
      <c r="ABH13" s="38"/>
      <c r="ABI13" s="38"/>
      <c r="ABJ13" s="38"/>
      <c r="ABK13" s="38"/>
      <c r="ABL13" s="38"/>
      <c r="ABM13" s="38"/>
      <c r="ABN13" s="38"/>
      <c r="ABO13" s="38"/>
      <c r="ABP13" s="38"/>
      <c r="ABQ13" s="38"/>
      <c r="ABR13" s="38"/>
      <c r="ABS13" s="38"/>
      <c r="ABT13" s="38"/>
      <c r="ABU13" s="38"/>
      <c r="ABV13" s="38"/>
      <c r="ABW13" s="38"/>
      <c r="ABX13" s="38"/>
      <c r="ABY13" s="38"/>
      <c r="ABZ13" s="38"/>
      <c r="ACA13" s="38"/>
      <c r="ACB13" s="38"/>
      <c r="ACC13" s="38"/>
      <c r="ACD13" s="38"/>
      <c r="ACE13" s="38"/>
      <c r="ACF13" s="38"/>
      <c r="ACG13" s="38"/>
      <c r="ACH13" s="38"/>
      <c r="ACI13" s="38"/>
      <c r="ACJ13" s="38"/>
      <c r="ACK13" s="38"/>
      <c r="ACL13" s="38"/>
      <c r="ACM13" s="38"/>
      <c r="ACN13" s="38"/>
      <c r="ACO13" s="38"/>
      <c r="ACP13" s="38"/>
      <c r="ACQ13" s="38"/>
      <c r="ACR13" s="38"/>
      <c r="ACS13" s="38"/>
      <c r="ACT13" s="38"/>
      <c r="ACU13" s="38"/>
      <c r="ACV13" s="38"/>
      <c r="ACW13" s="38"/>
      <c r="ACX13" s="38"/>
      <c r="ACY13" s="38"/>
      <c r="ACZ13" s="38"/>
      <c r="ADA13" s="38"/>
      <c r="ADB13" s="38"/>
      <c r="ADC13" s="38"/>
      <c r="ADD13" s="38"/>
      <c r="ADE13" s="38"/>
      <c r="ADF13" s="38"/>
      <c r="ADG13" s="38"/>
      <c r="ADH13" s="38"/>
      <c r="ADI13" s="38"/>
      <c r="ADJ13" s="38"/>
      <c r="ADK13" s="38"/>
      <c r="ADL13" s="38"/>
      <c r="ADM13" s="38"/>
      <c r="ADN13" s="38"/>
      <c r="ADO13" s="38"/>
      <c r="ADP13" s="38"/>
      <c r="ADQ13" s="38"/>
      <c r="ADR13" s="38"/>
      <c r="ADS13" s="38"/>
      <c r="ADT13" s="38"/>
      <c r="ADU13" s="38"/>
      <c r="ADV13" s="38"/>
      <c r="ADW13" s="38"/>
      <c r="ADX13" s="38"/>
      <c r="ADY13" s="38"/>
      <c r="ADZ13" s="38"/>
      <c r="AEA13" s="38"/>
      <c r="AEB13" s="38"/>
      <c r="AEC13" s="38"/>
      <c r="AED13" s="38"/>
      <c r="AEE13" s="38"/>
      <c r="AEF13" s="38"/>
      <c r="AEG13" s="38"/>
      <c r="AEH13" s="38"/>
      <c r="AEI13" s="38"/>
      <c r="AEJ13" s="38"/>
      <c r="AEK13" s="38"/>
      <c r="AEL13" s="38"/>
      <c r="AEM13" s="38"/>
      <c r="AEN13" s="38"/>
      <c r="AEO13" s="38"/>
      <c r="AEP13" s="38"/>
      <c r="AEQ13" s="38"/>
      <c r="AER13" s="38"/>
      <c r="AES13" s="38"/>
      <c r="AET13" s="38"/>
      <c r="AEU13" s="38"/>
      <c r="AEV13" s="38"/>
      <c r="AEW13" s="38"/>
      <c r="AEX13" s="38"/>
      <c r="AEY13" s="38"/>
      <c r="AEZ13" s="38"/>
      <c r="AFA13" s="38"/>
      <c r="AFB13" s="38"/>
      <c r="AFC13" s="38"/>
      <c r="AFD13" s="38"/>
      <c r="AFE13" s="38"/>
      <c r="AFF13" s="38"/>
      <c r="AFG13" s="38"/>
      <c r="AFH13" s="38"/>
      <c r="AFI13" s="38"/>
      <c r="AFJ13" s="38"/>
      <c r="AFK13" s="38"/>
      <c r="AFL13" s="38"/>
      <c r="AFM13" s="38"/>
      <c r="AFN13" s="38"/>
      <c r="AFO13" s="38"/>
      <c r="AFP13" s="38"/>
      <c r="AFQ13" s="38"/>
      <c r="AFR13" s="38"/>
      <c r="AFS13" s="38"/>
      <c r="AFT13" s="38"/>
      <c r="AFU13" s="38"/>
      <c r="AFV13" s="38"/>
      <c r="AFW13" s="38"/>
      <c r="AFX13" s="38"/>
      <c r="AFY13" s="38"/>
      <c r="AFZ13" s="38"/>
      <c r="AGA13" s="38"/>
      <c r="AGB13" s="38"/>
      <c r="AGC13" s="38"/>
      <c r="AGD13" s="38"/>
      <c r="AGE13" s="38"/>
      <c r="AGF13" s="38"/>
      <c r="AGG13" s="38"/>
      <c r="AGH13" s="38"/>
      <c r="AGI13" s="38"/>
      <c r="AGJ13" s="38"/>
      <c r="AGK13" s="38"/>
      <c r="AGL13" s="38"/>
      <c r="AGM13" s="38"/>
      <c r="AGN13" s="38"/>
      <c r="AGO13" s="38"/>
      <c r="AGP13" s="38"/>
      <c r="AGQ13" s="38"/>
      <c r="AGR13" s="38"/>
      <c r="AGS13" s="38"/>
      <c r="AGT13" s="38"/>
      <c r="AGU13" s="38"/>
      <c r="AGV13" s="38"/>
      <c r="AGW13" s="38"/>
      <c r="AGX13" s="38"/>
      <c r="AGY13" s="38"/>
      <c r="AGZ13" s="38"/>
      <c r="AHA13" s="38"/>
      <c r="AHB13" s="38"/>
      <c r="AHC13" s="38"/>
      <c r="AHD13" s="38"/>
      <c r="AHE13" s="38"/>
      <c r="AHF13" s="38"/>
      <c r="AHG13" s="38"/>
      <c r="AHH13" s="38"/>
      <c r="AHI13" s="38"/>
      <c r="AHJ13" s="38"/>
      <c r="AHK13" s="38"/>
      <c r="AHL13" s="38"/>
      <c r="AHM13" s="38"/>
      <c r="AHN13" s="38"/>
      <c r="AHO13" s="38"/>
      <c r="AHP13" s="38"/>
      <c r="AHQ13" s="38"/>
      <c r="AHR13" s="38"/>
      <c r="AHS13" s="38"/>
      <c r="AHT13" s="38"/>
      <c r="AHU13" s="38"/>
      <c r="AHV13" s="38"/>
    </row>
    <row r="14" spans="1:906" s="27" customFormat="1" ht="14.5" customHeight="1" x14ac:dyDescent="0.35">
      <c r="A14" s="83">
        <v>9</v>
      </c>
      <c r="B14" s="108" t="s">
        <v>25</v>
      </c>
      <c r="C14" s="109"/>
      <c r="D14" s="109" t="s">
        <v>15</v>
      </c>
      <c r="E14" s="125"/>
      <c r="F14" s="125">
        <v>33.950000000000003</v>
      </c>
      <c r="G14" s="125">
        <v>31.95</v>
      </c>
      <c r="H14" s="125">
        <v>42.97</v>
      </c>
      <c r="I14" s="37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38"/>
      <c r="PT14" s="38"/>
      <c r="PU14" s="38"/>
      <c r="PV14" s="3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8"/>
      <c r="SB14" s="38"/>
      <c r="SC14" s="38"/>
      <c r="SD14" s="38"/>
      <c r="SE14" s="38"/>
      <c r="SF14" s="38"/>
      <c r="SG14" s="38"/>
      <c r="SH14" s="38"/>
      <c r="SI14" s="38"/>
      <c r="SJ14" s="38"/>
      <c r="SK14" s="38"/>
      <c r="SL14" s="38"/>
      <c r="SM14" s="38"/>
      <c r="SN14" s="38"/>
      <c r="SO14" s="38"/>
      <c r="SP14" s="38"/>
      <c r="SQ14" s="38"/>
      <c r="SR14" s="38"/>
      <c r="SS14" s="38"/>
      <c r="ST14" s="38"/>
      <c r="SU14" s="38"/>
      <c r="SV14" s="38"/>
      <c r="SW14" s="38"/>
      <c r="SX14" s="38"/>
      <c r="SY14" s="38"/>
      <c r="SZ14" s="38"/>
      <c r="TA14" s="38"/>
      <c r="TB14" s="38"/>
      <c r="TC14" s="38"/>
      <c r="TD14" s="38"/>
      <c r="TE14" s="38"/>
      <c r="TF14" s="38"/>
      <c r="TG14" s="38"/>
      <c r="TH14" s="38"/>
      <c r="TI14" s="38"/>
      <c r="TJ14" s="38"/>
      <c r="TK14" s="38"/>
      <c r="TL14" s="38"/>
      <c r="TM14" s="38"/>
      <c r="TN14" s="38"/>
      <c r="TO14" s="38"/>
      <c r="TP14" s="38"/>
      <c r="TQ14" s="38"/>
      <c r="TR14" s="38"/>
      <c r="TS14" s="38"/>
      <c r="TT14" s="38"/>
      <c r="TU14" s="38"/>
      <c r="TV14" s="38"/>
      <c r="TW14" s="38"/>
      <c r="TX14" s="38"/>
      <c r="TY14" s="38"/>
      <c r="TZ14" s="38"/>
      <c r="UA14" s="38"/>
      <c r="UB14" s="38"/>
      <c r="UC14" s="38"/>
      <c r="UD14" s="38"/>
      <c r="UE14" s="38"/>
      <c r="UF14" s="38"/>
      <c r="UG14" s="38"/>
      <c r="UH14" s="38"/>
      <c r="UI14" s="38"/>
      <c r="UJ14" s="38"/>
      <c r="UK14" s="38"/>
      <c r="UL14" s="38"/>
      <c r="UM14" s="38"/>
      <c r="UN14" s="38"/>
      <c r="UO14" s="38"/>
      <c r="UP14" s="38"/>
      <c r="UQ14" s="38"/>
      <c r="UR14" s="38"/>
      <c r="US14" s="38"/>
      <c r="UT14" s="38"/>
      <c r="UU14" s="38"/>
      <c r="UV14" s="38"/>
      <c r="UW14" s="38"/>
      <c r="UX14" s="38"/>
      <c r="UY14" s="38"/>
      <c r="UZ14" s="38"/>
      <c r="VA14" s="38"/>
      <c r="VB14" s="38"/>
      <c r="VC14" s="38"/>
      <c r="VD14" s="38"/>
      <c r="VE14" s="38"/>
      <c r="VF14" s="38"/>
      <c r="VG14" s="38"/>
      <c r="VH14" s="38"/>
      <c r="VI14" s="38"/>
      <c r="VJ14" s="38"/>
      <c r="VK14" s="38"/>
      <c r="VL14" s="38"/>
      <c r="VM14" s="38"/>
      <c r="VN14" s="38"/>
      <c r="VO14" s="38"/>
      <c r="VP14" s="38"/>
      <c r="VQ14" s="38"/>
      <c r="VR14" s="38"/>
      <c r="VS14" s="38"/>
      <c r="VT14" s="38"/>
      <c r="VU14" s="38"/>
      <c r="VV14" s="38"/>
      <c r="VW14" s="38"/>
      <c r="VX14" s="38"/>
      <c r="VY14" s="38"/>
      <c r="VZ14" s="38"/>
      <c r="WA14" s="38"/>
      <c r="WB14" s="38"/>
      <c r="WC14" s="38"/>
      <c r="WD14" s="38"/>
      <c r="WE14" s="38"/>
      <c r="WF14" s="38"/>
      <c r="WG14" s="38"/>
      <c r="WH14" s="38"/>
      <c r="WI14" s="38"/>
      <c r="WJ14" s="38"/>
      <c r="WK14" s="38"/>
      <c r="WL14" s="38"/>
      <c r="WM14" s="38"/>
      <c r="WN14" s="38"/>
      <c r="WO14" s="38"/>
      <c r="WP14" s="38"/>
      <c r="WQ14" s="38"/>
      <c r="WR14" s="38"/>
      <c r="WS14" s="38"/>
      <c r="WT14" s="38"/>
      <c r="WU14" s="38"/>
      <c r="WV14" s="38"/>
      <c r="WW14" s="38"/>
      <c r="WX14" s="38"/>
      <c r="WY14" s="38"/>
      <c r="WZ14" s="38"/>
      <c r="XA14" s="38"/>
      <c r="XB14" s="38"/>
      <c r="XC14" s="38"/>
      <c r="XD14" s="38"/>
      <c r="XE14" s="38"/>
      <c r="XF14" s="38"/>
      <c r="XG14" s="38"/>
      <c r="XH14" s="38"/>
      <c r="XI14" s="38"/>
      <c r="XJ14" s="38"/>
      <c r="XK14" s="38"/>
      <c r="XL14" s="38"/>
      <c r="XM14" s="38"/>
      <c r="XN14" s="38"/>
      <c r="XO14" s="38"/>
      <c r="XP14" s="38"/>
      <c r="XQ14" s="38"/>
      <c r="XR14" s="38"/>
      <c r="XS14" s="38"/>
      <c r="XT14" s="38"/>
      <c r="XU14" s="38"/>
      <c r="XV14" s="38"/>
      <c r="XW14" s="38"/>
      <c r="XX14" s="38"/>
      <c r="XY14" s="38"/>
      <c r="XZ14" s="38"/>
      <c r="YA14" s="38"/>
      <c r="YB14" s="38"/>
      <c r="YC14" s="38"/>
      <c r="YD14" s="38"/>
      <c r="YE14" s="38"/>
      <c r="YF14" s="38"/>
      <c r="YG14" s="38"/>
      <c r="YH14" s="38"/>
      <c r="YI14" s="38"/>
      <c r="YJ14" s="38"/>
      <c r="YK14" s="38"/>
      <c r="YL14" s="38"/>
      <c r="YM14" s="38"/>
      <c r="YN14" s="38"/>
      <c r="YO14" s="38"/>
      <c r="YP14" s="38"/>
      <c r="YQ14" s="38"/>
      <c r="YR14" s="38"/>
      <c r="YS14" s="38"/>
      <c r="YT14" s="38"/>
      <c r="YU14" s="38"/>
      <c r="YV14" s="38"/>
      <c r="YW14" s="38"/>
      <c r="YX14" s="38"/>
      <c r="YY14" s="38"/>
      <c r="YZ14" s="38"/>
      <c r="ZA14" s="38"/>
      <c r="ZB14" s="38"/>
      <c r="ZC14" s="38"/>
      <c r="ZD14" s="38"/>
      <c r="ZE14" s="38"/>
      <c r="ZF14" s="38"/>
      <c r="ZG14" s="38"/>
      <c r="ZH14" s="38"/>
      <c r="ZI14" s="38"/>
      <c r="ZJ14" s="38"/>
      <c r="ZK14" s="38"/>
      <c r="ZL14" s="38"/>
      <c r="ZM14" s="38"/>
      <c r="ZN14" s="38"/>
      <c r="ZO14" s="38"/>
      <c r="ZP14" s="38"/>
      <c r="ZQ14" s="38"/>
      <c r="ZR14" s="38"/>
      <c r="ZS14" s="38"/>
      <c r="ZT14" s="38"/>
      <c r="ZU14" s="38"/>
      <c r="ZV14" s="38"/>
      <c r="ZW14" s="38"/>
      <c r="ZX14" s="38"/>
      <c r="ZY14" s="38"/>
      <c r="ZZ14" s="38"/>
      <c r="AAA14" s="38"/>
      <c r="AAB14" s="38"/>
      <c r="AAC14" s="38"/>
      <c r="AAD14" s="38"/>
      <c r="AAE14" s="38"/>
      <c r="AAF14" s="38"/>
      <c r="AAG14" s="38"/>
      <c r="AAH14" s="38"/>
      <c r="AAI14" s="38"/>
      <c r="AAJ14" s="38"/>
      <c r="AAK14" s="38"/>
      <c r="AAL14" s="38"/>
      <c r="AAM14" s="38"/>
      <c r="AAN14" s="38"/>
      <c r="AAO14" s="38"/>
      <c r="AAP14" s="38"/>
      <c r="AAQ14" s="38"/>
      <c r="AAR14" s="38"/>
      <c r="AAS14" s="38"/>
      <c r="AAT14" s="38"/>
      <c r="AAU14" s="38"/>
      <c r="AAV14" s="38"/>
      <c r="AAW14" s="38"/>
      <c r="AAX14" s="38"/>
      <c r="AAY14" s="38"/>
      <c r="AAZ14" s="38"/>
      <c r="ABA14" s="38"/>
      <c r="ABB14" s="38"/>
      <c r="ABC14" s="38"/>
      <c r="ABD14" s="38"/>
      <c r="ABE14" s="38"/>
      <c r="ABF14" s="38"/>
      <c r="ABG14" s="38"/>
      <c r="ABH14" s="38"/>
      <c r="ABI14" s="38"/>
      <c r="ABJ14" s="38"/>
      <c r="ABK14" s="38"/>
      <c r="ABL14" s="38"/>
      <c r="ABM14" s="38"/>
      <c r="ABN14" s="38"/>
      <c r="ABO14" s="38"/>
      <c r="ABP14" s="38"/>
      <c r="ABQ14" s="38"/>
      <c r="ABR14" s="38"/>
      <c r="ABS14" s="38"/>
      <c r="ABT14" s="38"/>
      <c r="ABU14" s="38"/>
      <c r="ABV14" s="38"/>
      <c r="ABW14" s="38"/>
      <c r="ABX14" s="38"/>
      <c r="ABY14" s="38"/>
      <c r="ABZ14" s="38"/>
      <c r="ACA14" s="38"/>
      <c r="ACB14" s="38"/>
      <c r="ACC14" s="38"/>
      <c r="ACD14" s="38"/>
      <c r="ACE14" s="38"/>
      <c r="ACF14" s="38"/>
      <c r="ACG14" s="38"/>
      <c r="ACH14" s="38"/>
      <c r="ACI14" s="38"/>
      <c r="ACJ14" s="38"/>
      <c r="ACK14" s="38"/>
      <c r="ACL14" s="38"/>
      <c r="ACM14" s="38"/>
      <c r="ACN14" s="38"/>
      <c r="ACO14" s="38"/>
      <c r="ACP14" s="38"/>
      <c r="ACQ14" s="38"/>
      <c r="ACR14" s="38"/>
      <c r="ACS14" s="38"/>
      <c r="ACT14" s="38"/>
      <c r="ACU14" s="38"/>
      <c r="ACV14" s="38"/>
      <c r="ACW14" s="38"/>
      <c r="ACX14" s="38"/>
      <c r="ACY14" s="38"/>
      <c r="ACZ14" s="38"/>
      <c r="ADA14" s="38"/>
      <c r="ADB14" s="38"/>
      <c r="ADC14" s="38"/>
      <c r="ADD14" s="38"/>
      <c r="ADE14" s="38"/>
      <c r="ADF14" s="38"/>
      <c r="ADG14" s="38"/>
      <c r="ADH14" s="38"/>
      <c r="ADI14" s="38"/>
      <c r="ADJ14" s="38"/>
      <c r="ADK14" s="38"/>
      <c r="ADL14" s="38"/>
      <c r="ADM14" s="38"/>
      <c r="ADN14" s="38"/>
      <c r="ADO14" s="38"/>
      <c r="ADP14" s="38"/>
      <c r="ADQ14" s="38"/>
      <c r="ADR14" s="38"/>
      <c r="ADS14" s="38"/>
      <c r="ADT14" s="38"/>
      <c r="ADU14" s="38"/>
      <c r="ADV14" s="38"/>
      <c r="ADW14" s="38"/>
      <c r="ADX14" s="38"/>
      <c r="ADY14" s="38"/>
      <c r="ADZ14" s="38"/>
      <c r="AEA14" s="38"/>
      <c r="AEB14" s="38"/>
      <c r="AEC14" s="38"/>
      <c r="AED14" s="38"/>
      <c r="AEE14" s="38"/>
      <c r="AEF14" s="38"/>
      <c r="AEG14" s="38"/>
      <c r="AEH14" s="38"/>
      <c r="AEI14" s="38"/>
      <c r="AEJ14" s="38"/>
      <c r="AEK14" s="38"/>
      <c r="AEL14" s="38"/>
      <c r="AEM14" s="38"/>
      <c r="AEN14" s="38"/>
      <c r="AEO14" s="38"/>
      <c r="AEP14" s="38"/>
      <c r="AEQ14" s="38"/>
      <c r="AER14" s="38"/>
      <c r="AES14" s="38"/>
      <c r="AET14" s="38"/>
      <c r="AEU14" s="38"/>
      <c r="AEV14" s="38"/>
      <c r="AEW14" s="38"/>
      <c r="AEX14" s="38"/>
      <c r="AEY14" s="38"/>
      <c r="AEZ14" s="38"/>
      <c r="AFA14" s="38"/>
      <c r="AFB14" s="38"/>
      <c r="AFC14" s="38"/>
      <c r="AFD14" s="38"/>
      <c r="AFE14" s="38"/>
      <c r="AFF14" s="38"/>
      <c r="AFG14" s="38"/>
      <c r="AFH14" s="38"/>
      <c r="AFI14" s="38"/>
      <c r="AFJ14" s="38"/>
      <c r="AFK14" s="38"/>
      <c r="AFL14" s="38"/>
      <c r="AFM14" s="38"/>
      <c r="AFN14" s="38"/>
      <c r="AFO14" s="38"/>
      <c r="AFP14" s="38"/>
      <c r="AFQ14" s="38"/>
      <c r="AFR14" s="38"/>
      <c r="AFS14" s="38"/>
      <c r="AFT14" s="38"/>
      <c r="AFU14" s="38"/>
      <c r="AFV14" s="38"/>
      <c r="AFW14" s="38"/>
      <c r="AFX14" s="38"/>
      <c r="AFY14" s="38"/>
      <c r="AFZ14" s="38"/>
      <c r="AGA14" s="38"/>
      <c r="AGB14" s="38"/>
      <c r="AGC14" s="38"/>
      <c r="AGD14" s="38"/>
      <c r="AGE14" s="38"/>
      <c r="AGF14" s="38"/>
      <c r="AGG14" s="38"/>
      <c r="AGH14" s="38"/>
      <c r="AGI14" s="38"/>
      <c r="AGJ14" s="38"/>
      <c r="AGK14" s="38"/>
      <c r="AGL14" s="38"/>
      <c r="AGM14" s="38"/>
      <c r="AGN14" s="38"/>
      <c r="AGO14" s="38"/>
      <c r="AGP14" s="38"/>
      <c r="AGQ14" s="38"/>
      <c r="AGR14" s="38"/>
      <c r="AGS14" s="38"/>
      <c r="AGT14" s="38"/>
      <c r="AGU14" s="38"/>
      <c r="AGV14" s="38"/>
      <c r="AGW14" s="38"/>
      <c r="AGX14" s="38"/>
      <c r="AGY14" s="38"/>
      <c r="AGZ14" s="38"/>
      <c r="AHA14" s="38"/>
      <c r="AHB14" s="38"/>
      <c r="AHC14" s="38"/>
      <c r="AHD14" s="38"/>
      <c r="AHE14" s="38"/>
      <c r="AHF14" s="38"/>
      <c r="AHG14" s="38"/>
      <c r="AHH14" s="38"/>
      <c r="AHI14" s="38"/>
      <c r="AHJ14" s="38"/>
      <c r="AHK14" s="38"/>
      <c r="AHL14" s="38"/>
      <c r="AHM14" s="38"/>
      <c r="AHN14" s="38"/>
      <c r="AHO14" s="38"/>
      <c r="AHP14" s="38"/>
      <c r="AHQ14" s="38"/>
      <c r="AHR14" s="38"/>
      <c r="AHS14" s="38"/>
      <c r="AHT14" s="38"/>
      <c r="AHU14" s="38"/>
      <c r="AHV14" s="38"/>
    </row>
    <row r="15" spans="1:906" s="27" customFormat="1" ht="14.5" customHeight="1" x14ac:dyDescent="0.35">
      <c r="A15" s="83">
        <v>10</v>
      </c>
      <c r="B15" s="108" t="s">
        <v>26</v>
      </c>
      <c r="C15" s="109"/>
      <c r="D15" s="109" t="s">
        <v>15</v>
      </c>
      <c r="E15" s="125">
        <v>32.21</v>
      </c>
      <c r="F15" s="125">
        <v>28.95</v>
      </c>
      <c r="G15" s="125">
        <v>27.95</v>
      </c>
      <c r="H15" s="125">
        <v>27.25</v>
      </c>
      <c r="I15" s="37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  <c r="NN15" s="38"/>
      <c r="NO15" s="38"/>
      <c r="NP15" s="38"/>
      <c r="NQ15" s="38"/>
      <c r="NR15" s="38"/>
      <c r="NS15" s="38"/>
      <c r="NT15" s="38"/>
      <c r="NU15" s="38"/>
      <c r="NV15" s="38"/>
      <c r="NW15" s="38"/>
      <c r="NX15" s="38"/>
      <c r="NY15" s="38"/>
      <c r="NZ15" s="38"/>
      <c r="OA15" s="38"/>
      <c r="OB15" s="38"/>
      <c r="OC15" s="38"/>
      <c r="OD15" s="38"/>
      <c r="OE15" s="38"/>
      <c r="OF15" s="38"/>
      <c r="OG15" s="38"/>
      <c r="OH15" s="38"/>
      <c r="OI15" s="38"/>
      <c r="OJ15" s="38"/>
      <c r="OK15" s="38"/>
      <c r="OL15" s="38"/>
      <c r="OM15" s="38"/>
      <c r="ON15" s="38"/>
      <c r="OO15" s="38"/>
      <c r="OP15" s="38"/>
      <c r="OQ15" s="38"/>
      <c r="OR15" s="38"/>
      <c r="OS15" s="38"/>
      <c r="OT15" s="38"/>
      <c r="OU15" s="38"/>
      <c r="OV15" s="38"/>
      <c r="OW15" s="38"/>
      <c r="OX15" s="38"/>
      <c r="OY15" s="38"/>
      <c r="OZ15" s="38"/>
      <c r="PA15" s="38"/>
      <c r="PB15" s="38"/>
      <c r="PC15" s="38"/>
      <c r="PD15" s="38"/>
      <c r="PE15" s="38"/>
      <c r="PF15" s="38"/>
      <c r="PG15" s="38"/>
      <c r="PH15" s="38"/>
      <c r="PI15" s="38"/>
      <c r="PJ15" s="38"/>
      <c r="PK15" s="38"/>
      <c r="PL15" s="38"/>
      <c r="PM15" s="38"/>
      <c r="PN15" s="38"/>
      <c r="PO15" s="38"/>
      <c r="PP15" s="38"/>
      <c r="PQ15" s="38"/>
      <c r="PR15" s="38"/>
      <c r="PS15" s="38"/>
      <c r="PT15" s="38"/>
      <c r="PU15" s="38"/>
      <c r="PV15" s="38"/>
      <c r="PW15" s="38"/>
      <c r="PX15" s="38"/>
      <c r="PY15" s="38"/>
      <c r="PZ15" s="38"/>
      <c r="QA15" s="38"/>
      <c r="QB15" s="38"/>
      <c r="QC15" s="38"/>
      <c r="QD15" s="38"/>
      <c r="QE15" s="38"/>
      <c r="QF15" s="38"/>
      <c r="QG15" s="38"/>
      <c r="QH15" s="38"/>
      <c r="QI15" s="38"/>
      <c r="QJ15" s="38"/>
      <c r="QK15" s="38"/>
      <c r="QL15" s="38"/>
      <c r="QM15" s="38"/>
      <c r="QN15" s="38"/>
      <c r="QO15" s="38"/>
      <c r="QP15" s="38"/>
      <c r="QQ15" s="38"/>
      <c r="QR15" s="38"/>
      <c r="QS15" s="38"/>
      <c r="QT15" s="38"/>
      <c r="QU15" s="38"/>
      <c r="QV15" s="38"/>
      <c r="QW15" s="38"/>
      <c r="QX15" s="38"/>
      <c r="QY15" s="38"/>
      <c r="QZ15" s="38"/>
      <c r="RA15" s="38"/>
      <c r="RB15" s="38"/>
      <c r="RC15" s="38"/>
      <c r="RD15" s="38"/>
      <c r="RE15" s="38"/>
      <c r="RF15" s="38"/>
      <c r="RG15" s="38"/>
      <c r="RH15" s="38"/>
      <c r="RI15" s="38"/>
      <c r="RJ15" s="38"/>
      <c r="RK15" s="38"/>
      <c r="RL15" s="38"/>
      <c r="RM15" s="38"/>
      <c r="RN15" s="38"/>
      <c r="RO15" s="38"/>
      <c r="RP15" s="38"/>
      <c r="RQ15" s="38"/>
      <c r="RR15" s="38"/>
      <c r="RS15" s="38"/>
      <c r="RT15" s="38"/>
      <c r="RU15" s="38"/>
      <c r="RV15" s="38"/>
      <c r="RW15" s="38"/>
      <c r="RX15" s="38"/>
      <c r="RY15" s="38"/>
      <c r="RZ15" s="38"/>
      <c r="SA15" s="38"/>
      <c r="SB15" s="38"/>
      <c r="SC15" s="38"/>
      <c r="SD15" s="38"/>
      <c r="SE15" s="38"/>
      <c r="SF15" s="38"/>
      <c r="SG15" s="38"/>
      <c r="SH15" s="38"/>
      <c r="SI15" s="38"/>
      <c r="SJ15" s="38"/>
      <c r="SK15" s="38"/>
      <c r="SL15" s="38"/>
      <c r="SM15" s="38"/>
      <c r="SN15" s="38"/>
      <c r="SO15" s="38"/>
      <c r="SP15" s="38"/>
      <c r="SQ15" s="38"/>
      <c r="SR15" s="38"/>
      <c r="SS15" s="38"/>
      <c r="ST15" s="38"/>
      <c r="SU15" s="38"/>
      <c r="SV15" s="38"/>
      <c r="SW15" s="38"/>
      <c r="SX15" s="38"/>
      <c r="SY15" s="38"/>
      <c r="SZ15" s="38"/>
      <c r="TA15" s="38"/>
      <c r="TB15" s="38"/>
      <c r="TC15" s="38"/>
      <c r="TD15" s="38"/>
      <c r="TE15" s="38"/>
      <c r="TF15" s="38"/>
      <c r="TG15" s="38"/>
      <c r="TH15" s="38"/>
      <c r="TI15" s="38"/>
      <c r="TJ15" s="38"/>
      <c r="TK15" s="38"/>
      <c r="TL15" s="38"/>
      <c r="TM15" s="38"/>
      <c r="TN15" s="38"/>
      <c r="TO15" s="38"/>
      <c r="TP15" s="38"/>
      <c r="TQ15" s="38"/>
      <c r="TR15" s="38"/>
      <c r="TS15" s="38"/>
      <c r="TT15" s="38"/>
      <c r="TU15" s="38"/>
      <c r="TV15" s="38"/>
      <c r="TW15" s="38"/>
      <c r="TX15" s="38"/>
      <c r="TY15" s="38"/>
      <c r="TZ15" s="38"/>
      <c r="UA15" s="38"/>
      <c r="UB15" s="38"/>
      <c r="UC15" s="38"/>
      <c r="UD15" s="38"/>
      <c r="UE15" s="38"/>
      <c r="UF15" s="38"/>
      <c r="UG15" s="38"/>
      <c r="UH15" s="38"/>
      <c r="UI15" s="38"/>
      <c r="UJ15" s="38"/>
      <c r="UK15" s="38"/>
      <c r="UL15" s="38"/>
      <c r="UM15" s="38"/>
      <c r="UN15" s="38"/>
      <c r="UO15" s="38"/>
      <c r="UP15" s="38"/>
      <c r="UQ15" s="38"/>
      <c r="UR15" s="38"/>
      <c r="US15" s="38"/>
      <c r="UT15" s="38"/>
      <c r="UU15" s="38"/>
      <c r="UV15" s="38"/>
      <c r="UW15" s="38"/>
      <c r="UX15" s="38"/>
      <c r="UY15" s="38"/>
      <c r="UZ15" s="38"/>
      <c r="VA15" s="38"/>
      <c r="VB15" s="38"/>
      <c r="VC15" s="38"/>
      <c r="VD15" s="38"/>
      <c r="VE15" s="38"/>
      <c r="VF15" s="38"/>
      <c r="VG15" s="38"/>
      <c r="VH15" s="38"/>
      <c r="VI15" s="38"/>
      <c r="VJ15" s="38"/>
      <c r="VK15" s="38"/>
      <c r="VL15" s="38"/>
      <c r="VM15" s="38"/>
      <c r="VN15" s="38"/>
      <c r="VO15" s="38"/>
      <c r="VP15" s="38"/>
      <c r="VQ15" s="38"/>
      <c r="VR15" s="38"/>
      <c r="VS15" s="38"/>
      <c r="VT15" s="38"/>
      <c r="VU15" s="38"/>
      <c r="VV15" s="38"/>
      <c r="VW15" s="38"/>
      <c r="VX15" s="38"/>
      <c r="VY15" s="38"/>
      <c r="VZ15" s="38"/>
      <c r="WA15" s="38"/>
      <c r="WB15" s="38"/>
      <c r="WC15" s="38"/>
      <c r="WD15" s="38"/>
      <c r="WE15" s="38"/>
      <c r="WF15" s="38"/>
      <c r="WG15" s="38"/>
      <c r="WH15" s="38"/>
      <c r="WI15" s="38"/>
      <c r="WJ15" s="38"/>
      <c r="WK15" s="38"/>
      <c r="WL15" s="38"/>
      <c r="WM15" s="38"/>
      <c r="WN15" s="38"/>
      <c r="WO15" s="38"/>
      <c r="WP15" s="38"/>
      <c r="WQ15" s="38"/>
      <c r="WR15" s="38"/>
      <c r="WS15" s="38"/>
      <c r="WT15" s="38"/>
      <c r="WU15" s="38"/>
      <c r="WV15" s="38"/>
      <c r="WW15" s="38"/>
      <c r="WX15" s="38"/>
      <c r="WY15" s="38"/>
      <c r="WZ15" s="38"/>
      <c r="XA15" s="38"/>
      <c r="XB15" s="38"/>
      <c r="XC15" s="38"/>
      <c r="XD15" s="38"/>
      <c r="XE15" s="38"/>
      <c r="XF15" s="38"/>
      <c r="XG15" s="38"/>
      <c r="XH15" s="38"/>
      <c r="XI15" s="38"/>
      <c r="XJ15" s="38"/>
      <c r="XK15" s="38"/>
      <c r="XL15" s="38"/>
      <c r="XM15" s="38"/>
      <c r="XN15" s="38"/>
      <c r="XO15" s="38"/>
      <c r="XP15" s="38"/>
      <c r="XQ15" s="38"/>
      <c r="XR15" s="38"/>
      <c r="XS15" s="38"/>
      <c r="XT15" s="38"/>
      <c r="XU15" s="38"/>
      <c r="XV15" s="38"/>
      <c r="XW15" s="38"/>
      <c r="XX15" s="38"/>
      <c r="XY15" s="38"/>
      <c r="XZ15" s="38"/>
      <c r="YA15" s="38"/>
      <c r="YB15" s="38"/>
      <c r="YC15" s="38"/>
      <c r="YD15" s="38"/>
      <c r="YE15" s="38"/>
      <c r="YF15" s="38"/>
      <c r="YG15" s="38"/>
      <c r="YH15" s="38"/>
      <c r="YI15" s="38"/>
      <c r="YJ15" s="38"/>
      <c r="YK15" s="38"/>
      <c r="YL15" s="38"/>
      <c r="YM15" s="38"/>
      <c r="YN15" s="38"/>
      <c r="YO15" s="38"/>
      <c r="YP15" s="38"/>
      <c r="YQ15" s="38"/>
      <c r="YR15" s="38"/>
      <c r="YS15" s="38"/>
      <c r="YT15" s="38"/>
      <c r="YU15" s="38"/>
      <c r="YV15" s="38"/>
      <c r="YW15" s="38"/>
      <c r="YX15" s="38"/>
      <c r="YY15" s="38"/>
      <c r="YZ15" s="38"/>
      <c r="ZA15" s="38"/>
      <c r="ZB15" s="38"/>
      <c r="ZC15" s="38"/>
      <c r="ZD15" s="38"/>
      <c r="ZE15" s="38"/>
      <c r="ZF15" s="38"/>
      <c r="ZG15" s="38"/>
      <c r="ZH15" s="38"/>
      <c r="ZI15" s="38"/>
      <c r="ZJ15" s="38"/>
      <c r="ZK15" s="38"/>
      <c r="ZL15" s="38"/>
      <c r="ZM15" s="38"/>
      <c r="ZN15" s="38"/>
      <c r="ZO15" s="38"/>
      <c r="ZP15" s="38"/>
      <c r="ZQ15" s="38"/>
      <c r="ZR15" s="38"/>
      <c r="ZS15" s="38"/>
      <c r="ZT15" s="38"/>
      <c r="ZU15" s="38"/>
      <c r="ZV15" s="38"/>
      <c r="ZW15" s="38"/>
      <c r="ZX15" s="38"/>
      <c r="ZY15" s="38"/>
      <c r="ZZ15" s="38"/>
      <c r="AAA15" s="38"/>
      <c r="AAB15" s="38"/>
      <c r="AAC15" s="38"/>
      <c r="AAD15" s="38"/>
      <c r="AAE15" s="38"/>
      <c r="AAF15" s="38"/>
      <c r="AAG15" s="38"/>
      <c r="AAH15" s="38"/>
      <c r="AAI15" s="38"/>
      <c r="AAJ15" s="38"/>
      <c r="AAK15" s="38"/>
      <c r="AAL15" s="38"/>
      <c r="AAM15" s="38"/>
      <c r="AAN15" s="38"/>
      <c r="AAO15" s="38"/>
      <c r="AAP15" s="38"/>
      <c r="AAQ15" s="38"/>
      <c r="AAR15" s="38"/>
      <c r="AAS15" s="38"/>
      <c r="AAT15" s="38"/>
      <c r="AAU15" s="38"/>
      <c r="AAV15" s="38"/>
      <c r="AAW15" s="38"/>
      <c r="AAX15" s="38"/>
      <c r="AAY15" s="38"/>
      <c r="AAZ15" s="38"/>
      <c r="ABA15" s="38"/>
      <c r="ABB15" s="38"/>
      <c r="ABC15" s="38"/>
      <c r="ABD15" s="38"/>
      <c r="ABE15" s="38"/>
      <c r="ABF15" s="38"/>
      <c r="ABG15" s="38"/>
      <c r="ABH15" s="38"/>
      <c r="ABI15" s="38"/>
      <c r="ABJ15" s="38"/>
      <c r="ABK15" s="38"/>
      <c r="ABL15" s="38"/>
      <c r="ABM15" s="38"/>
      <c r="ABN15" s="38"/>
      <c r="ABO15" s="38"/>
      <c r="ABP15" s="38"/>
      <c r="ABQ15" s="38"/>
      <c r="ABR15" s="38"/>
      <c r="ABS15" s="38"/>
      <c r="ABT15" s="38"/>
      <c r="ABU15" s="38"/>
      <c r="ABV15" s="38"/>
      <c r="ABW15" s="38"/>
      <c r="ABX15" s="38"/>
      <c r="ABY15" s="38"/>
      <c r="ABZ15" s="38"/>
      <c r="ACA15" s="38"/>
      <c r="ACB15" s="38"/>
      <c r="ACC15" s="38"/>
      <c r="ACD15" s="38"/>
      <c r="ACE15" s="38"/>
      <c r="ACF15" s="38"/>
      <c r="ACG15" s="38"/>
      <c r="ACH15" s="38"/>
      <c r="ACI15" s="38"/>
      <c r="ACJ15" s="38"/>
      <c r="ACK15" s="38"/>
      <c r="ACL15" s="38"/>
      <c r="ACM15" s="38"/>
      <c r="ACN15" s="38"/>
      <c r="ACO15" s="38"/>
      <c r="ACP15" s="38"/>
      <c r="ACQ15" s="38"/>
      <c r="ACR15" s="38"/>
      <c r="ACS15" s="38"/>
      <c r="ACT15" s="38"/>
      <c r="ACU15" s="38"/>
      <c r="ACV15" s="38"/>
      <c r="ACW15" s="38"/>
      <c r="ACX15" s="38"/>
      <c r="ACY15" s="38"/>
      <c r="ACZ15" s="38"/>
      <c r="ADA15" s="38"/>
      <c r="ADB15" s="38"/>
      <c r="ADC15" s="38"/>
      <c r="ADD15" s="38"/>
      <c r="ADE15" s="38"/>
      <c r="ADF15" s="38"/>
      <c r="ADG15" s="38"/>
      <c r="ADH15" s="38"/>
      <c r="ADI15" s="38"/>
      <c r="ADJ15" s="38"/>
      <c r="ADK15" s="38"/>
      <c r="ADL15" s="38"/>
      <c r="ADM15" s="38"/>
      <c r="ADN15" s="38"/>
      <c r="ADO15" s="38"/>
      <c r="ADP15" s="38"/>
      <c r="ADQ15" s="38"/>
      <c r="ADR15" s="38"/>
      <c r="ADS15" s="38"/>
      <c r="ADT15" s="38"/>
      <c r="ADU15" s="38"/>
      <c r="ADV15" s="38"/>
      <c r="ADW15" s="38"/>
      <c r="ADX15" s="38"/>
      <c r="ADY15" s="38"/>
      <c r="ADZ15" s="38"/>
      <c r="AEA15" s="38"/>
      <c r="AEB15" s="38"/>
      <c r="AEC15" s="38"/>
      <c r="AED15" s="38"/>
      <c r="AEE15" s="38"/>
      <c r="AEF15" s="38"/>
      <c r="AEG15" s="38"/>
      <c r="AEH15" s="38"/>
      <c r="AEI15" s="38"/>
      <c r="AEJ15" s="38"/>
      <c r="AEK15" s="38"/>
      <c r="AEL15" s="38"/>
      <c r="AEM15" s="38"/>
      <c r="AEN15" s="38"/>
      <c r="AEO15" s="38"/>
      <c r="AEP15" s="38"/>
      <c r="AEQ15" s="38"/>
      <c r="AER15" s="38"/>
      <c r="AES15" s="38"/>
      <c r="AET15" s="38"/>
      <c r="AEU15" s="38"/>
      <c r="AEV15" s="38"/>
      <c r="AEW15" s="38"/>
      <c r="AEX15" s="38"/>
      <c r="AEY15" s="38"/>
      <c r="AEZ15" s="38"/>
      <c r="AFA15" s="38"/>
      <c r="AFB15" s="38"/>
      <c r="AFC15" s="38"/>
      <c r="AFD15" s="38"/>
      <c r="AFE15" s="38"/>
      <c r="AFF15" s="38"/>
      <c r="AFG15" s="38"/>
      <c r="AFH15" s="38"/>
      <c r="AFI15" s="38"/>
      <c r="AFJ15" s="38"/>
      <c r="AFK15" s="38"/>
      <c r="AFL15" s="38"/>
      <c r="AFM15" s="38"/>
      <c r="AFN15" s="38"/>
      <c r="AFO15" s="38"/>
      <c r="AFP15" s="38"/>
      <c r="AFQ15" s="38"/>
      <c r="AFR15" s="38"/>
      <c r="AFS15" s="38"/>
      <c r="AFT15" s="38"/>
      <c r="AFU15" s="38"/>
      <c r="AFV15" s="38"/>
      <c r="AFW15" s="38"/>
      <c r="AFX15" s="38"/>
      <c r="AFY15" s="38"/>
      <c r="AFZ15" s="38"/>
      <c r="AGA15" s="38"/>
      <c r="AGB15" s="38"/>
      <c r="AGC15" s="38"/>
      <c r="AGD15" s="38"/>
      <c r="AGE15" s="38"/>
      <c r="AGF15" s="38"/>
      <c r="AGG15" s="38"/>
      <c r="AGH15" s="38"/>
      <c r="AGI15" s="38"/>
      <c r="AGJ15" s="38"/>
      <c r="AGK15" s="38"/>
      <c r="AGL15" s="38"/>
      <c r="AGM15" s="38"/>
      <c r="AGN15" s="38"/>
      <c r="AGO15" s="38"/>
      <c r="AGP15" s="38"/>
      <c r="AGQ15" s="38"/>
      <c r="AGR15" s="38"/>
      <c r="AGS15" s="38"/>
      <c r="AGT15" s="38"/>
      <c r="AGU15" s="38"/>
      <c r="AGV15" s="38"/>
      <c r="AGW15" s="38"/>
      <c r="AGX15" s="38"/>
      <c r="AGY15" s="38"/>
      <c r="AGZ15" s="38"/>
      <c r="AHA15" s="38"/>
      <c r="AHB15" s="38"/>
      <c r="AHC15" s="38"/>
      <c r="AHD15" s="38"/>
      <c r="AHE15" s="38"/>
      <c r="AHF15" s="38"/>
      <c r="AHG15" s="38"/>
      <c r="AHH15" s="38"/>
      <c r="AHI15" s="38"/>
      <c r="AHJ15" s="38"/>
      <c r="AHK15" s="38"/>
      <c r="AHL15" s="38"/>
      <c r="AHM15" s="38"/>
      <c r="AHN15" s="38"/>
      <c r="AHO15" s="38"/>
      <c r="AHP15" s="38"/>
      <c r="AHQ15" s="38"/>
      <c r="AHR15" s="38"/>
      <c r="AHS15" s="38"/>
      <c r="AHT15" s="38"/>
      <c r="AHU15" s="38"/>
      <c r="AHV15" s="38"/>
    </row>
    <row r="16" spans="1:906" s="27" customFormat="1" ht="14.5" customHeight="1" x14ac:dyDescent="0.35">
      <c r="A16" s="83">
        <v>11</v>
      </c>
      <c r="B16" s="108" t="s">
        <v>27</v>
      </c>
      <c r="C16" s="109" t="s">
        <v>28</v>
      </c>
      <c r="D16" s="109" t="s">
        <v>29</v>
      </c>
      <c r="E16" s="125">
        <v>16.350000000000001</v>
      </c>
      <c r="F16" s="125">
        <v>14.9</v>
      </c>
      <c r="G16" s="125">
        <v>14.95</v>
      </c>
      <c r="H16" s="125"/>
      <c r="I16" s="3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</row>
    <row r="17" spans="1:906" s="27" customFormat="1" ht="14.5" customHeight="1" x14ac:dyDescent="0.35">
      <c r="A17" s="83">
        <v>12</v>
      </c>
      <c r="B17" s="124" t="s">
        <v>306</v>
      </c>
      <c r="C17" s="109" t="s">
        <v>31</v>
      </c>
      <c r="D17" s="109" t="s">
        <v>15</v>
      </c>
      <c r="E17" s="125"/>
      <c r="F17" s="125">
        <v>27.95</v>
      </c>
      <c r="G17" s="125">
        <v>27.95</v>
      </c>
      <c r="H17" s="125"/>
      <c r="I17" s="37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/>
      <c r="LC17" s="38"/>
      <c r="LD17" s="38"/>
      <c r="LE17" s="38"/>
      <c r="LF17" s="38"/>
      <c r="LG17" s="38"/>
      <c r="LH17" s="38"/>
      <c r="LI17" s="38"/>
      <c r="LJ17" s="38"/>
      <c r="LK17" s="38"/>
      <c r="LL17" s="38"/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/>
      <c r="ND17" s="38"/>
      <c r="NE17" s="38"/>
      <c r="NF17" s="38"/>
      <c r="NG17" s="38"/>
      <c r="NH17" s="38"/>
      <c r="NI17" s="38"/>
      <c r="NJ17" s="38"/>
      <c r="NK17" s="38"/>
      <c r="NL17" s="38"/>
      <c r="NM17" s="38"/>
      <c r="NN17" s="38"/>
      <c r="NO17" s="38"/>
      <c r="NP17" s="38"/>
      <c r="NQ17" s="38"/>
      <c r="NR17" s="38"/>
      <c r="NS17" s="38"/>
      <c r="NT17" s="38"/>
      <c r="NU17" s="38"/>
      <c r="NV17" s="38"/>
      <c r="NW17" s="38"/>
      <c r="NX17" s="38"/>
      <c r="NY17" s="38"/>
      <c r="NZ17" s="38"/>
      <c r="OA17" s="38"/>
      <c r="OB17" s="38"/>
      <c r="OC17" s="38"/>
      <c r="OD17" s="38"/>
      <c r="OE17" s="38"/>
      <c r="OF17" s="38"/>
      <c r="OG17" s="38"/>
      <c r="OH17" s="38"/>
      <c r="OI17" s="38"/>
      <c r="OJ17" s="38"/>
      <c r="OK17" s="38"/>
      <c r="OL17" s="38"/>
      <c r="OM17" s="38"/>
      <c r="ON17" s="38"/>
      <c r="OO17" s="38"/>
      <c r="OP17" s="38"/>
      <c r="OQ17" s="38"/>
      <c r="OR17" s="38"/>
      <c r="OS17" s="38"/>
      <c r="OT17" s="38"/>
      <c r="OU17" s="38"/>
      <c r="OV17" s="38"/>
      <c r="OW17" s="38"/>
      <c r="OX17" s="38"/>
      <c r="OY17" s="38"/>
      <c r="OZ17" s="38"/>
      <c r="PA17" s="38"/>
      <c r="PB17" s="38"/>
      <c r="PC17" s="38"/>
      <c r="PD17" s="38"/>
      <c r="PE17" s="38"/>
      <c r="PF17" s="38"/>
      <c r="PG17" s="38"/>
      <c r="PH17" s="38"/>
      <c r="PI17" s="38"/>
      <c r="PJ17" s="38"/>
      <c r="PK17" s="38"/>
      <c r="PL17" s="38"/>
      <c r="PM17" s="38"/>
      <c r="PN17" s="38"/>
      <c r="PO17" s="38"/>
      <c r="PP17" s="38"/>
      <c r="PQ17" s="38"/>
      <c r="PR17" s="38"/>
      <c r="PS17" s="38"/>
      <c r="PT17" s="38"/>
      <c r="PU17" s="38"/>
      <c r="PV17" s="38"/>
      <c r="PW17" s="38"/>
      <c r="PX17" s="38"/>
      <c r="PY17" s="38"/>
      <c r="PZ17" s="38"/>
      <c r="QA17" s="38"/>
      <c r="QB17" s="38"/>
      <c r="QC17" s="38"/>
      <c r="QD17" s="38"/>
      <c r="QE17" s="38"/>
      <c r="QF17" s="38"/>
      <c r="QG17" s="38"/>
      <c r="QH17" s="38"/>
      <c r="QI17" s="38"/>
      <c r="QJ17" s="38"/>
      <c r="QK17" s="38"/>
      <c r="QL17" s="38"/>
      <c r="QM17" s="38"/>
      <c r="QN17" s="38"/>
      <c r="QO17" s="38"/>
      <c r="QP17" s="38"/>
      <c r="QQ17" s="38"/>
      <c r="QR17" s="38"/>
      <c r="QS17" s="38"/>
      <c r="QT17" s="38"/>
      <c r="QU17" s="38"/>
      <c r="QV17" s="38"/>
      <c r="QW17" s="38"/>
      <c r="QX17" s="38"/>
      <c r="QY17" s="38"/>
      <c r="QZ17" s="38"/>
      <c r="RA17" s="38"/>
      <c r="RB17" s="38"/>
      <c r="RC17" s="38"/>
      <c r="RD17" s="38"/>
      <c r="RE17" s="38"/>
      <c r="RF17" s="38"/>
      <c r="RG17" s="38"/>
      <c r="RH17" s="38"/>
      <c r="RI17" s="38"/>
      <c r="RJ17" s="38"/>
      <c r="RK17" s="38"/>
      <c r="RL17" s="38"/>
      <c r="RM17" s="38"/>
      <c r="RN17" s="38"/>
      <c r="RO17" s="38"/>
      <c r="RP17" s="38"/>
      <c r="RQ17" s="38"/>
      <c r="RR17" s="38"/>
      <c r="RS17" s="38"/>
      <c r="RT17" s="38"/>
      <c r="RU17" s="38"/>
      <c r="RV17" s="38"/>
      <c r="RW17" s="38"/>
      <c r="RX17" s="38"/>
      <c r="RY17" s="38"/>
      <c r="RZ17" s="38"/>
      <c r="SA17" s="38"/>
      <c r="SB17" s="38"/>
      <c r="SC17" s="38"/>
      <c r="SD17" s="38"/>
      <c r="SE17" s="38"/>
      <c r="SF17" s="38"/>
      <c r="SG17" s="38"/>
      <c r="SH17" s="38"/>
      <c r="SI17" s="38"/>
      <c r="SJ17" s="38"/>
      <c r="SK17" s="38"/>
      <c r="SL17" s="38"/>
      <c r="SM17" s="38"/>
      <c r="SN17" s="38"/>
      <c r="SO17" s="38"/>
      <c r="SP17" s="38"/>
      <c r="SQ17" s="38"/>
      <c r="SR17" s="38"/>
      <c r="SS17" s="38"/>
      <c r="ST17" s="38"/>
      <c r="SU17" s="38"/>
      <c r="SV17" s="38"/>
      <c r="SW17" s="38"/>
      <c r="SX17" s="38"/>
      <c r="SY17" s="38"/>
      <c r="SZ17" s="38"/>
      <c r="TA17" s="38"/>
      <c r="TB17" s="38"/>
      <c r="TC17" s="38"/>
      <c r="TD17" s="38"/>
      <c r="TE17" s="38"/>
      <c r="TF17" s="38"/>
      <c r="TG17" s="38"/>
      <c r="TH17" s="38"/>
      <c r="TI17" s="38"/>
      <c r="TJ17" s="38"/>
      <c r="TK17" s="38"/>
      <c r="TL17" s="38"/>
      <c r="TM17" s="38"/>
      <c r="TN17" s="38"/>
      <c r="TO17" s="38"/>
      <c r="TP17" s="38"/>
      <c r="TQ17" s="38"/>
      <c r="TR17" s="38"/>
      <c r="TS17" s="38"/>
      <c r="TT17" s="38"/>
      <c r="TU17" s="38"/>
      <c r="TV17" s="38"/>
      <c r="TW17" s="38"/>
      <c r="TX17" s="38"/>
      <c r="TY17" s="38"/>
      <c r="TZ17" s="38"/>
      <c r="UA17" s="38"/>
      <c r="UB17" s="38"/>
      <c r="UC17" s="38"/>
      <c r="UD17" s="38"/>
      <c r="UE17" s="38"/>
      <c r="UF17" s="38"/>
      <c r="UG17" s="38"/>
      <c r="UH17" s="38"/>
      <c r="UI17" s="38"/>
      <c r="UJ17" s="38"/>
      <c r="UK17" s="38"/>
      <c r="UL17" s="38"/>
      <c r="UM17" s="38"/>
      <c r="UN17" s="38"/>
      <c r="UO17" s="38"/>
      <c r="UP17" s="38"/>
      <c r="UQ17" s="38"/>
      <c r="UR17" s="38"/>
      <c r="US17" s="38"/>
      <c r="UT17" s="38"/>
      <c r="UU17" s="38"/>
      <c r="UV17" s="38"/>
      <c r="UW17" s="38"/>
      <c r="UX17" s="38"/>
      <c r="UY17" s="38"/>
      <c r="UZ17" s="38"/>
      <c r="VA17" s="38"/>
      <c r="VB17" s="38"/>
      <c r="VC17" s="38"/>
      <c r="VD17" s="38"/>
      <c r="VE17" s="38"/>
      <c r="VF17" s="38"/>
      <c r="VG17" s="38"/>
      <c r="VH17" s="38"/>
      <c r="VI17" s="38"/>
      <c r="VJ17" s="38"/>
      <c r="VK17" s="38"/>
      <c r="VL17" s="38"/>
      <c r="VM17" s="38"/>
      <c r="VN17" s="38"/>
      <c r="VO17" s="38"/>
      <c r="VP17" s="38"/>
      <c r="VQ17" s="38"/>
      <c r="VR17" s="38"/>
      <c r="VS17" s="38"/>
      <c r="VT17" s="38"/>
      <c r="VU17" s="38"/>
      <c r="VV17" s="38"/>
      <c r="VW17" s="38"/>
      <c r="VX17" s="38"/>
      <c r="VY17" s="38"/>
      <c r="VZ17" s="38"/>
      <c r="WA17" s="38"/>
      <c r="WB17" s="38"/>
      <c r="WC17" s="38"/>
      <c r="WD17" s="38"/>
      <c r="WE17" s="38"/>
      <c r="WF17" s="38"/>
      <c r="WG17" s="38"/>
      <c r="WH17" s="38"/>
      <c r="WI17" s="38"/>
      <c r="WJ17" s="38"/>
      <c r="WK17" s="38"/>
      <c r="WL17" s="38"/>
      <c r="WM17" s="38"/>
      <c r="WN17" s="38"/>
      <c r="WO17" s="38"/>
      <c r="WP17" s="38"/>
      <c r="WQ17" s="38"/>
      <c r="WR17" s="38"/>
      <c r="WS17" s="38"/>
      <c r="WT17" s="38"/>
      <c r="WU17" s="38"/>
      <c r="WV17" s="38"/>
      <c r="WW17" s="38"/>
      <c r="WX17" s="38"/>
      <c r="WY17" s="38"/>
      <c r="WZ17" s="38"/>
      <c r="XA17" s="38"/>
      <c r="XB17" s="38"/>
      <c r="XC17" s="38"/>
      <c r="XD17" s="38"/>
      <c r="XE17" s="38"/>
      <c r="XF17" s="38"/>
      <c r="XG17" s="38"/>
      <c r="XH17" s="38"/>
      <c r="XI17" s="38"/>
      <c r="XJ17" s="38"/>
      <c r="XK17" s="38"/>
      <c r="XL17" s="38"/>
      <c r="XM17" s="38"/>
      <c r="XN17" s="38"/>
      <c r="XO17" s="38"/>
      <c r="XP17" s="38"/>
      <c r="XQ17" s="38"/>
      <c r="XR17" s="38"/>
      <c r="XS17" s="38"/>
      <c r="XT17" s="38"/>
      <c r="XU17" s="38"/>
      <c r="XV17" s="38"/>
      <c r="XW17" s="38"/>
      <c r="XX17" s="38"/>
      <c r="XY17" s="38"/>
      <c r="XZ17" s="38"/>
      <c r="YA17" s="38"/>
      <c r="YB17" s="38"/>
      <c r="YC17" s="38"/>
      <c r="YD17" s="38"/>
      <c r="YE17" s="38"/>
      <c r="YF17" s="38"/>
      <c r="YG17" s="38"/>
      <c r="YH17" s="38"/>
      <c r="YI17" s="38"/>
      <c r="YJ17" s="38"/>
      <c r="YK17" s="38"/>
      <c r="YL17" s="38"/>
      <c r="YM17" s="38"/>
      <c r="YN17" s="38"/>
      <c r="YO17" s="38"/>
      <c r="YP17" s="38"/>
      <c r="YQ17" s="38"/>
      <c r="YR17" s="38"/>
      <c r="YS17" s="38"/>
      <c r="YT17" s="38"/>
      <c r="YU17" s="38"/>
      <c r="YV17" s="38"/>
      <c r="YW17" s="38"/>
      <c r="YX17" s="38"/>
      <c r="YY17" s="38"/>
      <c r="YZ17" s="38"/>
      <c r="ZA17" s="38"/>
      <c r="ZB17" s="38"/>
      <c r="ZC17" s="38"/>
      <c r="ZD17" s="38"/>
      <c r="ZE17" s="38"/>
      <c r="ZF17" s="38"/>
      <c r="ZG17" s="38"/>
      <c r="ZH17" s="38"/>
      <c r="ZI17" s="38"/>
      <c r="ZJ17" s="38"/>
      <c r="ZK17" s="38"/>
      <c r="ZL17" s="38"/>
      <c r="ZM17" s="38"/>
      <c r="ZN17" s="38"/>
      <c r="ZO17" s="38"/>
      <c r="ZP17" s="38"/>
      <c r="ZQ17" s="38"/>
      <c r="ZR17" s="38"/>
      <c r="ZS17" s="38"/>
      <c r="ZT17" s="38"/>
      <c r="ZU17" s="38"/>
      <c r="ZV17" s="38"/>
      <c r="ZW17" s="38"/>
      <c r="ZX17" s="38"/>
      <c r="ZY17" s="38"/>
      <c r="ZZ17" s="38"/>
      <c r="AAA17" s="38"/>
      <c r="AAB17" s="38"/>
      <c r="AAC17" s="38"/>
      <c r="AAD17" s="38"/>
      <c r="AAE17" s="38"/>
      <c r="AAF17" s="38"/>
      <c r="AAG17" s="38"/>
      <c r="AAH17" s="38"/>
      <c r="AAI17" s="38"/>
      <c r="AAJ17" s="38"/>
      <c r="AAK17" s="38"/>
      <c r="AAL17" s="38"/>
      <c r="AAM17" s="38"/>
      <c r="AAN17" s="38"/>
      <c r="AAO17" s="38"/>
      <c r="AAP17" s="38"/>
      <c r="AAQ17" s="38"/>
      <c r="AAR17" s="38"/>
      <c r="AAS17" s="38"/>
      <c r="AAT17" s="38"/>
      <c r="AAU17" s="38"/>
      <c r="AAV17" s="38"/>
      <c r="AAW17" s="38"/>
      <c r="AAX17" s="38"/>
      <c r="AAY17" s="38"/>
      <c r="AAZ17" s="38"/>
      <c r="ABA17" s="38"/>
      <c r="ABB17" s="38"/>
      <c r="ABC17" s="38"/>
      <c r="ABD17" s="38"/>
      <c r="ABE17" s="38"/>
      <c r="ABF17" s="38"/>
      <c r="ABG17" s="38"/>
      <c r="ABH17" s="38"/>
      <c r="ABI17" s="38"/>
      <c r="ABJ17" s="38"/>
      <c r="ABK17" s="38"/>
      <c r="ABL17" s="38"/>
      <c r="ABM17" s="38"/>
      <c r="ABN17" s="38"/>
      <c r="ABO17" s="38"/>
      <c r="ABP17" s="38"/>
      <c r="ABQ17" s="38"/>
      <c r="ABR17" s="38"/>
      <c r="ABS17" s="38"/>
      <c r="ABT17" s="38"/>
      <c r="ABU17" s="38"/>
      <c r="ABV17" s="38"/>
      <c r="ABW17" s="38"/>
      <c r="ABX17" s="38"/>
      <c r="ABY17" s="38"/>
      <c r="ABZ17" s="38"/>
      <c r="ACA17" s="38"/>
      <c r="ACB17" s="38"/>
      <c r="ACC17" s="38"/>
      <c r="ACD17" s="38"/>
      <c r="ACE17" s="38"/>
      <c r="ACF17" s="38"/>
      <c r="ACG17" s="38"/>
      <c r="ACH17" s="38"/>
      <c r="ACI17" s="38"/>
      <c r="ACJ17" s="38"/>
      <c r="ACK17" s="38"/>
      <c r="ACL17" s="38"/>
      <c r="ACM17" s="38"/>
      <c r="ACN17" s="38"/>
      <c r="ACO17" s="38"/>
      <c r="ACP17" s="38"/>
      <c r="ACQ17" s="38"/>
      <c r="ACR17" s="38"/>
      <c r="ACS17" s="38"/>
      <c r="ACT17" s="38"/>
      <c r="ACU17" s="38"/>
      <c r="ACV17" s="38"/>
      <c r="ACW17" s="38"/>
      <c r="ACX17" s="38"/>
      <c r="ACY17" s="38"/>
      <c r="ACZ17" s="38"/>
      <c r="ADA17" s="38"/>
      <c r="ADB17" s="38"/>
      <c r="ADC17" s="38"/>
      <c r="ADD17" s="38"/>
      <c r="ADE17" s="38"/>
      <c r="ADF17" s="38"/>
      <c r="ADG17" s="38"/>
      <c r="ADH17" s="38"/>
      <c r="ADI17" s="38"/>
      <c r="ADJ17" s="38"/>
      <c r="ADK17" s="38"/>
      <c r="ADL17" s="38"/>
      <c r="ADM17" s="38"/>
      <c r="ADN17" s="38"/>
      <c r="ADO17" s="38"/>
      <c r="ADP17" s="38"/>
      <c r="ADQ17" s="38"/>
      <c r="ADR17" s="38"/>
      <c r="ADS17" s="38"/>
      <c r="ADT17" s="38"/>
      <c r="ADU17" s="38"/>
      <c r="ADV17" s="38"/>
      <c r="ADW17" s="38"/>
      <c r="ADX17" s="38"/>
      <c r="ADY17" s="38"/>
      <c r="ADZ17" s="38"/>
      <c r="AEA17" s="38"/>
      <c r="AEB17" s="38"/>
      <c r="AEC17" s="38"/>
      <c r="AED17" s="38"/>
      <c r="AEE17" s="38"/>
      <c r="AEF17" s="38"/>
      <c r="AEG17" s="38"/>
      <c r="AEH17" s="38"/>
      <c r="AEI17" s="38"/>
      <c r="AEJ17" s="38"/>
      <c r="AEK17" s="38"/>
      <c r="AEL17" s="38"/>
      <c r="AEM17" s="38"/>
      <c r="AEN17" s="38"/>
      <c r="AEO17" s="38"/>
      <c r="AEP17" s="38"/>
      <c r="AEQ17" s="38"/>
      <c r="AER17" s="38"/>
      <c r="AES17" s="38"/>
      <c r="AET17" s="38"/>
      <c r="AEU17" s="38"/>
      <c r="AEV17" s="38"/>
      <c r="AEW17" s="38"/>
      <c r="AEX17" s="38"/>
      <c r="AEY17" s="38"/>
      <c r="AEZ17" s="38"/>
      <c r="AFA17" s="38"/>
      <c r="AFB17" s="38"/>
      <c r="AFC17" s="38"/>
      <c r="AFD17" s="38"/>
      <c r="AFE17" s="38"/>
      <c r="AFF17" s="38"/>
      <c r="AFG17" s="38"/>
      <c r="AFH17" s="38"/>
      <c r="AFI17" s="38"/>
      <c r="AFJ17" s="38"/>
      <c r="AFK17" s="38"/>
      <c r="AFL17" s="38"/>
      <c r="AFM17" s="38"/>
      <c r="AFN17" s="38"/>
      <c r="AFO17" s="38"/>
      <c r="AFP17" s="38"/>
      <c r="AFQ17" s="38"/>
      <c r="AFR17" s="38"/>
      <c r="AFS17" s="38"/>
      <c r="AFT17" s="38"/>
      <c r="AFU17" s="38"/>
      <c r="AFV17" s="38"/>
      <c r="AFW17" s="38"/>
      <c r="AFX17" s="38"/>
      <c r="AFY17" s="38"/>
      <c r="AFZ17" s="38"/>
      <c r="AGA17" s="38"/>
      <c r="AGB17" s="38"/>
      <c r="AGC17" s="38"/>
      <c r="AGD17" s="38"/>
      <c r="AGE17" s="38"/>
      <c r="AGF17" s="38"/>
      <c r="AGG17" s="38"/>
      <c r="AGH17" s="38"/>
      <c r="AGI17" s="38"/>
      <c r="AGJ17" s="38"/>
      <c r="AGK17" s="38"/>
      <c r="AGL17" s="38"/>
      <c r="AGM17" s="38"/>
      <c r="AGN17" s="38"/>
      <c r="AGO17" s="38"/>
      <c r="AGP17" s="38"/>
      <c r="AGQ17" s="38"/>
      <c r="AGR17" s="38"/>
      <c r="AGS17" s="38"/>
      <c r="AGT17" s="38"/>
      <c r="AGU17" s="38"/>
      <c r="AGV17" s="38"/>
      <c r="AGW17" s="38"/>
      <c r="AGX17" s="38"/>
      <c r="AGY17" s="38"/>
      <c r="AGZ17" s="38"/>
      <c r="AHA17" s="38"/>
      <c r="AHB17" s="38"/>
      <c r="AHC17" s="38"/>
      <c r="AHD17" s="38"/>
      <c r="AHE17" s="38"/>
      <c r="AHF17" s="38"/>
      <c r="AHG17" s="38"/>
      <c r="AHH17" s="38"/>
      <c r="AHI17" s="38"/>
      <c r="AHJ17" s="38"/>
      <c r="AHK17" s="38"/>
      <c r="AHL17" s="38"/>
      <c r="AHM17" s="38"/>
      <c r="AHN17" s="38"/>
      <c r="AHO17" s="38"/>
      <c r="AHP17" s="38"/>
      <c r="AHQ17" s="38"/>
      <c r="AHR17" s="38"/>
      <c r="AHS17" s="38"/>
      <c r="AHT17" s="38"/>
      <c r="AHU17" s="38"/>
      <c r="AHV17" s="38"/>
    </row>
    <row r="18" spans="1:906" s="27" customFormat="1" ht="14.5" customHeight="1" x14ac:dyDescent="0.35">
      <c r="A18" s="83">
        <v>13</v>
      </c>
      <c r="B18" s="124" t="s">
        <v>307</v>
      </c>
      <c r="C18" s="109" t="s">
        <v>32</v>
      </c>
      <c r="D18" s="109" t="s">
        <v>15</v>
      </c>
      <c r="E18" s="125"/>
      <c r="F18" s="125"/>
      <c r="G18" s="125"/>
      <c r="H18" s="125"/>
      <c r="I18" s="37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</row>
    <row r="19" spans="1:906" s="27" customFormat="1" x14ac:dyDescent="0.35">
      <c r="A19" s="83">
        <v>14</v>
      </c>
      <c r="B19" s="124" t="s">
        <v>304</v>
      </c>
      <c r="C19" s="109" t="s">
        <v>31</v>
      </c>
      <c r="D19" s="109" t="s">
        <v>15</v>
      </c>
      <c r="E19" s="125"/>
      <c r="F19" s="125"/>
      <c r="G19" s="125"/>
      <c r="H19" s="125"/>
      <c r="I19" s="37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</row>
    <row r="20" spans="1:906" s="27" customFormat="1" x14ac:dyDescent="0.35">
      <c r="A20" s="83">
        <v>15</v>
      </c>
      <c r="B20" s="124" t="s">
        <v>305</v>
      </c>
      <c r="C20" s="109" t="s">
        <v>32</v>
      </c>
      <c r="D20" s="109" t="s">
        <v>15</v>
      </c>
      <c r="E20" s="125">
        <v>36.4</v>
      </c>
      <c r="F20" s="125">
        <v>36.950000000000003</v>
      </c>
      <c r="G20" s="125"/>
      <c r="H20" s="125">
        <v>42</v>
      </c>
      <c r="I20" s="37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</row>
    <row r="21" spans="1:906" s="27" customFormat="1" x14ac:dyDescent="0.35">
      <c r="A21" s="83">
        <v>16</v>
      </c>
      <c r="B21" s="108" t="s">
        <v>34</v>
      </c>
      <c r="C21" s="109"/>
      <c r="D21" s="109" t="s">
        <v>15</v>
      </c>
      <c r="E21" s="125"/>
      <c r="F21" s="125">
        <v>23.95</v>
      </c>
      <c r="G21" s="125">
        <v>22.95</v>
      </c>
      <c r="H21" s="125"/>
      <c r="I21" s="37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</row>
    <row r="22" spans="1:906" s="27" customFormat="1" x14ac:dyDescent="0.35">
      <c r="A22" s="83">
        <v>17</v>
      </c>
      <c r="B22" s="108" t="s">
        <v>35</v>
      </c>
      <c r="C22" s="109" t="s">
        <v>36</v>
      </c>
      <c r="D22" s="109" t="s">
        <v>15</v>
      </c>
      <c r="E22" s="125">
        <v>59.6</v>
      </c>
      <c r="F22" s="125">
        <v>55.95</v>
      </c>
      <c r="G22" s="125">
        <v>56</v>
      </c>
      <c r="H22" s="125">
        <v>56</v>
      </c>
      <c r="I22" s="37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</row>
    <row r="23" spans="1:906" s="27" customFormat="1" x14ac:dyDescent="0.35">
      <c r="A23" s="83">
        <v>18</v>
      </c>
      <c r="B23" s="108" t="s">
        <v>37</v>
      </c>
      <c r="C23" s="109"/>
      <c r="D23" s="109" t="s">
        <v>15</v>
      </c>
      <c r="E23" s="125">
        <v>27.78</v>
      </c>
      <c r="F23" s="125">
        <v>27.95</v>
      </c>
      <c r="G23" s="125">
        <v>28.95</v>
      </c>
      <c r="H23" s="125">
        <v>31.79</v>
      </c>
      <c r="I23" s="37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</row>
    <row r="24" spans="1:906" s="27" customFormat="1" x14ac:dyDescent="0.35">
      <c r="A24" s="83">
        <v>19</v>
      </c>
      <c r="B24" s="108" t="s">
        <v>38</v>
      </c>
      <c r="C24" s="109" t="s">
        <v>39</v>
      </c>
      <c r="D24" s="109" t="s">
        <v>40</v>
      </c>
      <c r="E24" s="125"/>
      <c r="F24" s="125">
        <v>14.25</v>
      </c>
      <c r="G24" s="125">
        <v>14.25</v>
      </c>
      <c r="H24" s="125">
        <v>16.25</v>
      </c>
      <c r="I24" s="37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</row>
    <row r="25" spans="1:906" s="27" customFormat="1" x14ac:dyDescent="0.35">
      <c r="A25" s="83">
        <v>20</v>
      </c>
      <c r="B25" s="108" t="s">
        <v>38</v>
      </c>
      <c r="C25" s="109" t="s">
        <v>41</v>
      </c>
      <c r="D25" s="109" t="s">
        <v>40</v>
      </c>
      <c r="E25" s="125">
        <v>10.4</v>
      </c>
      <c r="F25" s="125">
        <v>9.9499999999999993</v>
      </c>
      <c r="G25" s="125"/>
      <c r="H25" s="125"/>
      <c r="I25" s="37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</row>
    <row r="26" spans="1:906" s="27" customFormat="1" x14ac:dyDescent="0.35">
      <c r="A26" s="83">
        <v>21</v>
      </c>
      <c r="B26" s="108" t="s">
        <v>42</v>
      </c>
      <c r="C26" s="109" t="s">
        <v>43</v>
      </c>
      <c r="D26" s="109" t="s">
        <v>40</v>
      </c>
      <c r="E26" s="125">
        <v>12.5</v>
      </c>
      <c r="F26" s="125">
        <v>11.25</v>
      </c>
      <c r="G26" s="125">
        <v>11.5</v>
      </c>
      <c r="H26" s="125">
        <v>12.75</v>
      </c>
      <c r="I26" s="37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</row>
    <row r="27" spans="1:906" s="27" customFormat="1" x14ac:dyDescent="0.35">
      <c r="A27" s="83">
        <v>22</v>
      </c>
      <c r="B27" s="108" t="s">
        <v>42</v>
      </c>
      <c r="C27" s="109" t="s">
        <v>44</v>
      </c>
      <c r="D27" s="109" t="s">
        <v>45</v>
      </c>
      <c r="E27" s="125">
        <v>32.49</v>
      </c>
      <c r="F27" s="125">
        <v>29.95</v>
      </c>
      <c r="G27" s="125">
        <v>35.950000000000003</v>
      </c>
      <c r="H27" s="125">
        <v>35.25</v>
      </c>
      <c r="I27" s="37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</row>
    <row r="28" spans="1:906" s="27" customFormat="1" x14ac:dyDescent="0.35">
      <c r="A28" s="83">
        <v>23</v>
      </c>
      <c r="B28" s="108" t="s">
        <v>46</v>
      </c>
      <c r="C28" s="109" t="s">
        <v>47</v>
      </c>
      <c r="D28" s="109" t="s">
        <v>48</v>
      </c>
      <c r="E28" s="125">
        <v>25.99</v>
      </c>
      <c r="F28" s="125">
        <v>22.95</v>
      </c>
      <c r="G28" s="125"/>
      <c r="H28" s="125"/>
      <c r="I28" s="37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</row>
    <row r="29" spans="1:906" s="27" customFormat="1" x14ac:dyDescent="0.35">
      <c r="A29" s="83">
        <v>24</v>
      </c>
      <c r="B29" s="108" t="s">
        <v>49</v>
      </c>
      <c r="C29" s="109" t="s">
        <v>50</v>
      </c>
      <c r="D29" s="109" t="s">
        <v>51</v>
      </c>
      <c r="E29" s="125">
        <v>16.75</v>
      </c>
      <c r="F29" s="125">
        <v>15.25</v>
      </c>
      <c r="G29" s="125">
        <v>14.25</v>
      </c>
      <c r="H29" s="125">
        <v>16.5</v>
      </c>
      <c r="I29" s="37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</row>
    <row r="30" spans="1:906" s="27" customFormat="1" x14ac:dyDescent="0.35">
      <c r="A30" s="83">
        <v>25</v>
      </c>
      <c r="B30" s="108" t="s">
        <v>52</v>
      </c>
      <c r="C30" s="109" t="s">
        <v>53</v>
      </c>
      <c r="D30" s="109" t="s">
        <v>51</v>
      </c>
      <c r="E30" s="125">
        <v>16.75</v>
      </c>
      <c r="F30" s="125">
        <v>15.5</v>
      </c>
      <c r="G30" s="125">
        <v>15.95</v>
      </c>
      <c r="H30" s="125">
        <v>16.5</v>
      </c>
      <c r="I30" s="37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</row>
    <row r="31" spans="1:906" s="27" customFormat="1" x14ac:dyDescent="0.35">
      <c r="A31" s="83">
        <v>26</v>
      </c>
      <c r="B31" s="108" t="s">
        <v>54</v>
      </c>
      <c r="C31" s="109" t="s">
        <v>55</v>
      </c>
      <c r="D31" s="109" t="s">
        <v>56</v>
      </c>
      <c r="E31" s="125">
        <v>52.99</v>
      </c>
      <c r="F31" s="142">
        <v>47.95</v>
      </c>
      <c r="G31" s="125">
        <v>47.95</v>
      </c>
      <c r="H31" s="125">
        <v>54.25</v>
      </c>
      <c r="I31" s="37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</row>
    <row r="32" spans="1:906" s="27" customFormat="1" x14ac:dyDescent="0.35">
      <c r="A32" s="83">
        <v>27</v>
      </c>
      <c r="B32" s="108" t="s">
        <v>54</v>
      </c>
      <c r="C32" s="109" t="s">
        <v>55</v>
      </c>
      <c r="D32" s="109" t="s">
        <v>57</v>
      </c>
      <c r="E32" s="125">
        <v>16.5</v>
      </c>
      <c r="F32" s="125">
        <v>16.5</v>
      </c>
      <c r="G32" s="125">
        <v>16.5</v>
      </c>
      <c r="H32" s="125"/>
      <c r="I32" s="37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  <c r="FB32" s="38"/>
      <c r="FC32" s="38"/>
      <c r="FD32" s="38"/>
      <c r="FE32" s="38"/>
      <c r="FF32" s="38"/>
      <c r="FG32" s="38"/>
      <c r="FH32" s="38"/>
      <c r="FI32" s="38"/>
      <c r="FJ32" s="38"/>
      <c r="FK32" s="38"/>
      <c r="FL32" s="38"/>
      <c r="FM32" s="38"/>
      <c r="FN32" s="38"/>
      <c r="FO32" s="38"/>
      <c r="FP32" s="38"/>
      <c r="FQ32" s="38"/>
      <c r="FR32" s="38"/>
      <c r="FS32" s="38"/>
      <c r="FT32" s="38"/>
      <c r="FU32" s="38"/>
      <c r="FV32" s="38"/>
      <c r="FW32" s="38"/>
      <c r="FX32" s="38"/>
      <c r="FY32" s="38"/>
      <c r="FZ32" s="38"/>
      <c r="GA32" s="38"/>
      <c r="GB32" s="38"/>
      <c r="GC32" s="38"/>
      <c r="GD32" s="38"/>
      <c r="GE32" s="38"/>
      <c r="GF32" s="38"/>
      <c r="GG32" s="38"/>
      <c r="GH32" s="38"/>
      <c r="GI32" s="38"/>
      <c r="GJ32" s="38"/>
      <c r="GK32" s="38"/>
      <c r="GL32" s="38"/>
      <c r="GM32" s="38"/>
      <c r="GN32" s="38"/>
      <c r="GO32" s="38"/>
      <c r="GP32" s="38"/>
      <c r="GQ32" s="38"/>
      <c r="GR32" s="38"/>
      <c r="GS32" s="38"/>
      <c r="GT32" s="38"/>
      <c r="GU32" s="38"/>
      <c r="GV32" s="38"/>
      <c r="GW32" s="38"/>
      <c r="GX32" s="38"/>
      <c r="GY32" s="38"/>
      <c r="GZ32" s="38"/>
      <c r="HA32" s="38"/>
      <c r="HB32" s="38"/>
      <c r="HC32" s="38"/>
      <c r="HD32" s="38"/>
      <c r="HE32" s="38"/>
      <c r="HF32" s="38"/>
      <c r="HG32" s="38"/>
      <c r="HH32" s="38"/>
      <c r="HI32" s="38"/>
      <c r="HJ32" s="38"/>
      <c r="HK32" s="38"/>
      <c r="HL32" s="38"/>
      <c r="HM32" s="38"/>
      <c r="HN32" s="38"/>
      <c r="HO32" s="38"/>
      <c r="HP32" s="38"/>
      <c r="HQ32" s="38"/>
      <c r="HR32" s="38"/>
      <c r="HS32" s="38"/>
      <c r="HT32" s="38"/>
      <c r="HU32" s="38"/>
      <c r="HV32" s="38"/>
      <c r="HW32" s="38"/>
      <c r="HX32" s="38"/>
      <c r="HY32" s="38"/>
      <c r="HZ32" s="38"/>
      <c r="IA32" s="38"/>
      <c r="IB32" s="38"/>
      <c r="IC32" s="38"/>
      <c r="ID32" s="38"/>
      <c r="IE32" s="38"/>
      <c r="IF32" s="38"/>
      <c r="IG32" s="38"/>
      <c r="IH32" s="38"/>
      <c r="II32" s="38"/>
      <c r="IJ32" s="38"/>
      <c r="IK32" s="38"/>
      <c r="IL32" s="38"/>
      <c r="IM32" s="38"/>
      <c r="IN32" s="38"/>
      <c r="IO32" s="38"/>
      <c r="IP32" s="38"/>
      <c r="IQ32" s="38"/>
      <c r="IR32" s="38"/>
      <c r="IS32" s="38"/>
      <c r="IT32" s="38"/>
      <c r="IU32" s="38"/>
      <c r="IV32" s="38"/>
      <c r="IW32" s="38"/>
      <c r="IX32" s="38"/>
      <c r="IY32" s="38"/>
      <c r="IZ32" s="38"/>
      <c r="JA32" s="38"/>
      <c r="JB32" s="38"/>
      <c r="JC32" s="38"/>
      <c r="JD32" s="38"/>
      <c r="JE32" s="38"/>
      <c r="JF32" s="38"/>
      <c r="JG32" s="38"/>
      <c r="JH32" s="38"/>
      <c r="JI32" s="38"/>
      <c r="JJ32" s="38"/>
      <c r="JK32" s="38"/>
      <c r="JL32" s="38"/>
      <c r="JM32" s="38"/>
      <c r="JN32" s="38"/>
      <c r="JO32" s="38"/>
      <c r="JP32" s="38"/>
      <c r="JQ32" s="38"/>
      <c r="JR32" s="38"/>
      <c r="JS32" s="38"/>
      <c r="JT32" s="38"/>
      <c r="JU32" s="38"/>
      <c r="JV32" s="38"/>
      <c r="JW32" s="38"/>
      <c r="JX32" s="38"/>
      <c r="JY32" s="38"/>
      <c r="JZ32" s="38"/>
      <c r="KA32" s="38"/>
      <c r="KB32" s="38"/>
      <c r="KC32" s="38"/>
      <c r="KD32" s="38"/>
      <c r="KE32" s="38"/>
      <c r="KF32" s="38"/>
      <c r="KG32" s="38"/>
      <c r="KH32" s="38"/>
      <c r="KI32" s="38"/>
      <c r="KJ32" s="38"/>
      <c r="KK32" s="38"/>
      <c r="KL32" s="38"/>
      <c r="KM32" s="38"/>
      <c r="KN32" s="38"/>
      <c r="KO32" s="38"/>
      <c r="KP32" s="38"/>
      <c r="KQ32" s="38"/>
      <c r="KR32" s="38"/>
      <c r="KS32" s="38"/>
      <c r="KT32" s="38"/>
      <c r="KU32" s="38"/>
      <c r="KV32" s="38"/>
      <c r="KW32" s="38"/>
      <c r="KX32" s="38"/>
      <c r="KY32" s="38"/>
      <c r="KZ32" s="38"/>
      <c r="LA32" s="38"/>
      <c r="LB32" s="38"/>
      <c r="LC32" s="38"/>
      <c r="LD32" s="38"/>
      <c r="LE32" s="38"/>
      <c r="LF32" s="38"/>
      <c r="LG32" s="38"/>
      <c r="LH32" s="38"/>
      <c r="LI32" s="38"/>
      <c r="LJ32" s="38"/>
      <c r="LK32" s="38"/>
      <c r="LL32" s="38"/>
      <c r="LM32" s="38"/>
      <c r="LN32" s="38"/>
      <c r="LO32" s="38"/>
      <c r="LP32" s="38"/>
      <c r="LQ32" s="38"/>
      <c r="LR32" s="38"/>
      <c r="LS32" s="38"/>
      <c r="LT32" s="38"/>
      <c r="LU32" s="38"/>
      <c r="LV32" s="38"/>
      <c r="LW32" s="38"/>
      <c r="LX32" s="38"/>
      <c r="LY32" s="38"/>
      <c r="LZ32" s="38"/>
      <c r="MA32" s="38"/>
      <c r="MB32" s="38"/>
      <c r="MC32" s="38"/>
      <c r="MD32" s="38"/>
      <c r="ME32" s="38"/>
      <c r="MF32" s="38"/>
      <c r="MG32" s="38"/>
      <c r="MH32" s="38"/>
      <c r="MI32" s="38"/>
      <c r="MJ32" s="38"/>
      <c r="MK32" s="38"/>
      <c r="ML32" s="38"/>
      <c r="MM32" s="38"/>
      <c r="MN32" s="38"/>
      <c r="MO32" s="38"/>
      <c r="MP32" s="38"/>
      <c r="MQ32" s="38"/>
      <c r="MR32" s="38"/>
      <c r="MS32" s="38"/>
      <c r="MT32" s="38"/>
      <c r="MU32" s="38"/>
      <c r="MV32" s="38"/>
      <c r="MW32" s="38"/>
      <c r="MX32" s="38"/>
      <c r="MY32" s="38"/>
      <c r="MZ32" s="38"/>
      <c r="NA32" s="38"/>
      <c r="NB32" s="38"/>
      <c r="NC32" s="38"/>
      <c r="ND32" s="38"/>
      <c r="NE32" s="38"/>
      <c r="NF32" s="38"/>
      <c r="NG32" s="38"/>
      <c r="NH32" s="38"/>
      <c r="NI32" s="38"/>
      <c r="NJ32" s="38"/>
      <c r="NK32" s="38"/>
      <c r="NL32" s="38"/>
      <c r="NM32" s="38"/>
      <c r="NN32" s="38"/>
      <c r="NO32" s="38"/>
      <c r="NP32" s="38"/>
      <c r="NQ32" s="38"/>
      <c r="NR32" s="38"/>
      <c r="NS32" s="38"/>
      <c r="NT32" s="38"/>
      <c r="NU32" s="38"/>
      <c r="NV32" s="38"/>
      <c r="NW32" s="38"/>
      <c r="NX32" s="38"/>
      <c r="NY32" s="38"/>
      <c r="NZ32" s="38"/>
      <c r="OA32" s="38"/>
      <c r="OB32" s="38"/>
      <c r="OC32" s="38"/>
      <c r="OD32" s="38"/>
      <c r="OE32" s="38"/>
      <c r="OF32" s="38"/>
      <c r="OG32" s="38"/>
      <c r="OH32" s="38"/>
      <c r="OI32" s="38"/>
      <c r="OJ32" s="38"/>
      <c r="OK32" s="38"/>
      <c r="OL32" s="38"/>
      <c r="OM32" s="38"/>
      <c r="ON32" s="38"/>
      <c r="OO32" s="38"/>
      <c r="OP32" s="38"/>
      <c r="OQ32" s="38"/>
      <c r="OR32" s="38"/>
      <c r="OS32" s="38"/>
      <c r="OT32" s="38"/>
      <c r="OU32" s="38"/>
      <c r="OV32" s="38"/>
      <c r="OW32" s="38"/>
      <c r="OX32" s="38"/>
      <c r="OY32" s="38"/>
      <c r="OZ32" s="38"/>
      <c r="PA32" s="38"/>
      <c r="PB32" s="38"/>
      <c r="PC32" s="38"/>
      <c r="PD32" s="38"/>
      <c r="PE32" s="38"/>
      <c r="PF32" s="38"/>
      <c r="PG32" s="38"/>
      <c r="PH32" s="38"/>
      <c r="PI32" s="38"/>
      <c r="PJ32" s="38"/>
      <c r="PK32" s="38"/>
      <c r="PL32" s="38"/>
      <c r="PM32" s="38"/>
      <c r="PN32" s="38"/>
      <c r="PO32" s="38"/>
      <c r="PP32" s="38"/>
      <c r="PQ32" s="38"/>
      <c r="PR32" s="38"/>
      <c r="PS32" s="38"/>
      <c r="PT32" s="38"/>
      <c r="PU32" s="38"/>
      <c r="PV32" s="38"/>
      <c r="PW32" s="38"/>
      <c r="PX32" s="38"/>
      <c r="PY32" s="38"/>
      <c r="PZ32" s="38"/>
      <c r="QA32" s="38"/>
      <c r="QB32" s="38"/>
      <c r="QC32" s="38"/>
      <c r="QD32" s="38"/>
      <c r="QE32" s="38"/>
      <c r="QF32" s="38"/>
      <c r="QG32" s="38"/>
      <c r="QH32" s="38"/>
      <c r="QI32" s="38"/>
      <c r="QJ32" s="38"/>
      <c r="QK32" s="38"/>
      <c r="QL32" s="38"/>
      <c r="QM32" s="38"/>
      <c r="QN32" s="38"/>
      <c r="QO32" s="38"/>
      <c r="QP32" s="38"/>
      <c r="QQ32" s="38"/>
      <c r="QR32" s="38"/>
      <c r="QS32" s="38"/>
      <c r="QT32" s="38"/>
      <c r="QU32" s="38"/>
      <c r="QV32" s="38"/>
      <c r="QW32" s="38"/>
      <c r="QX32" s="38"/>
      <c r="QY32" s="38"/>
      <c r="QZ32" s="38"/>
      <c r="RA32" s="38"/>
      <c r="RB32" s="38"/>
      <c r="RC32" s="38"/>
      <c r="RD32" s="38"/>
      <c r="RE32" s="38"/>
      <c r="RF32" s="38"/>
      <c r="RG32" s="38"/>
      <c r="RH32" s="38"/>
      <c r="RI32" s="38"/>
      <c r="RJ32" s="38"/>
      <c r="RK32" s="38"/>
      <c r="RL32" s="38"/>
      <c r="RM32" s="38"/>
      <c r="RN32" s="38"/>
      <c r="RO32" s="38"/>
      <c r="RP32" s="38"/>
      <c r="RQ32" s="38"/>
      <c r="RR32" s="38"/>
      <c r="RS32" s="38"/>
      <c r="RT32" s="38"/>
      <c r="RU32" s="38"/>
      <c r="RV32" s="38"/>
      <c r="RW32" s="38"/>
      <c r="RX32" s="38"/>
      <c r="RY32" s="38"/>
      <c r="RZ32" s="38"/>
      <c r="SA32" s="38"/>
      <c r="SB32" s="38"/>
      <c r="SC32" s="38"/>
      <c r="SD32" s="38"/>
      <c r="SE32" s="38"/>
      <c r="SF32" s="38"/>
      <c r="SG32" s="38"/>
      <c r="SH32" s="38"/>
      <c r="SI32" s="38"/>
      <c r="SJ32" s="38"/>
      <c r="SK32" s="38"/>
      <c r="SL32" s="38"/>
      <c r="SM32" s="38"/>
      <c r="SN32" s="38"/>
      <c r="SO32" s="38"/>
      <c r="SP32" s="38"/>
      <c r="SQ32" s="38"/>
      <c r="SR32" s="38"/>
      <c r="SS32" s="38"/>
      <c r="ST32" s="38"/>
      <c r="SU32" s="38"/>
      <c r="SV32" s="38"/>
      <c r="SW32" s="38"/>
      <c r="SX32" s="38"/>
      <c r="SY32" s="38"/>
      <c r="SZ32" s="38"/>
      <c r="TA32" s="38"/>
      <c r="TB32" s="38"/>
      <c r="TC32" s="38"/>
      <c r="TD32" s="38"/>
      <c r="TE32" s="38"/>
      <c r="TF32" s="38"/>
      <c r="TG32" s="38"/>
      <c r="TH32" s="38"/>
      <c r="TI32" s="38"/>
      <c r="TJ32" s="38"/>
      <c r="TK32" s="38"/>
      <c r="TL32" s="38"/>
      <c r="TM32" s="38"/>
      <c r="TN32" s="38"/>
      <c r="TO32" s="38"/>
      <c r="TP32" s="38"/>
      <c r="TQ32" s="38"/>
      <c r="TR32" s="38"/>
      <c r="TS32" s="38"/>
      <c r="TT32" s="38"/>
      <c r="TU32" s="38"/>
      <c r="TV32" s="38"/>
      <c r="TW32" s="38"/>
      <c r="TX32" s="38"/>
      <c r="TY32" s="38"/>
      <c r="TZ32" s="38"/>
      <c r="UA32" s="38"/>
      <c r="UB32" s="38"/>
      <c r="UC32" s="38"/>
      <c r="UD32" s="38"/>
      <c r="UE32" s="38"/>
      <c r="UF32" s="38"/>
      <c r="UG32" s="38"/>
      <c r="UH32" s="38"/>
      <c r="UI32" s="38"/>
      <c r="UJ32" s="38"/>
      <c r="UK32" s="38"/>
      <c r="UL32" s="38"/>
      <c r="UM32" s="38"/>
      <c r="UN32" s="38"/>
      <c r="UO32" s="38"/>
      <c r="UP32" s="38"/>
      <c r="UQ32" s="38"/>
      <c r="UR32" s="38"/>
      <c r="US32" s="38"/>
      <c r="UT32" s="38"/>
      <c r="UU32" s="38"/>
      <c r="UV32" s="38"/>
      <c r="UW32" s="38"/>
      <c r="UX32" s="38"/>
      <c r="UY32" s="38"/>
      <c r="UZ32" s="38"/>
      <c r="VA32" s="38"/>
      <c r="VB32" s="38"/>
      <c r="VC32" s="38"/>
      <c r="VD32" s="38"/>
      <c r="VE32" s="38"/>
      <c r="VF32" s="38"/>
      <c r="VG32" s="38"/>
      <c r="VH32" s="38"/>
      <c r="VI32" s="38"/>
      <c r="VJ32" s="38"/>
      <c r="VK32" s="38"/>
      <c r="VL32" s="38"/>
      <c r="VM32" s="38"/>
      <c r="VN32" s="38"/>
      <c r="VO32" s="38"/>
      <c r="VP32" s="38"/>
      <c r="VQ32" s="38"/>
      <c r="VR32" s="38"/>
      <c r="VS32" s="38"/>
      <c r="VT32" s="38"/>
      <c r="VU32" s="38"/>
      <c r="VV32" s="38"/>
      <c r="VW32" s="38"/>
      <c r="VX32" s="38"/>
      <c r="VY32" s="38"/>
      <c r="VZ32" s="38"/>
      <c r="WA32" s="38"/>
      <c r="WB32" s="38"/>
      <c r="WC32" s="38"/>
      <c r="WD32" s="38"/>
      <c r="WE32" s="38"/>
      <c r="WF32" s="38"/>
      <c r="WG32" s="38"/>
      <c r="WH32" s="38"/>
      <c r="WI32" s="38"/>
      <c r="WJ32" s="38"/>
      <c r="WK32" s="38"/>
      <c r="WL32" s="38"/>
      <c r="WM32" s="38"/>
      <c r="WN32" s="38"/>
      <c r="WO32" s="38"/>
      <c r="WP32" s="38"/>
      <c r="WQ32" s="38"/>
      <c r="WR32" s="38"/>
      <c r="WS32" s="38"/>
      <c r="WT32" s="38"/>
      <c r="WU32" s="38"/>
      <c r="WV32" s="38"/>
      <c r="WW32" s="38"/>
      <c r="WX32" s="38"/>
      <c r="WY32" s="38"/>
      <c r="WZ32" s="38"/>
      <c r="XA32" s="38"/>
      <c r="XB32" s="38"/>
      <c r="XC32" s="38"/>
      <c r="XD32" s="38"/>
      <c r="XE32" s="38"/>
      <c r="XF32" s="38"/>
      <c r="XG32" s="38"/>
      <c r="XH32" s="38"/>
      <c r="XI32" s="38"/>
      <c r="XJ32" s="38"/>
      <c r="XK32" s="38"/>
      <c r="XL32" s="38"/>
      <c r="XM32" s="38"/>
      <c r="XN32" s="38"/>
      <c r="XO32" s="38"/>
      <c r="XP32" s="38"/>
      <c r="XQ32" s="38"/>
      <c r="XR32" s="38"/>
      <c r="XS32" s="38"/>
      <c r="XT32" s="38"/>
      <c r="XU32" s="38"/>
      <c r="XV32" s="38"/>
      <c r="XW32" s="38"/>
      <c r="XX32" s="38"/>
      <c r="XY32" s="38"/>
      <c r="XZ32" s="38"/>
      <c r="YA32" s="38"/>
      <c r="YB32" s="38"/>
      <c r="YC32" s="38"/>
      <c r="YD32" s="38"/>
      <c r="YE32" s="38"/>
      <c r="YF32" s="38"/>
      <c r="YG32" s="38"/>
      <c r="YH32" s="38"/>
      <c r="YI32" s="38"/>
      <c r="YJ32" s="38"/>
      <c r="YK32" s="38"/>
      <c r="YL32" s="38"/>
      <c r="YM32" s="38"/>
      <c r="YN32" s="38"/>
      <c r="YO32" s="38"/>
      <c r="YP32" s="38"/>
      <c r="YQ32" s="38"/>
      <c r="YR32" s="38"/>
      <c r="YS32" s="38"/>
      <c r="YT32" s="38"/>
      <c r="YU32" s="38"/>
      <c r="YV32" s="38"/>
      <c r="YW32" s="38"/>
      <c r="YX32" s="38"/>
      <c r="YY32" s="38"/>
      <c r="YZ32" s="38"/>
      <c r="ZA32" s="38"/>
      <c r="ZB32" s="38"/>
      <c r="ZC32" s="38"/>
      <c r="ZD32" s="38"/>
      <c r="ZE32" s="38"/>
      <c r="ZF32" s="38"/>
      <c r="ZG32" s="38"/>
      <c r="ZH32" s="38"/>
      <c r="ZI32" s="38"/>
      <c r="ZJ32" s="38"/>
      <c r="ZK32" s="38"/>
      <c r="ZL32" s="38"/>
      <c r="ZM32" s="38"/>
      <c r="ZN32" s="38"/>
      <c r="ZO32" s="38"/>
      <c r="ZP32" s="38"/>
      <c r="ZQ32" s="38"/>
      <c r="ZR32" s="38"/>
      <c r="ZS32" s="38"/>
      <c r="ZT32" s="38"/>
      <c r="ZU32" s="38"/>
      <c r="ZV32" s="38"/>
      <c r="ZW32" s="38"/>
      <c r="ZX32" s="38"/>
      <c r="ZY32" s="38"/>
      <c r="ZZ32" s="38"/>
      <c r="AAA32" s="38"/>
      <c r="AAB32" s="38"/>
      <c r="AAC32" s="38"/>
      <c r="AAD32" s="38"/>
      <c r="AAE32" s="38"/>
      <c r="AAF32" s="38"/>
      <c r="AAG32" s="38"/>
      <c r="AAH32" s="38"/>
      <c r="AAI32" s="38"/>
      <c r="AAJ32" s="38"/>
      <c r="AAK32" s="38"/>
      <c r="AAL32" s="38"/>
      <c r="AAM32" s="38"/>
      <c r="AAN32" s="38"/>
      <c r="AAO32" s="38"/>
      <c r="AAP32" s="38"/>
      <c r="AAQ32" s="38"/>
      <c r="AAR32" s="38"/>
      <c r="AAS32" s="38"/>
      <c r="AAT32" s="38"/>
      <c r="AAU32" s="38"/>
      <c r="AAV32" s="38"/>
      <c r="AAW32" s="38"/>
      <c r="AAX32" s="38"/>
      <c r="AAY32" s="38"/>
      <c r="AAZ32" s="38"/>
      <c r="ABA32" s="38"/>
      <c r="ABB32" s="38"/>
      <c r="ABC32" s="38"/>
      <c r="ABD32" s="38"/>
      <c r="ABE32" s="38"/>
      <c r="ABF32" s="38"/>
      <c r="ABG32" s="38"/>
      <c r="ABH32" s="38"/>
      <c r="ABI32" s="38"/>
      <c r="ABJ32" s="38"/>
      <c r="ABK32" s="38"/>
      <c r="ABL32" s="38"/>
      <c r="ABM32" s="38"/>
      <c r="ABN32" s="38"/>
      <c r="ABO32" s="38"/>
      <c r="ABP32" s="38"/>
      <c r="ABQ32" s="38"/>
      <c r="ABR32" s="38"/>
      <c r="ABS32" s="38"/>
      <c r="ABT32" s="38"/>
      <c r="ABU32" s="38"/>
      <c r="ABV32" s="38"/>
      <c r="ABW32" s="38"/>
      <c r="ABX32" s="38"/>
      <c r="ABY32" s="38"/>
      <c r="ABZ32" s="38"/>
      <c r="ACA32" s="38"/>
      <c r="ACB32" s="38"/>
      <c r="ACC32" s="38"/>
      <c r="ACD32" s="38"/>
      <c r="ACE32" s="38"/>
      <c r="ACF32" s="38"/>
      <c r="ACG32" s="38"/>
      <c r="ACH32" s="38"/>
      <c r="ACI32" s="38"/>
      <c r="ACJ32" s="38"/>
      <c r="ACK32" s="38"/>
      <c r="ACL32" s="38"/>
      <c r="ACM32" s="38"/>
      <c r="ACN32" s="38"/>
      <c r="ACO32" s="38"/>
      <c r="ACP32" s="38"/>
      <c r="ACQ32" s="38"/>
      <c r="ACR32" s="38"/>
      <c r="ACS32" s="38"/>
      <c r="ACT32" s="38"/>
      <c r="ACU32" s="38"/>
      <c r="ACV32" s="38"/>
      <c r="ACW32" s="38"/>
      <c r="ACX32" s="38"/>
      <c r="ACY32" s="38"/>
      <c r="ACZ32" s="38"/>
      <c r="ADA32" s="38"/>
      <c r="ADB32" s="38"/>
      <c r="ADC32" s="38"/>
      <c r="ADD32" s="38"/>
      <c r="ADE32" s="38"/>
      <c r="ADF32" s="38"/>
      <c r="ADG32" s="38"/>
      <c r="ADH32" s="38"/>
      <c r="ADI32" s="38"/>
      <c r="ADJ32" s="38"/>
      <c r="ADK32" s="38"/>
      <c r="ADL32" s="38"/>
      <c r="ADM32" s="38"/>
      <c r="ADN32" s="38"/>
      <c r="ADO32" s="38"/>
      <c r="ADP32" s="38"/>
      <c r="ADQ32" s="38"/>
      <c r="ADR32" s="38"/>
      <c r="ADS32" s="38"/>
      <c r="ADT32" s="38"/>
      <c r="ADU32" s="38"/>
      <c r="ADV32" s="38"/>
      <c r="ADW32" s="38"/>
      <c r="ADX32" s="38"/>
      <c r="ADY32" s="38"/>
      <c r="ADZ32" s="38"/>
      <c r="AEA32" s="38"/>
      <c r="AEB32" s="38"/>
      <c r="AEC32" s="38"/>
      <c r="AED32" s="38"/>
      <c r="AEE32" s="38"/>
      <c r="AEF32" s="38"/>
      <c r="AEG32" s="38"/>
      <c r="AEH32" s="38"/>
      <c r="AEI32" s="38"/>
      <c r="AEJ32" s="38"/>
      <c r="AEK32" s="38"/>
      <c r="AEL32" s="38"/>
      <c r="AEM32" s="38"/>
      <c r="AEN32" s="38"/>
      <c r="AEO32" s="38"/>
      <c r="AEP32" s="38"/>
      <c r="AEQ32" s="38"/>
      <c r="AER32" s="38"/>
      <c r="AES32" s="38"/>
      <c r="AET32" s="38"/>
      <c r="AEU32" s="38"/>
      <c r="AEV32" s="38"/>
      <c r="AEW32" s="38"/>
      <c r="AEX32" s="38"/>
      <c r="AEY32" s="38"/>
      <c r="AEZ32" s="38"/>
      <c r="AFA32" s="38"/>
      <c r="AFB32" s="38"/>
      <c r="AFC32" s="38"/>
      <c r="AFD32" s="38"/>
      <c r="AFE32" s="38"/>
      <c r="AFF32" s="38"/>
      <c r="AFG32" s="38"/>
      <c r="AFH32" s="38"/>
      <c r="AFI32" s="38"/>
      <c r="AFJ32" s="38"/>
      <c r="AFK32" s="38"/>
      <c r="AFL32" s="38"/>
      <c r="AFM32" s="38"/>
      <c r="AFN32" s="38"/>
      <c r="AFO32" s="38"/>
      <c r="AFP32" s="38"/>
      <c r="AFQ32" s="38"/>
      <c r="AFR32" s="38"/>
      <c r="AFS32" s="38"/>
      <c r="AFT32" s="38"/>
      <c r="AFU32" s="38"/>
      <c r="AFV32" s="38"/>
      <c r="AFW32" s="38"/>
      <c r="AFX32" s="38"/>
      <c r="AFY32" s="38"/>
      <c r="AFZ32" s="38"/>
      <c r="AGA32" s="38"/>
      <c r="AGB32" s="38"/>
      <c r="AGC32" s="38"/>
      <c r="AGD32" s="38"/>
      <c r="AGE32" s="38"/>
      <c r="AGF32" s="38"/>
      <c r="AGG32" s="38"/>
      <c r="AGH32" s="38"/>
      <c r="AGI32" s="38"/>
      <c r="AGJ32" s="38"/>
      <c r="AGK32" s="38"/>
      <c r="AGL32" s="38"/>
      <c r="AGM32" s="38"/>
      <c r="AGN32" s="38"/>
      <c r="AGO32" s="38"/>
      <c r="AGP32" s="38"/>
      <c r="AGQ32" s="38"/>
      <c r="AGR32" s="38"/>
      <c r="AGS32" s="38"/>
      <c r="AGT32" s="38"/>
      <c r="AGU32" s="38"/>
      <c r="AGV32" s="38"/>
      <c r="AGW32" s="38"/>
      <c r="AGX32" s="38"/>
      <c r="AGY32" s="38"/>
      <c r="AGZ32" s="38"/>
      <c r="AHA32" s="38"/>
      <c r="AHB32" s="38"/>
      <c r="AHC32" s="38"/>
      <c r="AHD32" s="38"/>
      <c r="AHE32" s="38"/>
      <c r="AHF32" s="38"/>
      <c r="AHG32" s="38"/>
      <c r="AHH32" s="38"/>
      <c r="AHI32" s="38"/>
      <c r="AHJ32" s="38"/>
      <c r="AHK32" s="38"/>
      <c r="AHL32" s="38"/>
      <c r="AHM32" s="38"/>
      <c r="AHN32" s="38"/>
      <c r="AHO32" s="38"/>
      <c r="AHP32" s="38"/>
      <c r="AHQ32" s="38"/>
      <c r="AHR32" s="38"/>
      <c r="AHS32" s="38"/>
      <c r="AHT32" s="38"/>
      <c r="AHU32" s="38"/>
      <c r="AHV32" s="38"/>
    </row>
    <row r="33" spans="1:906" s="27" customFormat="1" x14ac:dyDescent="0.35">
      <c r="A33" s="83">
        <v>28</v>
      </c>
      <c r="B33" s="108" t="s">
        <v>58</v>
      </c>
      <c r="C33" s="109" t="s">
        <v>55</v>
      </c>
      <c r="D33" s="109" t="s">
        <v>56</v>
      </c>
      <c r="E33" s="125">
        <v>57.99</v>
      </c>
      <c r="F33" s="125">
        <v>57.95</v>
      </c>
      <c r="G33" s="125">
        <v>57.95</v>
      </c>
      <c r="H33" s="125">
        <v>59.5</v>
      </c>
      <c r="I33" s="37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  <c r="EX33" s="38"/>
      <c r="EY33" s="38"/>
      <c r="EZ33" s="38"/>
      <c r="FA33" s="38"/>
      <c r="FB33" s="38"/>
      <c r="FC33" s="38"/>
      <c r="FD33" s="38"/>
      <c r="FE33" s="38"/>
      <c r="FF33" s="38"/>
      <c r="FG33" s="38"/>
      <c r="FH33" s="38"/>
      <c r="FI33" s="38"/>
      <c r="FJ33" s="38"/>
      <c r="FK33" s="38"/>
      <c r="FL33" s="38"/>
      <c r="FM33" s="38"/>
      <c r="FN33" s="38"/>
      <c r="FO33" s="38"/>
      <c r="FP33" s="38"/>
      <c r="FQ33" s="38"/>
      <c r="FR33" s="38"/>
      <c r="FS33" s="38"/>
      <c r="FT33" s="38"/>
      <c r="FU33" s="38"/>
      <c r="FV33" s="38"/>
      <c r="FW33" s="38"/>
      <c r="FX33" s="38"/>
      <c r="FY33" s="38"/>
      <c r="FZ33" s="38"/>
      <c r="GA33" s="38"/>
      <c r="GB33" s="38"/>
      <c r="GC33" s="38"/>
      <c r="GD33" s="38"/>
      <c r="GE33" s="38"/>
      <c r="GF33" s="38"/>
      <c r="GG33" s="38"/>
      <c r="GH33" s="38"/>
      <c r="GI33" s="38"/>
      <c r="GJ33" s="38"/>
      <c r="GK33" s="38"/>
      <c r="GL33" s="38"/>
      <c r="GM33" s="38"/>
      <c r="GN33" s="38"/>
      <c r="GO33" s="38"/>
      <c r="GP33" s="38"/>
      <c r="GQ33" s="38"/>
      <c r="GR33" s="38"/>
      <c r="GS33" s="38"/>
      <c r="GT33" s="38"/>
      <c r="GU33" s="38"/>
      <c r="GV33" s="38"/>
      <c r="GW33" s="38"/>
      <c r="GX33" s="38"/>
      <c r="GY33" s="38"/>
      <c r="GZ33" s="38"/>
      <c r="HA33" s="38"/>
      <c r="HB33" s="38"/>
      <c r="HC33" s="38"/>
      <c r="HD33" s="38"/>
      <c r="HE33" s="38"/>
      <c r="HF33" s="38"/>
      <c r="HG33" s="38"/>
      <c r="HH33" s="38"/>
      <c r="HI33" s="38"/>
      <c r="HJ33" s="38"/>
      <c r="HK33" s="38"/>
      <c r="HL33" s="38"/>
      <c r="HM33" s="38"/>
      <c r="HN33" s="38"/>
      <c r="HO33" s="38"/>
      <c r="HP33" s="38"/>
      <c r="HQ33" s="38"/>
      <c r="HR33" s="38"/>
      <c r="HS33" s="38"/>
      <c r="HT33" s="38"/>
      <c r="HU33" s="38"/>
      <c r="HV33" s="38"/>
      <c r="HW33" s="38"/>
      <c r="HX33" s="38"/>
      <c r="HY33" s="38"/>
      <c r="HZ33" s="38"/>
      <c r="IA33" s="38"/>
      <c r="IB33" s="38"/>
      <c r="IC33" s="38"/>
      <c r="ID33" s="38"/>
      <c r="IE33" s="38"/>
      <c r="IF33" s="38"/>
      <c r="IG33" s="38"/>
      <c r="IH33" s="38"/>
      <c r="II33" s="38"/>
      <c r="IJ33" s="38"/>
      <c r="IK33" s="38"/>
      <c r="IL33" s="38"/>
      <c r="IM33" s="38"/>
      <c r="IN33" s="38"/>
      <c r="IO33" s="38"/>
      <c r="IP33" s="38"/>
      <c r="IQ33" s="38"/>
      <c r="IR33" s="38"/>
      <c r="IS33" s="38"/>
      <c r="IT33" s="38"/>
      <c r="IU33" s="38"/>
      <c r="IV33" s="38"/>
      <c r="IW33" s="38"/>
      <c r="IX33" s="38"/>
      <c r="IY33" s="38"/>
      <c r="IZ33" s="38"/>
      <c r="JA33" s="38"/>
      <c r="JB33" s="38"/>
      <c r="JC33" s="38"/>
      <c r="JD33" s="38"/>
      <c r="JE33" s="38"/>
      <c r="JF33" s="38"/>
      <c r="JG33" s="38"/>
      <c r="JH33" s="38"/>
      <c r="JI33" s="38"/>
      <c r="JJ33" s="38"/>
      <c r="JK33" s="38"/>
      <c r="JL33" s="38"/>
      <c r="JM33" s="38"/>
      <c r="JN33" s="38"/>
      <c r="JO33" s="38"/>
      <c r="JP33" s="38"/>
      <c r="JQ33" s="38"/>
      <c r="JR33" s="38"/>
      <c r="JS33" s="38"/>
      <c r="JT33" s="38"/>
      <c r="JU33" s="38"/>
      <c r="JV33" s="38"/>
      <c r="JW33" s="38"/>
      <c r="JX33" s="38"/>
      <c r="JY33" s="38"/>
      <c r="JZ33" s="38"/>
      <c r="KA33" s="38"/>
      <c r="KB33" s="38"/>
      <c r="KC33" s="38"/>
      <c r="KD33" s="38"/>
      <c r="KE33" s="38"/>
      <c r="KF33" s="38"/>
      <c r="KG33" s="38"/>
      <c r="KH33" s="38"/>
      <c r="KI33" s="38"/>
      <c r="KJ33" s="38"/>
      <c r="KK33" s="38"/>
      <c r="KL33" s="38"/>
      <c r="KM33" s="38"/>
      <c r="KN33" s="38"/>
      <c r="KO33" s="38"/>
      <c r="KP33" s="38"/>
      <c r="KQ33" s="38"/>
      <c r="KR33" s="38"/>
      <c r="KS33" s="38"/>
      <c r="KT33" s="38"/>
      <c r="KU33" s="38"/>
      <c r="KV33" s="38"/>
      <c r="KW33" s="38"/>
      <c r="KX33" s="38"/>
      <c r="KY33" s="38"/>
      <c r="KZ33" s="38"/>
      <c r="LA33" s="38"/>
      <c r="LB33" s="38"/>
      <c r="LC33" s="38"/>
      <c r="LD33" s="38"/>
      <c r="LE33" s="38"/>
      <c r="LF33" s="38"/>
      <c r="LG33" s="38"/>
      <c r="LH33" s="38"/>
      <c r="LI33" s="38"/>
      <c r="LJ33" s="38"/>
      <c r="LK33" s="38"/>
      <c r="LL33" s="38"/>
      <c r="LM33" s="38"/>
      <c r="LN33" s="38"/>
      <c r="LO33" s="38"/>
      <c r="LP33" s="38"/>
      <c r="LQ33" s="38"/>
      <c r="LR33" s="38"/>
      <c r="LS33" s="38"/>
      <c r="LT33" s="38"/>
      <c r="LU33" s="38"/>
      <c r="LV33" s="38"/>
      <c r="LW33" s="38"/>
      <c r="LX33" s="38"/>
      <c r="LY33" s="38"/>
      <c r="LZ33" s="38"/>
      <c r="MA33" s="38"/>
      <c r="MB33" s="38"/>
      <c r="MC33" s="38"/>
      <c r="MD33" s="38"/>
      <c r="ME33" s="38"/>
      <c r="MF33" s="38"/>
      <c r="MG33" s="38"/>
      <c r="MH33" s="38"/>
      <c r="MI33" s="38"/>
      <c r="MJ33" s="38"/>
      <c r="MK33" s="38"/>
      <c r="ML33" s="38"/>
      <c r="MM33" s="38"/>
      <c r="MN33" s="38"/>
      <c r="MO33" s="38"/>
      <c r="MP33" s="38"/>
      <c r="MQ33" s="38"/>
      <c r="MR33" s="38"/>
      <c r="MS33" s="38"/>
      <c r="MT33" s="38"/>
      <c r="MU33" s="38"/>
      <c r="MV33" s="38"/>
      <c r="MW33" s="38"/>
      <c r="MX33" s="38"/>
      <c r="MY33" s="38"/>
      <c r="MZ33" s="38"/>
      <c r="NA33" s="38"/>
      <c r="NB33" s="38"/>
      <c r="NC33" s="38"/>
      <c r="ND33" s="38"/>
      <c r="NE33" s="38"/>
      <c r="NF33" s="38"/>
      <c r="NG33" s="38"/>
      <c r="NH33" s="38"/>
      <c r="NI33" s="38"/>
      <c r="NJ33" s="38"/>
      <c r="NK33" s="38"/>
      <c r="NL33" s="38"/>
      <c r="NM33" s="38"/>
      <c r="NN33" s="38"/>
      <c r="NO33" s="38"/>
      <c r="NP33" s="38"/>
      <c r="NQ33" s="38"/>
      <c r="NR33" s="38"/>
      <c r="NS33" s="38"/>
      <c r="NT33" s="38"/>
      <c r="NU33" s="38"/>
      <c r="NV33" s="38"/>
      <c r="NW33" s="38"/>
      <c r="NX33" s="38"/>
      <c r="NY33" s="38"/>
      <c r="NZ33" s="38"/>
      <c r="OA33" s="38"/>
      <c r="OB33" s="38"/>
      <c r="OC33" s="38"/>
      <c r="OD33" s="38"/>
      <c r="OE33" s="38"/>
      <c r="OF33" s="38"/>
      <c r="OG33" s="38"/>
      <c r="OH33" s="38"/>
      <c r="OI33" s="38"/>
      <c r="OJ33" s="38"/>
      <c r="OK33" s="38"/>
      <c r="OL33" s="38"/>
      <c r="OM33" s="38"/>
      <c r="ON33" s="38"/>
      <c r="OO33" s="38"/>
      <c r="OP33" s="38"/>
      <c r="OQ33" s="38"/>
      <c r="OR33" s="38"/>
      <c r="OS33" s="38"/>
      <c r="OT33" s="38"/>
      <c r="OU33" s="38"/>
      <c r="OV33" s="38"/>
      <c r="OW33" s="38"/>
      <c r="OX33" s="38"/>
      <c r="OY33" s="38"/>
      <c r="OZ33" s="38"/>
      <c r="PA33" s="38"/>
      <c r="PB33" s="38"/>
      <c r="PC33" s="38"/>
      <c r="PD33" s="38"/>
      <c r="PE33" s="38"/>
      <c r="PF33" s="38"/>
      <c r="PG33" s="38"/>
      <c r="PH33" s="38"/>
      <c r="PI33" s="38"/>
      <c r="PJ33" s="38"/>
      <c r="PK33" s="38"/>
      <c r="PL33" s="38"/>
      <c r="PM33" s="38"/>
      <c r="PN33" s="38"/>
      <c r="PO33" s="38"/>
      <c r="PP33" s="38"/>
      <c r="PQ33" s="38"/>
      <c r="PR33" s="38"/>
      <c r="PS33" s="38"/>
      <c r="PT33" s="38"/>
      <c r="PU33" s="38"/>
      <c r="PV33" s="38"/>
      <c r="PW33" s="38"/>
      <c r="PX33" s="38"/>
      <c r="PY33" s="38"/>
      <c r="PZ33" s="38"/>
      <c r="QA33" s="38"/>
      <c r="QB33" s="38"/>
      <c r="QC33" s="38"/>
      <c r="QD33" s="38"/>
      <c r="QE33" s="38"/>
      <c r="QF33" s="38"/>
      <c r="QG33" s="38"/>
      <c r="QH33" s="38"/>
      <c r="QI33" s="38"/>
      <c r="QJ33" s="38"/>
      <c r="QK33" s="38"/>
      <c r="QL33" s="38"/>
      <c r="QM33" s="38"/>
      <c r="QN33" s="38"/>
      <c r="QO33" s="38"/>
      <c r="QP33" s="38"/>
      <c r="QQ33" s="38"/>
      <c r="QR33" s="38"/>
      <c r="QS33" s="38"/>
      <c r="QT33" s="38"/>
      <c r="QU33" s="38"/>
      <c r="QV33" s="38"/>
      <c r="QW33" s="38"/>
      <c r="QX33" s="38"/>
      <c r="QY33" s="38"/>
      <c r="QZ33" s="38"/>
      <c r="RA33" s="38"/>
      <c r="RB33" s="38"/>
      <c r="RC33" s="38"/>
      <c r="RD33" s="38"/>
      <c r="RE33" s="38"/>
      <c r="RF33" s="38"/>
      <c r="RG33" s="38"/>
      <c r="RH33" s="38"/>
      <c r="RI33" s="38"/>
      <c r="RJ33" s="38"/>
      <c r="RK33" s="38"/>
      <c r="RL33" s="38"/>
      <c r="RM33" s="38"/>
      <c r="RN33" s="38"/>
      <c r="RO33" s="38"/>
      <c r="RP33" s="38"/>
      <c r="RQ33" s="38"/>
      <c r="RR33" s="38"/>
      <c r="RS33" s="38"/>
      <c r="RT33" s="38"/>
      <c r="RU33" s="38"/>
      <c r="RV33" s="38"/>
      <c r="RW33" s="38"/>
      <c r="RX33" s="38"/>
      <c r="RY33" s="38"/>
      <c r="RZ33" s="38"/>
      <c r="SA33" s="38"/>
      <c r="SB33" s="38"/>
      <c r="SC33" s="38"/>
      <c r="SD33" s="38"/>
      <c r="SE33" s="38"/>
      <c r="SF33" s="38"/>
      <c r="SG33" s="38"/>
      <c r="SH33" s="38"/>
      <c r="SI33" s="38"/>
      <c r="SJ33" s="38"/>
      <c r="SK33" s="38"/>
      <c r="SL33" s="38"/>
      <c r="SM33" s="38"/>
      <c r="SN33" s="38"/>
      <c r="SO33" s="38"/>
      <c r="SP33" s="38"/>
      <c r="SQ33" s="38"/>
      <c r="SR33" s="38"/>
      <c r="SS33" s="38"/>
      <c r="ST33" s="38"/>
      <c r="SU33" s="38"/>
      <c r="SV33" s="38"/>
      <c r="SW33" s="38"/>
      <c r="SX33" s="38"/>
      <c r="SY33" s="38"/>
      <c r="SZ33" s="38"/>
      <c r="TA33" s="38"/>
      <c r="TB33" s="38"/>
      <c r="TC33" s="38"/>
      <c r="TD33" s="38"/>
      <c r="TE33" s="38"/>
      <c r="TF33" s="38"/>
      <c r="TG33" s="38"/>
      <c r="TH33" s="38"/>
      <c r="TI33" s="38"/>
      <c r="TJ33" s="38"/>
      <c r="TK33" s="38"/>
      <c r="TL33" s="38"/>
      <c r="TM33" s="38"/>
      <c r="TN33" s="38"/>
      <c r="TO33" s="38"/>
      <c r="TP33" s="38"/>
      <c r="TQ33" s="38"/>
      <c r="TR33" s="38"/>
      <c r="TS33" s="38"/>
      <c r="TT33" s="38"/>
      <c r="TU33" s="38"/>
      <c r="TV33" s="38"/>
      <c r="TW33" s="38"/>
      <c r="TX33" s="38"/>
      <c r="TY33" s="38"/>
      <c r="TZ33" s="38"/>
      <c r="UA33" s="38"/>
      <c r="UB33" s="38"/>
      <c r="UC33" s="38"/>
      <c r="UD33" s="38"/>
      <c r="UE33" s="38"/>
      <c r="UF33" s="38"/>
      <c r="UG33" s="38"/>
      <c r="UH33" s="38"/>
      <c r="UI33" s="38"/>
      <c r="UJ33" s="38"/>
      <c r="UK33" s="38"/>
      <c r="UL33" s="38"/>
      <c r="UM33" s="38"/>
      <c r="UN33" s="38"/>
      <c r="UO33" s="38"/>
      <c r="UP33" s="38"/>
      <c r="UQ33" s="38"/>
      <c r="UR33" s="38"/>
      <c r="US33" s="38"/>
      <c r="UT33" s="38"/>
      <c r="UU33" s="38"/>
      <c r="UV33" s="38"/>
      <c r="UW33" s="38"/>
      <c r="UX33" s="38"/>
      <c r="UY33" s="38"/>
      <c r="UZ33" s="38"/>
      <c r="VA33" s="38"/>
      <c r="VB33" s="38"/>
      <c r="VC33" s="38"/>
      <c r="VD33" s="38"/>
      <c r="VE33" s="38"/>
      <c r="VF33" s="38"/>
      <c r="VG33" s="38"/>
      <c r="VH33" s="38"/>
      <c r="VI33" s="38"/>
      <c r="VJ33" s="38"/>
      <c r="VK33" s="38"/>
      <c r="VL33" s="38"/>
      <c r="VM33" s="38"/>
      <c r="VN33" s="38"/>
      <c r="VO33" s="38"/>
      <c r="VP33" s="38"/>
      <c r="VQ33" s="38"/>
      <c r="VR33" s="38"/>
      <c r="VS33" s="38"/>
      <c r="VT33" s="38"/>
      <c r="VU33" s="38"/>
      <c r="VV33" s="38"/>
      <c r="VW33" s="38"/>
      <c r="VX33" s="38"/>
      <c r="VY33" s="38"/>
      <c r="VZ33" s="38"/>
      <c r="WA33" s="38"/>
      <c r="WB33" s="38"/>
      <c r="WC33" s="38"/>
      <c r="WD33" s="38"/>
      <c r="WE33" s="38"/>
      <c r="WF33" s="38"/>
      <c r="WG33" s="38"/>
      <c r="WH33" s="38"/>
      <c r="WI33" s="38"/>
      <c r="WJ33" s="38"/>
      <c r="WK33" s="38"/>
      <c r="WL33" s="38"/>
      <c r="WM33" s="38"/>
      <c r="WN33" s="38"/>
      <c r="WO33" s="38"/>
      <c r="WP33" s="38"/>
      <c r="WQ33" s="38"/>
      <c r="WR33" s="38"/>
      <c r="WS33" s="38"/>
      <c r="WT33" s="38"/>
      <c r="WU33" s="38"/>
      <c r="WV33" s="38"/>
      <c r="WW33" s="38"/>
      <c r="WX33" s="38"/>
      <c r="WY33" s="38"/>
      <c r="WZ33" s="38"/>
      <c r="XA33" s="38"/>
      <c r="XB33" s="38"/>
      <c r="XC33" s="38"/>
      <c r="XD33" s="38"/>
      <c r="XE33" s="38"/>
      <c r="XF33" s="38"/>
      <c r="XG33" s="38"/>
      <c r="XH33" s="38"/>
      <c r="XI33" s="38"/>
      <c r="XJ33" s="38"/>
      <c r="XK33" s="38"/>
      <c r="XL33" s="38"/>
      <c r="XM33" s="38"/>
      <c r="XN33" s="38"/>
      <c r="XO33" s="38"/>
      <c r="XP33" s="38"/>
      <c r="XQ33" s="38"/>
      <c r="XR33" s="38"/>
      <c r="XS33" s="38"/>
      <c r="XT33" s="38"/>
      <c r="XU33" s="38"/>
      <c r="XV33" s="38"/>
      <c r="XW33" s="38"/>
      <c r="XX33" s="38"/>
      <c r="XY33" s="38"/>
      <c r="XZ33" s="38"/>
      <c r="YA33" s="38"/>
      <c r="YB33" s="38"/>
      <c r="YC33" s="38"/>
      <c r="YD33" s="38"/>
      <c r="YE33" s="38"/>
      <c r="YF33" s="38"/>
      <c r="YG33" s="38"/>
      <c r="YH33" s="38"/>
      <c r="YI33" s="38"/>
      <c r="YJ33" s="38"/>
      <c r="YK33" s="38"/>
      <c r="YL33" s="38"/>
      <c r="YM33" s="38"/>
      <c r="YN33" s="38"/>
      <c r="YO33" s="38"/>
      <c r="YP33" s="38"/>
      <c r="YQ33" s="38"/>
      <c r="YR33" s="38"/>
      <c r="YS33" s="38"/>
      <c r="YT33" s="38"/>
      <c r="YU33" s="38"/>
      <c r="YV33" s="38"/>
      <c r="YW33" s="38"/>
      <c r="YX33" s="38"/>
      <c r="YY33" s="38"/>
      <c r="YZ33" s="38"/>
      <c r="ZA33" s="38"/>
      <c r="ZB33" s="38"/>
      <c r="ZC33" s="38"/>
      <c r="ZD33" s="38"/>
      <c r="ZE33" s="38"/>
      <c r="ZF33" s="38"/>
      <c r="ZG33" s="38"/>
      <c r="ZH33" s="38"/>
      <c r="ZI33" s="38"/>
      <c r="ZJ33" s="38"/>
      <c r="ZK33" s="38"/>
      <c r="ZL33" s="38"/>
      <c r="ZM33" s="38"/>
      <c r="ZN33" s="38"/>
      <c r="ZO33" s="38"/>
      <c r="ZP33" s="38"/>
      <c r="ZQ33" s="38"/>
      <c r="ZR33" s="38"/>
      <c r="ZS33" s="38"/>
      <c r="ZT33" s="38"/>
      <c r="ZU33" s="38"/>
      <c r="ZV33" s="38"/>
      <c r="ZW33" s="38"/>
      <c r="ZX33" s="38"/>
      <c r="ZY33" s="38"/>
      <c r="ZZ33" s="38"/>
      <c r="AAA33" s="38"/>
      <c r="AAB33" s="38"/>
      <c r="AAC33" s="38"/>
      <c r="AAD33" s="38"/>
      <c r="AAE33" s="38"/>
      <c r="AAF33" s="38"/>
      <c r="AAG33" s="38"/>
      <c r="AAH33" s="38"/>
      <c r="AAI33" s="38"/>
      <c r="AAJ33" s="38"/>
      <c r="AAK33" s="38"/>
      <c r="AAL33" s="38"/>
      <c r="AAM33" s="38"/>
      <c r="AAN33" s="38"/>
      <c r="AAO33" s="38"/>
      <c r="AAP33" s="38"/>
      <c r="AAQ33" s="38"/>
      <c r="AAR33" s="38"/>
      <c r="AAS33" s="38"/>
      <c r="AAT33" s="38"/>
      <c r="AAU33" s="38"/>
      <c r="AAV33" s="38"/>
      <c r="AAW33" s="38"/>
      <c r="AAX33" s="38"/>
      <c r="AAY33" s="38"/>
      <c r="AAZ33" s="38"/>
      <c r="ABA33" s="38"/>
      <c r="ABB33" s="38"/>
      <c r="ABC33" s="38"/>
      <c r="ABD33" s="38"/>
      <c r="ABE33" s="38"/>
      <c r="ABF33" s="38"/>
      <c r="ABG33" s="38"/>
      <c r="ABH33" s="38"/>
      <c r="ABI33" s="38"/>
      <c r="ABJ33" s="38"/>
      <c r="ABK33" s="38"/>
      <c r="ABL33" s="38"/>
      <c r="ABM33" s="38"/>
      <c r="ABN33" s="38"/>
      <c r="ABO33" s="38"/>
      <c r="ABP33" s="38"/>
      <c r="ABQ33" s="38"/>
      <c r="ABR33" s="38"/>
      <c r="ABS33" s="38"/>
      <c r="ABT33" s="38"/>
      <c r="ABU33" s="38"/>
      <c r="ABV33" s="38"/>
      <c r="ABW33" s="38"/>
      <c r="ABX33" s="38"/>
      <c r="ABY33" s="38"/>
      <c r="ABZ33" s="38"/>
      <c r="ACA33" s="38"/>
      <c r="ACB33" s="38"/>
      <c r="ACC33" s="38"/>
      <c r="ACD33" s="38"/>
      <c r="ACE33" s="38"/>
      <c r="ACF33" s="38"/>
      <c r="ACG33" s="38"/>
      <c r="ACH33" s="38"/>
      <c r="ACI33" s="38"/>
      <c r="ACJ33" s="38"/>
      <c r="ACK33" s="38"/>
      <c r="ACL33" s="38"/>
      <c r="ACM33" s="38"/>
      <c r="ACN33" s="38"/>
      <c r="ACO33" s="38"/>
      <c r="ACP33" s="38"/>
      <c r="ACQ33" s="38"/>
      <c r="ACR33" s="38"/>
      <c r="ACS33" s="38"/>
      <c r="ACT33" s="38"/>
      <c r="ACU33" s="38"/>
      <c r="ACV33" s="38"/>
      <c r="ACW33" s="38"/>
      <c r="ACX33" s="38"/>
      <c r="ACY33" s="38"/>
      <c r="ACZ33" s="38"/>
      <c r="ADA33" s="38"/>
      <c r="ADB33" s="38"/>
      <c r="ADC33" s="38"/>
      <c r="ADD33" s="38"/>
      <c r="ADE33" s="38"/>
      <c r="ADF33" s="38"/>
      <c r="ADG33" s="38"/>
      <c r="ADH33" s="38"/>
      <c r="ADI33" s="38"/>
      <c r="ADJ33" s="38"/>
      <c r="ADK33" s="38"/>
      <c r="ADL33" s="38"/>
      <c r="ADM33" s="38"/>
      <c r="ADN33" s="38"/>
      <c r="ADO33" s="38"/>
      <c r="ADP33" s="38"/>
      <c r="ADQ33" s="38"/>
      <c r="ADR33" s="38"/>
      <c r="ADS33" s="38"/>
      <c r="ADT33" s="38"/>
      <c r="ADU33" s="38"/>
      <c r="ADV33" s="38"/>
      <c r="ADW33" s="38"/>
      <c r="ADX33" s="38"/>
      <c r="ADY33" s="38"/>
      <c r="ADZ33" s="38"/>
      <c r="AEA33" s="38"/>
      <c r="AEB33" s="38"/>
      <c r="AEC33" s="38"/>
      <c r="AED33" s="38"/>
      <c r="AEE33" s="38"/>
      <c r="AEF33" s="38"/>
      <c r="AEG33" s="38"/>
      <c r="AEH33" s="38"/>
      <c r="AEI33" s="38"/>
      <c r="AEJ33" s="38"/>
      <c r="AEK33" s="38"/>
      <c r="AEL33" s="38"/>
      <c r="AEM33" s="38"/>
      <c r="AEN33" s="38"/>
      <c r="AEO33" s="38"/>
      <c r="AEP33" s="38"/>
      <c r="AEQ33" s="38"/>
      <c r="AER33" s="38"/>
      <c r="AES33" s="38"/>
      <c r="AET33" s="38"/>
      <c r="AEU33" s="38"/>
      <c r="AEV33" s="38"/>
      <c r="AEW33" s="38"/>
      <c r="AEX33" s="38"/>
      <c r="AEY33" s="38"/>
      <c r="AEZ33" s="38"/>
      <c r="AFA33" s="38"/>
      <c r="AFB33" s="38"/>
      <c r="AFC33" s="38"/>
      <c r="AFD33" s="38"/>
      <c r="AFE33" s="38"/>
      <c r="AFF33" s="38"/>
      <c r="AFG33" s="38"/>
      <c r="AFH33" s="38"/>
      <c r="AFI33" s="38"/>
      <c r="AFJ33" s="38"/>
      <c r="AFK33" s="38"/>
      <c r="AFL33" s="38"/>
      <c r="AFM33" s="38"/>
      <c r="AFN33" s="38"/>
      <c r="AFO33" s="38"/>
      <c r="AFP33" s="38"/>
      <c r="AFQ33" s="38"/>
      <c r="AFR33" s="38"/>
      <c r="AFS33" s="38"/>
      <c r="AFT33" s="38"/>
      <c r="AFU33" s="38"/>
      <c r="AFV33" s="38"/>
      <c r="AFW33" s="38"/>
      <c r="AFX33" s="38"/>
      <c r="AFY33" s="38"/>
      <c r="AFZ33" s="38"/>
      <c r="AGA33" s="38"/>
      <c r="AGB33" s="38"/>
      <c r="AGC33" s="38"/>
      <c r="AGD33" s="38"/>
      <c r="AGE33" s="38"/>
      <c r="AGF33" s="38"/>
      <c r="AGG33" s="38"/>
      <c r="AGH33" s="38"/>
      <c r="AGI33" s="38"/>
      <c r="AGJ33" s="38"/>
      <c r="AGK33" s="38"/>
      <c r="AGL33" s="38"/>
      <c r="AGM33" s="38"/>
      <c r="AGN33" s="38"/>
      <c r="AGO33" s="38"/>
      <c r="AGP33" s="38"/>
      <c r="AGQ33" s="38"/>
      <c r="AGR33" s="38"/>
      <c r="AGS33" s="38"/>
      <c r="AGT33" s="38"/>
      <c r="AGU33" s="38"/>
      <c r="AGV33" s="38"/>
      <c r="AGW33" s="38"/>
      <c r="AGX33" s="38"/>
      <c r="AGY33" s="38"/>
      <c r="AGZ33" s="38"/>
      <c r="AHA33" s="38"/>
      <c r="AHB33" s="38"/>
      <c r="AHC33" s="38"/>
      <c r="AHD33" s="38"/>
      <c r="AHE33" s="38"/>
      <c r="AHF33" s="38"/>
      <c r="AHG33" s="38"/>
      <c r="AHH33" s="38"/>
      <c r="AHI33" s="38"/>
      <c r="AHJ33" s="38"/>
      <c r="AHK33" s="38"/>
      <c r="AHL33" s="38"/>
      <c r="AHM33" s="38"/>
      <c r="AHN33" s="38"/>
      <c r="AHO33" s="38"/>
      <c r="AHP33" s="38"/>
      <c r="AHQ33" s="38"/>
      <c r="AHR33" s="38"/>
      <c r="AHS33" s="38"/>
      <c r="AHT33" s="38"/>
      <c r="AHU33" s="38"/>
      <c r="AHV33" s="38"/>
    </row>
    <row r="34" spans="1:906" s="27" customFormat="1" x14ac:dyDescent="0.35">
      <c r="A34" s="83">
        <v>29</v>
      </c>
      <c r="B34" s="108" t="s">
        <v>58</v>
      </c>
      <c r="C34" s="109" t="s">
        <v>55</v>
      </c>
      <c r="D34" s="109" t="s">
        <v>59</v>
      </c>
      <c r="E34" s="125">
        <v>30.99</v>
      </c>
      <c r="F34" s="125">
        <v>30.95</v>
      </c>
      <c r="G34" s="125">
        <v>30.95</v>
      </c>
      <c r="H34" s="125"/>
      <c r="I34" s="37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</row>
    <row r="35" spans="1:906" s="27" customFormat="1" x14ac:dyDescent="0.35">
      <c r="A35" s="83">
        <v>30</v>
      </c>
      <c r="B35" s="108" t="s">
        <v>60</v>
      </c>
      <c r="C35" s="109" t="s">
        <v>61</v>
      </c>
      <c r="D35" s="109" t="s">
        <v>62</v>
      </c>
      <c r="E35" s="125">
        <v>11.75</v>
      </c>
      <c r="F35" s="125">
        <v>10.95</v>
      </c>
      <c r="G35" s="125">
        <v>10.95</v>
      </c>
      <c r="H35" s="125"/>
      <c r="I35" s="37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  <c r="EX35" s="38"/>
      <c r="EY35" s="38"/>
      <c r="EZ35" s="38"/>
      <c r="FA35" s="38"/>
      <c r="FB35" s="38"/>
      <c r="FC35" s="38"/>
      <c r="FD35" s="38"/>
      <c r="FE35" s="38"/>
      <c r="FF35" s="38"/>
      <c r="FG35" s="38"/>
      <c r="FH35" s="38"/>
      <c r="FI35" s="38"/>
      <c r="FJ35" s="38"/>
      <c r="FK35" s="38"/>
      <c r="FL35" s="38"/>
      <c r="FM35" s="38"/>
      <c r="FN35" s="38"/>
      <c r="FO35" s="38"/>
      <c r="FP35" s="38"/>
      <c r="FQ35" s="38"/>
      <c r="FR35" s="38"/>
      <c r="FS35" s="38"/>
      <c r="FT35" s="38"/>
      <c r="FU35" s="38"/>
      <c r="FV35" s="38"/>
      <c r="FW35" s="38"/>
      <c r="FX35" s="38"/>
      <c r="FY35" s="38"/>
      <c r="FZ35" s="38"/>
      <c r="GA35" s="38"/>
      <c r="GB35" s="38"/>
      <c r="GC35" s="38"/>
      <c r="GD35" s="38"/>
      <c r="GE35" s="38"/>
      <c r="GF35" s="38"/>
      <c r="GG35" s="38"/>
      <c r="GH35" s="38"/>
      <c r="GI35" s="38"/>
      <c r="GJ35" s="38"/>
      <c r="GK35" s="38"/>
      <c r="GL35" s="38"/>
      <c r="GM35" s="38"/>
      <c r="GN35" s="38"/>
      <c r="GO35" s="38"/>
      <c r="GP35" s="38"/>
      <c r="GQ35" s="38"/>
      <c r="GR35" s="38"/>
      <c r="GS35" s="38"/>
      <c r="GT35" s="38"/>
      <c r="GU35" s="38"/>
      <c r="GV35" s="38"/>
      <c r="GW35" s="38"/>
      <c r="GX35" s="38"/>
      <c r="GY35" s="38"/>
      <c r="GZ35" s="38"/>
      <c r="HA35" s="38"/>
      <c r="HB35" s="38"/>
      <c r="HC35" s="38"/>
      <c r="HD35" s="38"/>
      <c r="HE35" s="38"/>
      <c r="HF35" s="38"/>
      <c r="HG35" s="38"/>
      <c r="HH35" s="38"/>
      <c r="HI35" s="38"/>
      <c r="HJ35" s="38"/>
      <c r="HK35" s="38"/>
      <c r="HL35" s="38"/>
      <c r="HM35" s="38"/>
      <c r="HN35" s="38"/>
      <c r="HO35" s="38"/>
      <c r="HP35" s="38"/>
      <c r="HQ35" s="38"/>
      <c r="HR35" s="38"/>
      <c r="HS35" s="38"/>
      <c r="HT35" s="38"/>
      <c r="HU35" s="38"/>
      <c r="HV35" s="38"/>
      <c r="HW35" s="38"/>
      <c r="HX35" s="38"/>
      <c r="HY35" s="38"/>
      <c r="HZ35" s="38"/>
      <c r="IA35" s="38"/>
      <c r="IB35" s="38"/>
      <c r="IC35" s="38"/>
      <c r="ID35" s="38"/>
      <c r="IE35" s="38"/>
      <c r="IF35" s="38"/>
      <c r="IG35" s="38"/>
      <c r="IH35" s="38"/>
      <c r="II35" s="38"/>
      <c r="IJ35" s="38"/>
      <c r="IK35" s="38"/>
      <c r="IL35" s="38"/>
      <c r="IM35" s="38"/>
      <c r="IN35" s="38"/>
      <c r="IO35" s="38"/>
      <c r="IP35" s="38"/>
      <c r="IQ35" s="38"/>
      <c r="IR35" s="38"/>
      <c r="IS35" s="38"/>
      <c r="IT35" s="38"/>
      <c r="IU35" s="38"/>
      <c r="IV35" s="38"/>
      <c r="IW35" s="38"/>
      <c r="IX35" s="38"/>
      <c r="IY35" s="38"/>
      <c r="IZ35" s="38"/>
      <c r="JA35" s="38"/>
      <c r="JB35" s="38"/>
      <c r="JC35" s="38"/>
      <c r="JD35" s="38"/>
      <c r="JE35" s="38"/>
      <c r="JF35" s="38"/>
      <c r="JG35" s="38"/>
      <c r="JH35" s="38"/>
      <c r="JI35" s="38"/>
      <c r="JJ35" s="38"/>
      <c r="JK35" s="38"/>
      <c r="JL35" s="38"/>
      <c r="JM35" s="38"/>
      <c r="JN35" s="38"/>
      <c r="JO35" s="38"/>
      <c r="JP35" s="38"/>
      <c r="JQ35" s="38"/>
      <c r="JR35" s="38"/>
      <c r="JS35" s="38"/>
      <c r="JT35" s="38"/>
      <c r="JU35" s="38"/>
      <c r="JV35" s="38"/>
      <c r="JW35" s="38"/>
      <c r="JX35" s="38"/>
      <c r="JY35" s="38"/>
      <c r="JZ35" s="38"/>
      <c r="KA35" s="38"/>
      <c r="KB35" s="38"/>
      <c r="KC35" s="38"/>
      <c r="KD35" s="38"/>
      <c r="KE35" s="38"/>
      <c r="KF35" s="38"/>
      <c r="KG35" s="38"/>
      <c r="KH35" s="38"/>
      <c r="KI35" s="38"/>
      <c r="KJ35" s="38"/>
      <c r="KK35" s="38"/>
      <c r="KL35" s="38"/>
      <c r="KM35" s="38"/>
      <c r="KN35" s="38"/>
      <c r="KO35" s="38"/>
      <c r="KP35" s="38"/>
      <c r="KQ35" s="38"/>
      <c r="KR35" s="38"/>
      <c r="KS35" s="38"/>
      <c r="KT35" s="38"/>
      <c r="KU35" s="38"/>
      <c r="KV35" s="38"/>
      <c r="KW35" s="38"/>
      <c r="KX35" s="38"/>
      <c r="KY35" s="38"/>
      <c r="KZ35" s="38"/>
      <c r="LA35" s="38"/>
      <c r="LB35" s="38"/>
      <c r="LC35" s="38"/>
      <c r="LD35" s="38"/>
      <c r="LE35" s="38"/>
      <c r="LF35" s="38"/>
      <c r="LG35" s="38"/>
      <c r="LH35" s="38"/>
      <c r="LI35" s="38"/>
      <c r="LJ35" s="38"/>
      <c r="LK35" s="38"/>
      <c r="LL35" s="38"/>
      <c r="LM35" s="38"/>
      <c r="LN35" s="38"/>
      <c r="LO35" s="38"/>
      <c r="LP35" s="38"/>
      <c r="LQ35" s="38"/>
      <c r="LR35" s="38"/>
      <c r="LS35" s="38"/>
      <c r="LT35" s="38"/>
      <c r="LU35" s="38"/>
      <c r="LV35" s="38"/>
      <c r="LW35" s="38"/>
      <c r="LX35" s="38"/>
      <c r="LY35" s="38"/>
      <c r="LZ35" s="38"/>
      <c r="MA35" s="38"/>
      <c r="MB35" s="38"/>
      <c r="MC35" s="38"/>
      <c r="MD35" s="38"/>
      <c r="ME35" s="38"/>
      <c r="MF35" s="38"/>
      <c r="MG35" s="38"/>
      <c r="MH35" s="38"/>
      <c r="MI35" s="38"/>
      <c r="MJ35" s="38"/>
      <c r="MK35" s="38"/>
      <c r="ML35" s="38"/>
      <c r="MM35" s="38"/>
      <c r="MN35" s="38"/>
      <c r="MO35" s="38"/>
      <c r="MP35" s="38"/>
      <c r="MQ35" s="38"/>
      <c r="MR35" s="38"/>
      <c r="MS35" s="38"/>
      <c r="MT35" s="38"/>
      <c r="MU35" s="38"/>
      <c r="MV35" s="38"/>
      <c r="MW35" s="38"/>
      <c r="MX35" s="38"/>
      <c r="MY35" s="38"/>
      <c r="MZ35" s="38"/>
      <c r="NA35" s="38"/>
      <c r="NB35" s="38"/>
      <c r="NC35" s="38"/>
      <c r="ND35" s="38"/>
      <c r="NE35" s="38"/>
      <c r="NF35" s="38"/>
      <c r="NG35" s="38"/>
      <c r="NH35" s="38"/>
      <c r="NI35" s="38"/>
      <c r="NJ35" s="38"/>
      <c r="NK35" s="38"/>
      <c r="NL35" s="38"/>
      <c r="NM35" s="38"/>
      <c r="NN35" s="38"/>
      <c r="NO35" s="38"/>
      <c r="NP35" s="38"/>
      <c r="NQ35" s="38"/>
      <c r="NR35" s="38"/>
      <c r="NS35" s="38"/>
      <c r="NT35" s="38"/>
      <c r="NU35" s="38"/>
      <c r="NV35" s="38"/>
      <c r="NW35" s="38"/>
      <c r="NX35" s="38"/>
      <c r="NY35" s="38"/>
      <c r="NZ35" s="38"/>
      <c r="OA35" s="38"/>
      <c r="OB35" s="38"/>
      <c r="OC35" s="38"/>
      <c r="OD35" s="38"/>
      <c r="OE35" s="38"/>
      <c r="OF35" s="38"/>
      <c r="OG35" s="38"/>
      <c r="OH35" s="38"/>
      <c r="OI35" s="38"/>
      <c r="OJ35" s="38"/>
      <c r="OK35" s="38"/>
      <c r="OL35" s="38"/>
      <c r="OM35" s="38"/>
      <c r="ON35" s="38"/>
      <c r="OO35" s="38"/>
      <c r="OP35" s="38"/>
      <c r="OQ35" s="38"/>
      <c r="OR35" s="38"/>
      <c r="OS35" s="38"/>
      <c r="OT35" s="38"/>
      <c r="OU35" s="38"/>
      <c r="OV35" s="38"/>
      <c r="OW35" s="38"/>
      <c r="OX35" s="38"/>
      <c r="OY35" s="38"/>
      <c r="OZ35" s="38"/>
      <c r="PA35" s="38"/>
      <c r="PB35" s="38"/>
      <c r="PC35" s="38"/>
      <c r="PD35" s="38"/>
      <c r="PE35" s="38"/>
      <c r="PF35" s="38"/>
      <c r="PG35" s="38"/>
      <c r="PH35" s="38"/>
      <c r="PI35" s="38"/>
      <c r="PJ35" s="38"/>
      <c r="PK35" s="38"/>
      <c r="PL35" s="38"/>
      <c r="PM35" s="38"/>
      <c r="PN35" s="38"/>
      <c r="PO35" s="38"/>
      <c r="PP35" s="38"/>
      <c r="PQ35" s="38"/>
      <c r="PR35" s="38"/>
      <c r="PS35" s="38"/>
      <c r="PT35" s="38"/>
      <c r="PU35" s="38"/>
      <c r="PV35" s="38"/>
      <c r="PW35" s="38"/>
      <c r="PX35" s="38"/>
      <c r="PY35" s="38"/>
      <c r="PZ35" s="38"/>
      <c r="QA35" s="38"/>
      <c r="QB35" s="38"/>
      <c r="QC35" s="38"/>
      <c r="QD35" s="38"/>
      <c r="QE35" s="38"/>
      <c r="QF35" s="38"/>
      <c r="QG35" s="38"/>
      <c r="QH35" s="38"/>
      <c r="QI35" s="38"/>
      <c r="QJ35" s="38"/>
      <c r="QK35" s="38"/>
      <c r="QL35" s="38"/>
      <c r="QM35" s="38"/>
      <c r="QN35" s="38"/>
      <c r="QO35" s="38"/>
      <c r="QP35" s="38"/>
      <c r="QQ35" s="38"/>
      <c r="QR35" s="38"/>
      <c r="QS35" s="38"/>
      <c r="QT35" s="38"/>
      <c r="QU35" s="38"/>
      <c r="QV35" s="38"/>
      <c r="QW35" s="38"/>
      <c r="QX35" s="38"/>
      <c r="QY35" s="38"/>
      <c r="QZ35" s="38"/>
      <c r="RA35" s="38"/>
      <c r="RB35" s="38"/>
      <c r="RC35" s="38"/>
      <c r="RD35" s="38"/>
      <c r="RE35" s="38"/>
      <c r="RF35" s="38"/>
      <c r="RG35" s="38"/>
      <c r="RH35" s="38"/>
      <c r="RI35" s="38"/>
      <c r="RJ35" s="38"/>
      <c r="RK35" s="38"/>
      <c r="RL35" s="38"/>
      <c r="RM35" s="38"/>
      <c r="RN35" s="38"/>
      <c r="RO35" s="38"/>
      <c r="RP35" s="38"/>
      <c r="RQ35" s="38"/>
      <c r="RR35" s="38"/>
      <c r="RS35" s="38"/>
      <c r="RT35" s="38"/>
      <c r="RU35" s="38"/>
      <c r="RV35" s="38"/>
      <c r="RW35" s="38"/>
      <c r="RX35" s="38"/>
      <c r="RY35" s="38"/>
      <c r="RZ35" s="38"/>
      <c r="SA35" s="38"/>
      <c r="SB35" s="38"/>
      <c r="SC35" s="38"/>
      <c r="SD35" s="38"/>
      <c r="SE35" s="38"/>
      <c r="SF35" s="38"/>
      <c r="SG35" s="38"/>
      <c r="SH35" s="38"/>
      <c r="SI35" s="38"/>
      <c r="SJ35" s="38"/>
      <c r="SK35" s="38"/>
      <c r="SL35" s="38"/>
      <c r="SM35" s="38"/>
      <c r="SN35" s="38"/>
      <c r="SO35" s="38"/>
      <c r="SP35" s="38"/>
      <c r="SQ35" s="38"/>
      <c r="SR35" s="38"/>
      <c r="SS35" s="38"/>
      <c r="ST35" s="38"/>
      <c r="SU35" s="38"/>
      <c r="SV35" s="38"/>
      <c r="SW35" s="38"/>
      <c r="SX35" s="38"/>
      <c r="SY35" s="38"/>
      <c r="SZ35" s="38"/>
      <c r="TA35" s="38"/>
      <c r="TB35" s="38"/>
      <c r="TC35" s="38"/>
      <c r="TD35" s="38"/>
      <c r="TE35" s="38"/>
      <c r="TF35" s="38"/>
      <c r="TG35" s="38"/>
      <c r="TH35" s="38"/>
      <c r="TI35" s="38"/>
      <c r="TJ35" s="38"/>
      <c r="TK35" s="38"/>
      <c r="TL35" s="38"/>
      <c r="TM35" s="38"/>
      <c r="TN35" s="38"/>
      <c r="TO35" s="38"/>
      <c r="TP35" s="38"/>
      <c r="TQ35" s="38"/>
      <c r="TR35" s="38"/>
      <c r="TS35" s="38"/>
      <c r="TT35" s="38"/>
      <c r="TU35" s="38"/>
      <c r="TV35" s="38"/>
      <c r="TW35" s="38"/>
      <c r="TX35" s="38"/>
      <c r="TY35" s="38"/>
      <c r="TZ35" s="38"/>
      <c r="UA35" s="38"/>
      <c r="UB35" s="38"/>
      <c r="UC35" s="38"/>
      <c r="UD35" s="38"/>
      <c r="UE35" s="38"/>
      <c r="UF35" s="38"/>
      <c r="UG35" s="38"/>
      <c r="UH35" s="38"/>
      <c r="UI35" s="38"/>
      <c r="UJ35" s="38"/>
      <c r="UK35" s="38"/>
      <c r="UL35" s="38"/>
      <c r="UM35" s="38"/>
      <c r="UN35" s="38"/>
      <c r="UO35" s="38"/>
      <c r="UP35" s="38"/>
      <c r="UQ35" s="38"/>
      <c r="UR35" s="38"/>
      <c r="US35" s="38"/>
      <c r="UT35" s="38"/>
      <c r="UU35" s="38"/>
      <c r="UV35" s="38"/>
      <c r="UW35" s="38"/>
      <c r="UX35" s="38"/>
      <c r="UY35" s="38"/>
      <c r="UZ35" s="38"/>
      <c r="VA35" s="38"/>
      <c r="VB35" s="38"/>
      <c r="VC35" s="38"/>
      <c r="VD35" s="38"/>
      <c r="VE35" s="38"/>
      <c r="VF35" s="38"/>
      <c r="VG35" s="38"/>
      <c r="VH35" s="38"/>
      <c r="VI35" s="38"/>
      <c r="VJ35" s="38"/>
      <c r="VK35" s="38"/>
      <c r="VL35" s="38"/>
      <c r="VM35" s="38"/>
      <c r="VN35" s="38"/>
      <c r="VO35" s="38"/>
      <c r="VP35" s="38"/>
      <c r="VQ35" s="38"/>
      <c r="VR35" s="38"/>
      <c r="VS35" s="38"/>
      <c r="VT35" s="38"/>
      <c r="VU35" s="38"/>
      <c r="VV35" s="38"/>
      <c r="VW35" s="38"/>
      <c r="VX35" s="38"/>
      <c r="VY35" s="38"/>
      <c r="VZ35" s="38"/>
      <c r="WA35" s="38"/>
      <c r="WB35" s="38"/>
      <c r="WC35" s="38"/>
      <c r="WD35" s="38"/>
      <c r="WE35" s="38"/>
      <c r="WF35" s="38"/>
      <c r="WG35" s="38"/>
      <c r="WH35" s="38"/>
      <c r="WI35" s="38"/>
      <c r="WJ35" s="38"/>
      <c r="WK35" s="38"/>
      <c r="WL35" s="38"/>
      <c r="WM35" s="38"/>
      <c r="WN35" s="38"/>
      <c r="WO35" s="38"/>
      <c r="WP35" s="38"/>
      <c r="WQ35" s="38"/>
      <c r="WR35" s="38"/>
      <c r="WS35" s="38"/>
      <c r="WT35" s="38"/>
      <c r="WU35" s="38"/>
      <c r="WV35" s="38"/>
      <c r="WW35" s="38"/>
      <c r="WX35" s="38"/>
      <c r="WY35" s="38"/>
      <c r="WZ35" s="38"/>
      <c r="XA35" s="38"/>
      <c r="XB35" s="38"/>
      <c r="XC35" s="38"/>
      <c r="XD35" s="38"/>
      <c r="XE35" s="38"/>
      <c r="XF35" s="38"/>
      <c r="XG35" s="38"/>
      <c r="XH35" s="38"/>
      <c r="XI35" s="38"/>
      <c r="XJ35" s="38"/>
      <c r="XK35" s="38"/>
      <c r="XL35" s="38"/>
      <c r="XM35" s="38"/>
      <c r="XN35" s="38"/>
      <c r="XO35" s="38"/>
      <c r="XP35" s="38"/>
      <c r="XQ35" s="38"/>
      <c r="XR35" s="38"/>
      <c r="XS35" s="38"/>
      <c r="XT35" s="38"/>
      <c r="XU35" s="38"/>
      <c r="XV35" s="38"/>
      <c r="XW35" s="38"/>
      <c r="XX35" s="38"/>
      <c r="XY35" s="38"/>
      <c r="XZ35" s="38"/>
      <c r="YA35" s="38"/>
      <c r="YB35" s="38"/>
      <c r="YC35" s="38"/>
      <c r="YD35" s="38"/>
      <c r="YE35" s="38"/>
      <c r="YF35" s="38"/>
      <c r="YG35" s="38"/>
      <c r="YH35" s="38"/>
      <c r="YI35" s="38"/>
      <c r="YJ35" s="38"/>
      <c r="YK35" s="38"/>
      <c r="YL35" s="38"/>
      <c r="YM35" s="38"/>
      <c r="YN35" s="38"/>
      <c r="YO35" s="38"/>
      <c r="YP35" s="38"/>
      <c r="YQ35" s="38"/>
      <c r="YR35" s="38"/>
      <c r="YS35" s="38"/>
      <c r="YT35" s="38"/>
      <c r="YU35" s="38"/>
      <c r="YV35" s="38"/>
      <c r="YW35" s="38"/>
      <c r="YX35" s="38"/>
      <c r="YY35" s="38"/>
      <c r="YZ35" s="38"/>
      <c r="ZA35" s="38"/>
      <c r="ZB35" s="38"/>
      <c r="ZC35" s="38"/>
      <c r="ZD35" s="38"/>
      <c r="ZE35" s="38"/>
      <c r="ZF35" s="38"/>
      <c r="ZG35" s="38"/>
      <c r="ZH35" s="38"/>
      <c r="ZI35" s="38"/>
      <c r="ZJ35" s="38"/>
      <c r="ZK35" s="38"/>
      <c r="ZL35" s="38"/>
      <c r="ZM35" s="38"/>
      <c r="ZN35" s="38"/>
      <c r="ZO35" s="38"/>
      <c r="ZP35" s="38"/>
      <c r="ZQ35" s="38"/>
      <c r="ZR35" s="38"/>
      <c r="ZS35" s="38"/>
      <c r="ZT35" s="38"/>
      <c r="ZU35" s="38"/>
      <c r="ZV35" s="38"/>
      <c r="ZW35" s="38"/>
      <c r="ZX35" s="38"/>
      <c r="ZY35" s="38"/>
      <c r="ZZ35" s="38"/>
      <c r="AAA35" s="38"/>
      <c r="AAB35" s="38"/>
      <c r="AAC35" s="38"/>
      <c r="AAD35" s="38"/>
      <c r="AAE35" s="38"/>
      <c r="AAF35" s="38"/>
      <c r="AAG35" s="38"/>
      <c r="AAH35" s="38"/>
      <c r="AAI35" s="38"/>
      <c r="AAJ35" s="38"/>
      <c r="AAK35" s="38"/>
      <c r="AAL35" s="38"/>
      <c r="AAM35" s="38"/>
      <c r="AAN35" s="38"/>
      <c r="AAO35" s="38"/>
      <c r="AAP35" s="38"/>
      <c r="AAQ35" s="38"/>
      <c r="AAR35" s="38"/>
      <c r="AAS35" s="38"/>
      <c r="AAT35" s="38"/>
      <c r="AAU35" s="38"/>
      <c r="AAV35" s="38"/>
      <c r="AAW35" s="38"/>
      <c r="AAX35" s="38"/>
      <c r="AAY35" s="38"/>
      <c r="AAZ35" s="38"/>
      <c r="ABA35" s="38"/>
      <c r="ABB35" s="38"/>
      <c r="ABC35" s="38"/>
      <c r="ABD35" s="38"/>
      <c r="ABE35" s="38"/>
      <c r="ABF35" s="38"/>
      <c r="ABG35" s="38"/>
      <c r="ABH35" s="38"/>
      <c r="ABI35" s="38"/>
      <c r="ABJ35" s="38"/>
      <c r="ABK35" s="38"/>
      <c r="ABL35" s="38"/>
      <c r="ABM35" s="38"/>
      <c r="ABN35" s="38"/>
      <c r="ABO35" s="38"/>
      <c r="ABP35" s="38"/>
      <c r="ABQ35" s="38"/>
      <c r="ABR35" s="38"/>
      <c r="ABS35" s="38"/>
      <c r="ABT35" s="38"/>
      <c r="ABU35" s="38"/>
      <c r="ABV35" s="38"/>
      <c r="ABW35" s="38"/>
      <c r="ABX35" s="38"/>
      <c r="ABY35" s="38"/>
      <c r="ABZ35" s="38"/>
      <c r="ACA35" s="38"/>
      <c r="ACB35" s="38"/>
      <c r="ACC35" s="38"/>
      <c r="ACD35" s="38"/>
      <c r="ACE35" s="38"/>
      <c r="ACF35" s="38"/>
      <c r="ACG35" s="38"/>
      <c r="ACH35" s="38"/>
      <c r="ACI35" s="38"/>
      <c r="ACJ35" s="38"/>
      <c r="ACK35" s="38"/>
      <c r="ACL35" s="38"/>
      <c r="ACM35" s="38"/>
      <c r="ACN35" s="38"/>
      <c r="ACO35" s="38"/>
      <c r="ACP35" s="38"/>
      <c r="ACQ35" s="38"/>
      <c r="ACR35" s="38"/>
      <c r="ACS35" s="38"/>
      <c r="ACT35" s="38"/>
      <c r="ACU35" s="38"/>
      <c r="ACV35" s="38"/>
      <c r="ACW35" s="38"/>
      <c r="ACX35" s="38"/>
      <c r="ACY35" s="38"/>
      <c r="ACZ35" s="38"/>
      <c r="ADA35" s="38"/>
      <c r="ADB35" s="38"/>
      <c r="ADC35" s="38"/>
      <c r="ADD35" s="38"/>
      <c r="ADE35" s="38"/>
      <c r="ADF35" s="38"/>
      <c r="ADG35" s="38"/>
      <c r="ADH35" s="38"/>
      <c r="ADI35" s="38"/>
      <c r="ADJ35" s="38"/>
      <c r="ADK35" s="38"/>
      <c r="ADL35" s="38"/>
      <c r="ADM35" s="38"/>
      <c r="ADN35" s="38"/>
      <c r="ADO35" s="38"/>
      <c r="ADP35" s="38"/>
      <c r="ADQ35" s="38"/>
      <c r="ADR35" s="38"/>
      <c r="ADS35" s="38"/>
      <c r="ADT35" s="38"/>
      <c r="ADU35" s="38"/>
      <c r="ADV35" s="38"/>
      <c r="ADW35" s="38"/>
      <c r="ADX35" s="38"/>
      <c r="ADY35" s="38"/>
      <c r="ADZ35" s="38"/>
      <c r="AEA35" s="38"/>
      <c r="AEB35" s="38"/>
      <c r="AEC35" s="38"/>
      <c r="AED35" s="38"/>
      <c r="AEE35" s="38"/>
      <c r="AEF35" s="38"/>
      <c r="AEG35" s="38"/>
      <c r="AEH35" s="38"/>
      <c r="AEI35" s="38"/>
      <c r="AEJ35" s="38"/>
      <c r="AEK35" s="38"/>
      <c r="AEL35" s="38"/>
      <c r="AEM35" s="38"/>
      <c r="AEN35" s="38"/>
      <c r="AEO35" s="38"/>
      <c r="AEP35" s="38"/>
      <c r="AEQ35" s="38"/>
      <c r="AER35" s="38"/>
      <c r="AES35" s="38"/>
      <c r="AET35" s="38"/>
      <c r="AEU35" s="38"/>
      <c r="AEV35" s="38"/>
      <c r="AEW35" s="38"/>
      <c r="AEX35" s="38"/>
      <c r="AEY35" s="38"/>
      <c r="AEZ35" s="38"/>
      <c r="AFA35" s="38"/>
      <c r="AFB35" s="38"/>
      <c r="AFC35" s="38"/>
      <c r="AFD35" s="38"/>
      <c r="AFE35" s="38"/>
      <c r="AFF35" s="38"/>
      <c r="AFG35" s="38"/>
      <c r="AFH35" s="38"/>
      <c r="AFI35" s="38"/>
      <c r="AFJ35" s="38"/>
      <c r="AFK35" s="38"/>
      <c r="AFL35" s="38"/>
      <c r="AFM35" s="38"/>
      <c r="AFN35" s="38"/>
      <c r="AFO35" s="38"/>
      <c r="AFP35" s="38"/>
      <c r="AFQ35" s="38"/>
      <c r="AFR35" s="38"/>
      <c r="AFS35" s="38"/>
      <c r="AFT35" s="38"/>
      <c r="AFU35" s="38"/>
      <c r="AFV35" s="38"/>
      <c r="AFW35" s="38"/>
      <c r="AFX35" s="38"/>
      <c r="AFY35" s="38"/>
      <c r="AFZ35" s="38"/>
      <c r="AGA35" s="38"/>
      <c r="AGB35" s="38"/>
      <c r="AGC35" s="38"/>
      <c r="AGD35" s="38"/>
      <c r="AGE35" s="38"/>
      <c r="AGF35" s="38"/>
      <c r="AGG35" s="38"/>
      <c r="AGH35" s="38"/>
      <c r="AGI35" s="38"/>
      <c r="AGJ35" s="38"/>
      <c r="AGK35" s="38"/>
      <c r="AGL35" s="38"/>
      <c r="AGM35" s="38"/>
      <c r="AGN35" s="38"/>
      <c r="AGO35" s="38"/>
      <c r="AGP35" s="38"/>
      <c r="AGQ35" s="38"/>
      <c r="AGR35" s="38"/>
      <c r="AGS35" s="38"/>
      <c r="AGT35" s="38"/>
      <c r="AGU35" s="38"/>
      <c r="AGV35" s="38"/>
      <c r="AGW35" s="38"/>
      <c r="AGX35" s="38"/>
      <c r="AGY35" s="38"/>
      <c r="AGZ35" s="38"/>
      <c r="AHA35" s="38"/>
      <c r="AHB35" s="38"/>
      <c r="AHC35" s="38"/>
      <c r="AHD35" s="38"/>
      <c r="AHE35" s="38"/>
      <c r="AHF35" s="38"/>
      <c r="AHG35" s="38"/>
      <c r="AHH35" s="38"/>
      <c r="AHI35" s="38"/>
      <c r="AHJ35" s="38"/>
      <c r="AHK35" s="38"/>
      <c r="AHL35" s="38"/>
      <c r="AHM35" s="38"/>
      <c r="AHN35" s="38"/>
      <c r="AHO35" s="38"/>
      <c r="AHP35" s="38"/>
      <c r="AHQ35" s="38"/>
      <c r="AHR35" s="38"/>
      <c r="AHS35" s="38"/>
      <c r="AHT35" s="38"/>
      <c r="AHU35" s="38"/>
      <c r="AHV35" s="38"/>
    </row>
    <row r="36" spans="1:906" s="27" customFormat="1" x14ac:dyDescent="0.35">
      <c r="A36" s="83">
        <v>31</v>
      </c>
      <c r="B36" s="108" t="s">
        <v>63</v>
      </c>
      <c r="C36" s="109" t="s">
        <v>64</v>
      </c>
      <c r="D36" s="109" t="s">
        <v>65</v>
      </c>
      <c r="E36" s="125">
        <v>6.99</v>
      </c>
      <c r="F36" s="143">
        <v>6.7</v>
      </c>
      <c r="G36" s="125">
        <v>5.25</v>
      </c>
      <c r="H36" s="125"/>
      <c r="I36" s="37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38"/>
      <c r="GC36" s="38"/>
      <c r="GD36" s="38"/>
      <c r="GE36" s="38"/>
      <c r="GF36" s="38"/>
      <c r="GG36" s="38"/>
      <c r="GH36" s="38"/>
      <c r="GI36" s="38"/>
      <c r="GJ36" s="38"/>
      <c r="GK36" s="38"/>
      <c r="GL36" s="38"/>
      <c r="GM36" s="38"/>
      <c r="GN36" s="38"/>
      <c r="GO36" s="38"/>
      <c r="GP36" s="38"/>
      <c r="GQ36" s="38"/>
      <c r="GR36" s="38"/>
      <c r="GS36" s="38"/>
      <c r="GT36" s="38"/>
      <c r="GU36" s="38"/>
      <c r="GV36" s="38"/>
      <c r="GW36" s="38"/>
      <c r="GX36" s="38"/>
      <c r="GY36" s="38"/>
      <c r="GZ36" s="38"/>
      <c r="HA36" s="38"/>
      <c r="HB36" s="38"/>
      <c r="HC36" s="38"/>
      <c r="HD36" s="38"/>
      <c r="HE36" s="38"/>
      <c r="HF36" s="38"/>
      <c r="HG36" s="38"/>
      <c r="HH36" s="38"/>
      <c r="HI36" s="38"/>
      <c r="HJ36" s="38"/>
      <c r="HK36" s="38"/>
      <c r="HL36" s="38"/>
      <c r="HM36" s="38"/>
      <c r="HN36" s="38"/>
      <c r="HO36" s="38"/>
      <c r="HP36" s="38"/>
      <c r="HQ36" s="38"/>
      <c r="HR36" s="38"/>
      <c r="HS36" s="38"/>
      <c r="HT36" s="38"/>
      <c r="HU36" s="38"/>
      <c r="HV36" s="38"/>
      <c r="HW36" s="38"/>
      <c r="HX36" s="38"/>
      <c r="HY36" s="38"/>
      <c r="HZ36" s="38"/>
      <c r="IA36" s="38"/>
      <c r="IB36" s="38"/>
      <c r="IC36" s="38"/>
      <c r="ID36" s="38"/>
      <c r="IE36" s="38"/>
      <c r="IF36" s="38"/>
      <c r="IG36" s="38"/>
      <c r="IH36" s="38"/>
      <c r="II36" s="38"/>
      <c r="IJ36" s="38"/>
      <c r="IK36" s="38"/>
      <c r="IL36" s="38"/>
      <c r="IM36" s="38"/>
      <c r="IN36" s="38"/>
      <c r="IO36" s="38"/>
      <c r="IP36" s="38"/>
      <c r="IQ36" s="38"/>
      <c r="IR36" s="38"/>
      <c r="IS36" s="38"/>
      <c r="IT36" s="38"/>
      <c r="IU36" s="38"/>
      <c r="IV36" s="38"/>
      <c r="IW36" s="38"/>
      <c r="IX36" s="38"/>
      <c r="IY36" s="38"/>
      <c r="IZ36" s="38"/>
      <c r="JA36" s="38"/>
      <c r="JB36" s="38"/>
      <c r="JC36" s="38"/>
      <c r="JD36" s="38"/>
      <c r="JE36" s="38"/>
      <c r="JF36" s="38"/>
      <c r="JG36" s="38"/>
      <c r="JH36" s="38"/>
      <c r="JI36" s="38"/>
      <c r="JJ36" s="38"/>
      <c r="JK36" s="38"/>
      <c r="JL36" s="38"/>
      <c r="JM36" s="38"/>
      <c r="JN36" s="38"/>
      <c r="JO36" s="38"/>
      <c r="JP36" s="38"/>
      <c r="JQ36" s="38"/>
      <c r="JR36" s="38"/>
      <c r="JS36" s="38"/>
      <c r="JT36" s="38"/>
      <c r="JU36" s="38"/>
      <c r="JV36" s="38"/>
      <c r="JW36" s="38"/>
      <c r="JX36" s="38"/>
      <c r="JY36" s="38"/>
      <c r="JZ36" s="38"/>
      <c r="KA36" s="38"/>
      <c r="KB36" s="38"/>
      <c r="KC36" s="38"/>
      <c r="KD36" s="38"/>
      <c r="KE36" s="38"/>
      <c r="KF36" s="38"/>
      <c r="KG36" s="38"/>
      <c r="KH36" s="38"/>
      <c r="KI36" s="38"/>
      <c r="KJ36" s="38"/>
      <c r="KK36" s="38"/>
      <c r="KL36" s="38"/>
      <c r="KM36" s="38"/>
      <c r="KN36" s="38"/>
      <c r="KO36" s="38"/>
      <c r="KP36" s="38"/>
      <c r="KQ36" s="38"/>
      <c r="KR36" s="38"/>
      <c r="KS36" s="38"/>
      <c r="KT36" s="38"/>
      <c r="KU36" s="38"/>
      <c r="KV36" s="38"/>
      <c r="KW36" s="38"/>
      <c r="KX36" s="38"/>
      <c r="KY36" s="38"/>
      <c r="KZ36" s="38"/>
      <c r="LA36" s="38"/>
      <c r="LB36" s="38"/>
      <c r="LC36" s="38"/>
      <c r="LD36" s="38"/>
      <c r="LE36" s="38"/>
      <c r="LF36" s="38"/>
      <c r="LG36" s="38"/>
      <c r="LH36" s="38"/>
      <c r="LI36" s="38"/>
      <c r="LJ36" s="38"/>
      <c r="LK36" s="38"/>
      <c r="LL36" s="38"/>
      <c r="LM36" s="38"/>
      <c r="LN36" s="38"/>
      <c r="LO36" s="38"/>
      <c r="LP36" s="38"/>
      <c r="LQ36" s="38"/>
      <c r="LR36" s="38"/>
      <c r="LS36" s="38"/>
      <c r="LT36" s="38"/>
      <c r="LU36" s="38"/>
      <c r="LV36" s="38"/>
      <c r="LW36" s="38"/>
      <c r="LX36" s="38"/>
      <c r="LY36" s="38"/>
      <c r="LZ36" s="38"/>
      <c r="MA36" s="38"/>
      <c r="MB36" s="38"/>
      <c r="MC36" s="38"/>
      <c r="MD36" s="38"/>
      <c r="ME36" s="38"/>
      <c r="MF36" s="38"/>
      <c r="MG36" s="38"/>
      <c r="MH36" s="38"/>
      <c r="MI36" s="38"/>
      <c r="MJ36" s="38"/>
      <c r="MK36" s="38"/>
      <c r="ML36" s="38"/>
      <c r="MM36" s="38"/>
      <c r="MN36" s="38"/>
      <c r="MO36" s="38"/>
      <c r="MP36" s="38"/>
      <c r="MQ36" s="38"/>
      <c r="MR36" s="38"/>
      <c r="MS36" s="38"/>
      <c r="MT36" s="38"/>
      <c r="MU36" s="38"/>
      <c r="MV36" s="38"/>
      <c r="MW36" s="38"/>
      <c r="MX36" s="38"/>
      <c r="MY36" s="38"/>
      <c r="MZ36" s="38"/>
      <c r="NA36" s="38"/>
      <c r="NB36" s="38"/>
      <c r="NC36" s="38"/>
      <c r="ND36" s="38"/>
      <c r="NE36" s="38"/>
      <c r="NF36" s="38"/>
      <c r="NG36" s="38"/>
      <c r="NH36" s="38"/>
      <c r="NI36" s="38"/>
      <c r="NJ36" s="38"/>
      <c r="NK36" s="38"/>
      <c r="NL36" s="38"/>
      <c r="NM36" s="38"/>
      <c r="NN36" s="38"/>
      <c r="NO36" s="38"/>
      <c r="NP36" s="38"/>
      <c r="NQ36" s="38"/>
      <c r="NR36" s="38"/>
      <c r="NS36" s="38"/>
      <c r="NT36" s="38"/>
      <c r="NU36" s="38"/>
      <c r="NV36" s="38"/>
      <c r="NW36" s="38"/>
      <c r="NX36" s="38"/>
      <c r="NY36" s="38"/>
      <c r="NZ36" s="38"/>
      <c r="OA36" s="38"/>
      <c r="OB36" s="38"/>
      <c r="OC36" s="38"/>
      <c r="OD36" s="38"/>
      <c r="OE36" s="38"/>
      <c r="OF36" s="38"/>
      <c r="OG36" s="38"/>
      <c r="OH36" s="38"/>
      <c r="OI36" s="38"/>
      <c r="OJ36" s="38"/>
      <c r="OK36" s="38"/>
      <c r="OL36" s="38"/>
      <c r="OM36" s="38"/>
      <c r="ON36" s="38"/>
      <c r="OO36" s="38"/>
      <c r="OP36" s="38"/>
      <c r="OQ36" s="38"/>
      <c r="OR36" s="38"/>
      <c r="OS36" s="38"/>
      <c r="OT36" s="38"/>
      <c r="OU36" s="38"/>
      <c r="OV36" s="38"/>
      <c r="OW36" s="38"/>
      <c r="OX36" s="38"/>
      <c r="OY36" s="38"/>
      <c r="OZ36" s="38"/>
      <c r="PA36" s="38"/>
      <c r="PB36" s="38"/>
      <c r="PC36" s="38"/>
      <c r="PD36" s="38"/>
      <c r="PE36" s="38"/>
      <c r="PF36" s="38"/>
      <c r="PG36" s="38"/>
      <c r="PH36" s="38"/>
      <c r="PI36" s="38"/>
      <c r="PJ36" s="38"/>
      <c r="PK36" s="38"/>
      <c r="PL36" s="38"/>
      <c r="PM36" s="38"/>
      <c r="PN36" s="38"/>
      <c r="PO36" s="38"/>
      <c r="PP36" s="38"/>
      <c r="PQ36" s="38"/>
      <c r="PR36" s="38"/>
      <c r="PS36" s="38"/>
      <c r="PT36" s="38"/>
      <c r="PU36" s="38"/>
      <c r="PV36" s="38"/>
      <c r="PW36" s="38"/>
      <c r="PX36" s="38"/>
      <c r="PY36" s="38"/>
      <c r="PZ36" s="38"/>
      <c r="QA36" s="38"/>
      <c r="QB36" s="38"/>
      <c r="QC36" s="38"/>
      <c r="QD36" s="38"/>
      <c r="QE36" s="38"/>
      <c r="QF36" s="38"/>
      <c r="QG36" s="38"/>
      <c r="QH36" s="38"/>
      <c r="QI36" s="38"/>
      <c r="QJ36" s="38"/>
      <c r="QK36" s="38"/>
      <c r="QL36" s="38"/>
      <c r="QM36" s="38"/>
      <c r="QN36" s="38"/>
      <c r="QO36" s="38"/>
      <c r="QP36" s="38"/>
      <c r="QQ36" s="38"/>
      <c r="QR36" s="38"/>
      <c r="QS36" s="38"/>
      <c r="QT36" s="38"/>
      <c r="QU36" s="38"/>
      <c r="QV36" s="38"/>
      <c r="QW36" s="38"/>
      <c r="QX36" s="38"/>
      <c r="QY36" s="38"/>
      <c r="QZ36" s="38"/>
      <c r="RA36" s="38"/>
      <c r="RB36" s="38"/>
      <c r="RC36" s="38"/>
      <c r="RD36" s="38"/>
      <c r="RE36" s="38"/>
      <c r="RF36" s="38"/>
      <c r="RG36" s="38"/>
      <c r="RH36" s="38"/>
      <c r="RI36" s="38"/>
      <c r="RJ36" s="38"/>
      <c r="RK36" s="38"/>
      <c r="RL36" s="38"/>
      <c r="RM36" s="38"/>
      <c r="RN36" s="38"/>
      <c r="RO36" s="38"/>
      <c r="RP36" s="38"/>
      <c r="RQ36" s="38"/>
      <c r="RR36" s="38"/>
      <c r="RS36" s="38"/>
      <c r="RT36" s="38"/>
      <c r="RU36" s="38"/>
      <c r="RV36" s="38"/>
      <c r="RW36" s="38"/>
      <c r="RX36" s="38"/>
      <c r="RY36" s="38"/>
      <c r="RZ36" s="38"/>
      <c r="SA36" s="38"/>
      <c r="SB36" s="38"/>
      <c r="SC36" s="38"/>
      <c r="SD36" s="38"/>
      <c r="SE36" s="38"/>
      <c r="SF36" s="38"/>
      <c r="SG36" s="38"/>
      <c r="SH36" s="38"/>
      <c r="SI36" s="38"/>
      <c r="SJ36" s="38"/>
      <c r="SK36" s="38"/>
      <c r="SL36" s="38"/>
      <c r="SM36" s="38"/>
      <c r="SN36" s="38"/>
      <c r="SO36" s="38"/>
      <c r="SP36" s="38"/>
      <c r="SQ36" s="38"/>
      <c r="SR36" s="38"/>
      <c r="SS36" s="38"/>
      <c r="ST36" s="38"/>
      <c r="SU36" s="38"/>
      <c r="SV36" s="38"/>
      <c r="SW36" s="38"/>
      <c r="SX36" s="38"/>
      <c r="SY36" s="38"/>
      <c r="SZ36" s="38"/>
      <c r="TA36" s="38"/>
      <c r="TB36" s="38"/>
      <c r="TC36" s="38"/>
      <c r="TD36" s="38"/>
      <c r="TE36" s="38"/>
      <c r="TF36" s="38"/>
      <c r="TG36" s="38"/>
      <c r="TH36" s="38"/>
      <c r="TI36" s="38"/>
      <c r="TJ36" s="38"/>
      <c r="TK36" s="38"/>
      <c r="TL36" s="38"/>
      <c r="TM36" s="38"/>
      <c r="TN36" s="38"/>
      <c r="TO36" s="38"/>
      <c r="TP36" s="38"/>
      <c r="TQ36" s="38"/>
      <c r="TR36" s="38"/>
      <c r="TS36" s="38"/>
      <c r="TT36" s="38"/>
      <c r="TU36" s="38"/>
      <c r="TV36" s="38"/>
      <c r="TW36" s="38"/>
      <c r="TX36" s="38"/>
      <c r="TY36" s="38"/>
      <c r="TZ36" s="38"/>
      <c r="UA36" s="38"/>
      <c r="UB36" s="38"/>
      <c r="UC36" s="38"/>
      <c r="UD36" s="38"/>
      <c r="UE36" s="38"/>
      <c r="UF36" s="38"/>
      <c r="UG36" s="38"/>
      <c r="UH36" s="38"/>
      <c r="UI36" s="38"/>
      <c r="UJ36" s="38"/>
      <c r="UK36" s="38"/>
      <c r="UL36" s="38"/>
      <c r="UM36" s="38"/>
      <c r="UN36" s="38"/>
      <c r="UO36" s="38"/>
      <c r="UP36" s="38"/>
      <c r="UQ36" s="38"/>
      <c r="UR36" s="38"/>
      <c r="US36" s="38"/>
      <c r="UT36" s="38"/>
      <c r="UU36" s="38"/>
      <c r="UV36" s="38"/>
      <c r="UW36" s="38"/>
      <c r="UX36" s="38"/>
      <c r="UY36" s="38"/>
      <c r="UZ36" s="38"/>
      <c r="VA36" s="38"/>
      <c r="VB36" s="38"/>
      <c r="VC36" s="38"/>
      <c r="VD36" s="38"/>
      <c r="VE36" s="38"/>
      <c r="VF36" s="38"/>
      <c r="VG36" s="38"/>
      <c r="VH36" s="38"/>
      <c r="VI36" s="38"/>
      <c r="VJ36" s="38"/>
      <c r="VK36" s="38"/>
      <c r="VL36" s="38"/>
      <c r="VM36" s="38"/>
      <c r="VN36" s="38"/>
      <c r="VO36" s="38"/>
      <c r="VP36" s="38"/>
      <c r="VQ36" s="38"/>
      <c r="VR36" s="38"/>
      <c r="VS36" s="38"/>
      <c r="VT36" s="38"/>
      <c r="VU36" s="38"/>
      <c r="VV36" s="38"/>
      <c r="VW36" s="38"/>
      <c r="VX36" s="38"/>
      <c r="VY36" s="38"/>
      <c r="VZ36" s="38"/>
      <c r="WA36" s="38"/>
      <c r="WB36" s="38"/>
      <c r="WC36" s="38"/>
      <c r="WD36" s="38"/>
      <c r="WE36" s="38"/>
      <c r="WF36" s="38"/>
      <c r="WG36" s="38"/>
      <c r="WH36" s="38"/>
      <c r="WI36" s="38"/>
      <c r="WJ36" s="38"/>
      <c r="WK36" s="38"/>
      <c r="WL36" s="38"/>
      <c r="WM36" s="38"/>
      <c r="WN36" s="38"/>
      <c r="WO36" s="38"/>
      <c r="WP36" s="38"/>
      <c r="WQ36" s="38"/>
      <c r="WR36" s="38"/>
      <c r="WS36" s="38"/>
      <c r="WT36" s="38"/>
      <c r="WU36" s="38"/>
      <c r="WV36" s="38"/>
      <c r="WW36" s="38"/>
      <c r="WX36" s="38"/>
      <c r="WY36" s="38"/>
      <c r="WZ36" s="38"/>
      <c r="XA36" s="38"/>
      <c r="XB36" s="38"/>
      <c r="XC36" s="38"/>
      <c r="XD36" s="38"/>
      <c r="XE36" s="38"/>
      <c r="XF36" s="38"/>
      <c r="XG36" s="38"/>
      <c r="XH36" s="38"/>
      <c r="XI36" s="38"/>
      <c r="XJ36" s="38"/>
      <c r="XK36" s="38"/>
      <c r="XL36" s="38"/>
      <c r="XM36" s="38"/>
      <c r="XN36" s="38"/>
      <c r="XO36" s="38"/>
      <c r="XP36" s="38"/>
      <c r="XQ36" s="38"/>
      <c r="XR36" s="38"/>
      <c r="XS36" s="38"/>
      <c r="XT36" s="38"/>
      <c r="XU36" s="38"/>
      <c r="XV36" s="38"/>
      <c r="XW36" s="38"/>
      <c r="XX36" s="38"/>
      <c r="XY36" s="38"/>
      <c r="XZ36" s="38"/>
      <c r="YA36" s="38"/>
      <c r="YB36" s="38"/>
      <c r="YC36" s="38"/>
      <c r="YD36" s="38"/>
      <c r="YE36" s="38"/>
      <c r="YF36" s="38"/>
      <c r="YG36" s="38"/>
      <c r="YH36" s="38"/>
      <c r="YI36" s="38"/>
      <c r="YJ36" s="38"/>
      <c r="YK36" s="38"/>
      <c r="YL36" s="38"/>
      <c r="YM36" s="38"/>
      <c r="YN36" s="38"/>
      <c r="YO36" s="38"/>
      <c r="YP36" s="38"/>
      <c r="YQ36" s="38"/>
      <c r="YR36" s="38"/>
      <c r="YS36" s="38"/>
      <c r="YT36" s="38"/>
      <c r="YU36" s="38"/>
      <c r="YV36" s="38"/>
      <c r="YW36" s="38"/>
      <c r="YX36" s="38"/>
      <c r="YY36" s="38"/>
      <c r="YZ36" s="38"/>
      <c r="ZA36" s="38"/>
      <c r="ZB36" s="38"/>
      <c r="ZC36" s="38"/>
      <c r="ZD36" s="38"/>
      <c r="ZE36" s="38"/>
      <c r="ZF36" s="38"/>
      <c r="ZG36" s="38"/>
      <c r="ZH36" s="38"/>
      <c r="ZI36" s="38"/>
      <c r="ZJ36" s="38"/>
      <c r="ZK36" s="38"/>
      <c r="ZL36" s="38"/>
      <c r="ZM36" s="38"/>
      <c r="ZN36" s="38"/>
      <c r="ZO36" s="38"/>
      <c r="ZP36" s="38"/>
      <c r="ZQ36" s="38"/>
      <c r="ZR36" s="38"/>
      <c r="ZS36" s="38"/>
      <c r="ZT36" s="38"/>
      <c r="ZU36" s="38"/>
      <c r="ZV36" s="38"/>
      <c r="ZW36" s="38"/>
      <c r="ZX36" s="38"/>
      <c r="ZY36" s="38"/>
      <c r="ZZ36" s="38"/>
      <c r="AAA36" s="38"/>
      <c r="AAB36" s="38"/>
      <c r="AAC36" s="38"/>
      <c r="AAD36" s="38"/>
      <c r="AAE36" s="38"/>
      <c r="AAF36" s="38"/>
      <c r="AAG36" s="38"/>
      <c r="AAH36" s="38"/>
      <c r="AAI36" s="38"/>
      <c r="AAJ36" s="38"/>
      <c r="AAK36" s="38"/>
      <c r="AAL36" s="38"/>
      <c r="AAM36" s="38"/>
      <c r="AAN36" s="38"/>
      <c r="AAO36" s="38"/>
      <c r="AAP36" s="38"/>
      <c r="AAQ36" s="38"/>
      <c r="AAR36" s="38"/>
      <c r="AAS36" s="38"/>
      <c r="AAT36" s="38"/>
      <c r="AAU36" s="38"/>
      <c r="AAV36" s="38"/>
      <c r="AAW36" s="38"/>
      <c r="AAX36" s="38"/>
      <c r="AAY36" s="38"/>
      <c r="AAZ36" s="38"/>
      <c r="ABA36" s="38"/>
      <c r="ABB36" s="38"/>
      <c r="ABC36" s="38"/>
      <c r="ABD36" s="38"/>
      <c r="ABE36" s="38"/>
      <c r="ABF36" s="38"/>
      <c r="ABG36" s="38"/>
      <c r="ABH36" s="38"/>
      <c r="ABI36" s="38"/>
      <c r="ABJ36" s="38"/>
      <c r="ABK36" s="38"/>
      <c r="ABL36" s="38"/>
      <c r="ABM36" s="38"/>
      <c r="ABN36" s="38"/>
      <c r="ABO36" s="38"/>
      <c r="ABP36" s="38"/>
      <c r="ABQ36" s="38"/>
      <c r="ABR36" s="38"/>
      <c r="ABS36" s="38"/>
      <c r="ABT36" s="38"/>
      <c r="ABU36" s="38"/>
      <c r="ABV36" s="38"/>
      <c r="ABW36" s="38"/>
      <c r="ABX36" s="38"/>
      <c r="ABY36" s="38"/>
      <c r="ABZ36" s="38"/>
      <c r="ACA36" s="38"/>
      <c r="ACB36" s="38"/>
      <c r="ACC36" s="38"/>
      <c r="ACD36" s="38"/>
      <c r="ACE36" s="38"/>
      <c r="ACF36" s="38"/>
      <c r="ACG36" s="38"/>
      <c r="ACH36" s="38"/>
      <c r="ACI36" s="38"/>
      <c r="ACJ36" s="38"/>
      <c r="ACK36" s="38"/>
      <c r="ACL36" s="38"/>
      <c r="ACM36" s="38"/>
      <c r="ACN36" s="38"/>
      <c r="ACO36" s="38"/>
      <c r="ACP36" s="38"/>
      <c r="ACQ36" s="38"/>
      <c r="ACR36" s="38"/>
      <c r="ACS36" s="38"/>
      <c r="ACT36" s="38"/>
      <c r="ACU36" s="38"/>
      <c r="ACV36" s="38"/>
      <c r="ACW36" s="38"/>
      <c r="ACX36" s="38"/>
      <c r="ACY36" s="38"/>
      <c r="ACZ36" s="38"/>
      <c r="ADA36" s="38"/>
      <c r="ADB36" s="38"/>
      <c r="ADC36" s="38"/>
      <c r="ADD36" s="38"/>
      <c r="ADE36" s="38"/>
      <c r="ADF36" s="38"/>
      <c r="ADG36" s="38"/>
      <c r="ADH36" s="38"/>
      <c r="ADI36" s="38"/>
      <c r="ADJ36" s="38"/>
      <c r="ADK36" s="38"/>
      <c r="ADL36" s="38"/>
      <c r="ADM36" s="38"/>
      <c r="ADN36" s="38"/>
      <c r="ADO36" s="38"/>
      <c r="ADP36" s="38"/>
      <c r="ADQ36" s="38"/>
      <c r="ADR36" s="38"/>
      <c r="ADS36" s="38"/>
      <c r="ADT36" s="38"/>
      <c r="ADU36" s="38"/>
      <c r="ADV36" s="38"/>
      <c r="ADW36" s="38"/>
      <c r="ADX36" s="38"/>
      <c r="ADY36" s="38"/>
      <c r="ADZ36" s="38"/>
      <c r="AEA36" s="38"/>
      <c r="AEB36" s="38"/>
      <c r="AEC36" s="38"/>
      <c r="AED36" s="38"/>
      <c r="AEE36" s="38"/>
      <c r="AEF36" s="38"/>
      <c r="AEG36" s="38"/>
      <c r="AEH36" s="38"/>
      <c r="AEI36" s="38"/>
      <c r="AEJ36" s="38"/>
      <c r="AEK36" s="38"/>
      <c r="AEL36" s="38"/>
      <c r="AEM36" s="38"/>
      <c r="AEN36" s="38"/>
      <c r="AEO36" s="38"/>
      <c r="AEP36" s="38"/>
      <c r="AEQ36" s="38"/>
      <c r="AER36" s="38"/>
      <c r="AES36" s="38"/>
      <c r="AET36" s="38"/>
      <c r="AEU36" s="38"/>
      <c r="AEV36" s="38"/>
      <c r="AEW36" s="38"/>
      <c r="AEX36" s="38"/>
      <c r="AEY36" s="38"/>
      <c r="AEZ36" s="38"/>
      <c r="AFA36" s="38"/>
      <c r="AFB36" s="38"/>
      <c r="AFC36" s="38"/>
      <c r="AFD36" s="38"/>
      <c r="AFE36" s="38"/>
      <c r="AFF36" s="38"/>
      <c r="AFG36" s="38"/>
      <c r="AFH36" s="38"/>
      <c r="AFI36" s="38"/>
      <c r="AFJ36" s="38"/>
      <c r="AFK36" s="38"/>
      <c r="AFL36" s="38"/>
      <c r="AFM36" s="38"/>
      <c r="AFN36" s="38"/>
      <c r="AFO36" s="38"/>
      <c r="AFP36" s="38"/>
      <c r="AFQ36" s="38"/>
      <c r="AFR36" s="38"/>
      <c r="AFS36" s="38"/>
      <c r="AFT36" s="38"/>
      <c r="AFU36" s="38"/>
      <c r="AFV36" s="38"/>
      <c r="AFW36" s="38"/>
      <c r="AFX36" s="38"/>
      <c r="AFY36" s="38"/>
      <c r="AFZ36" s="38"/>
      <c r="AGA36" s="38"/>
      <c r="AGB36" s="38"/>
      <c r="AGC36" s="38"/>
      <c r="AGD36" s="38"/>
      <c r="AGE36" s="38"/>
      <c r="AGF36" s="38"/>
      <c r="AGG36" s="38"/>
      <c r="AGH36" s="38"/>
      <c r="AGI36" s="38"/>
      <c r="AGJ36" s="38"/>
      <c r="AGK36" s="38"/>
      <c r="AGL36" s="38"/>
      <c r="AGM36" s="38"/>
      <c r="AGN36" s="38"/>
      <c r="AGO36" s="38"/>
      <c r="AGP36" s="38"/>
      <c r="AGQ36" s="38"/>
      <c r="AGR36" s="38"/>
      <c r="AGS36" s="38"/>
      <c r="AGT36" s="38"/>
      <c r="AGU36" s="38"/>
      <c r="AGV36" s="38"/>
      <c r="AGW36" s="38"/>
      <c r="AGX36" s="38"/>
      <c r="AGY36" s="38"/>
      <c r="AGZ36" s="38"/>
      <c r="AHA36" s="38"/>
      <c r="AHB36" s="38"/>
      <c r="AHC36" s="38"/>
      <c r="AHD36" s="38"/>
      <c r="AHE36" s="38"/>
      <c r="AHF36" s="38"/>
      <c r="AHG36" s="38"/>
      <c r="AHH36" s="38"/>
      <c r="AHI36" s="38"/>
      <c r="AHJ36" s="38"/>
      <c r="AHK36" s="38"/>
      <c r="AHL36" s="38"/>
      <c r="AHM36" s="38"/>
      <c r="AHN36" s="38"/>
      <c r="AHO36" s="38"/>
      <c r="AHP36" s="38"/>
      <c r="AHQ36" s="38"/>
      <c r="AHR36" s="38"/>
      <c r="AHS36" s="38"/>
      <c r="AHT36" s="38"/>
      <c r="AHU36" s="38"/>
      <c r="AHV36" s="38"/>
    </row>
    <row r="37" spans="1:906" s="27" customFormat="1" x14ac:dyDescent="0.35">
      <c r="A37" s="83">
        <v>32</v>
      </c>
      <c r="B37" s="108" t="s">
        <v>66</v>
      </c>
      <c r="C37" s="109" t="s">
        <v>50</v>
      </c>
      <c r="D37" s="109" t="s">
        <v>67</v>
      </c>
      <c r="E37" s="125"/>
      <c r="F37" s="125">
        <v>10.95</v>
      </c>
      <c r="G37" s="125">
        <v>11.95</v>
      </c>
      <c r="H37" s="125"/>
      <c r="I37" s="37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38"/>
      <c r="FT37" s="38"/>
      <c r="FU37" s="38"/>
      <c r="FV37" s="38"/>
      <c r="FW37" s="38"/>
      <c r="FX37" s="38"/>
      <c r="FY37" s="38"/>
      <c r="FZ37" s="38"/>
      <c r="GA37" s="38"/>
      <c r="GB37" s="38"/>
      <c r="GC37" s="38"/>
      <c r="GD37" s="38"/>
      <c r="GE37" s="38"/>
      <c r="GF37" s="38"/>
      <c r="GG37" s="38"/>
      <c r="GH37" s="38"/>
      <c r="GI37" s="38"/>
      <c r="GJ37" s="38"/>
      <c r="GK37" s="38"/>
      <c r="GL37" s="38"/>
      <c r="GM37" s="38"/>
      <c r="GN37" s="38"/>
      <c r="GO37" s="38"/>
      <c r="GP37" s="38"/>
      <c r="GQ37" s="38"/>
      <c r="GR37" s="38"/>
      <c r="GS37" s="38"/>
      <c r="GT37" s="38"/>
      <c r="GU37" s="38"/>
      <c r="GV37" s="38"/>
      <c r="GW37" s="38"/>
      <c r="GX37" s="38"/>
      <c r="GY37" s="38"/>
      <c r="GZ37" s="38"/>
      <c r="HA37" s="38"/>
      <c r="HB37" s="38"/>
      <c r="HC37" s="38"/>
      <c r="HD37" s="38"/>
      <c r="HE37" s="38"/>
      <c r="HF37" s="38"/>
      <c r="HG37" s="38"/>
      <c r="HH37" s="38"/>
      <c r="HI37" s="38"/>
      <c r="HJ37" s="38"/>
      <c r="HK37" s="38"/>
      <c r="HL37" s="38"/>
      <c r="HM37" s="38"/>
      <c r="HN37" s="38"/>
      <c r="HO37" s="38"/>
      <c r="HP37" s="38"/>
      <c r="HQ37" s="38"/>
      <c r="HR37" s="38"/>
      <c r="HS37" s="38"/>
      <c r="HT37" s="38"/>
      <c r="HU37" s="38"/>
      <c r="HV37" s="38"/>
      <c r="HW37" s="38"/>
      <c r="HX37" s="38"/>
      <c r="HY37" s="38"/>
      <c r="HZ37" s="38"/>
      <c r="IA37" s="38"/>
      <c r="IB37" s="38"/>
      <c r="IC37" s="38"/>
      <c r="ID37" s="38"/>
      <c r="IE37" s="38"/>
      <c r="IF37" s="38"/>
      <c r="IG37" s="38"/>
      <c r="IH37" s="38"/>
      <c r="II37" s="38"/>
      <c r="IJ37" s="38"/>
      <c r="IK37" s="38"/>
      <c r="IL37" s="38"/>
      <c r="IM37" s="38"/>
      <c r="IN37" s="38"/>
      <c r="IO37" s="38"/>
      <c r="IP37" s="38"/>
      <c r="IQ37" s="38"/>
      <c r="IR37" s="38"/>
      <c r="IS37" s="38"/>
      <c r="IT37" s="38"/>
      <c r="IU37" s="38"/>
      <c r="IV37" s="38"/>
      <c r="IW37" s="38"/>
      <c r="IX37" s="38"/>
      <c r="IY37" s="38"/>
      <c r="IZ37" s="38"/>
      <c r="JA37" s="38"/>
      <c r="JB37" s="38"/>
      <c r="JC37" s="38"/>
      <c r="JD37" s="38"/>
      <c r="JE37" s="38"/>
      <c r="JF37" s="38"/>
      <c r="JG37" s="38"/>
      <c r="JH37" s="38"/>
      <c r="JI37" s="38"/>
      <c r="JJ37" s="38"/>
      <c r="JK37" s="38"/>
      <c r="JL37" s="38"/>
      <c r="JM37" s="38"/>
      <c r="JN37" s="38"/>
      <c r="JO37" s="38"/>
      <c r="JP37" s="38"/>
      <c r="JQ37" s="38"/>
      <c r="JR37" s="38"/>
      <c r="JS37" s="38"/>
      <c r="JT37" s="38"/>
      <c r="JU37" s="38"/>
      <c r="JV37" s="38"/>
      <c r="JW37" s="38"/>
      <c r="JX37" s="38"/>
      <c r="JY37" s="38"/>
      <c r="JZ37" s="38"/>
      <c r="KA37" s="38"/>
      <c r="KB37" s="38"/>
      <c r="KC37" s="38"/>
      <c r="KD37" s="38"/>
      <c r="KE37" s="38"/>
      <c r="KF37" s="38"/>
      <c r="KG37" s="38"/>
      <c r="KH37" s="38"/>
      <c r="KI37" s="38"/>
      <c r="KJ37" s="38"/>
      <c r="KK37" s="38"/>
      <c r="KL37" s="38"/>
      <c r="KM37" s="38"/>
      <c r="KN37" s="38"/>
      <c r="KO37" s="38"/>
      <c r="KP37" s="38"/>
      <c r="KQ37" s="38"/>
      <c r="KR37" s="38"/>
      <c r="KS37" s="38"/>
      <c r="KT37" s="38"/>
      <c r="KU37" s="38"/>
      <c r="KV37" s="38"/>
      <c r="KW37" s="38"/>
      <c r="KX37" s="38"/>
      <c r="KY37" s="38"/>
      <c r="KZ37" s="38"/>
      <c r="LA37" s="38"/>
      <c r="LB37" s="38"/>
      <c r="LC37" s="38"/>
      <c r="LD37" s="38"/>
      <c r="LE37" s="38"/>
      <c r="LF37" s="38"/>
      <c r="LG37" s="38"/>
      <c r="LH37" s="38"/>
      <c r="LI37" s="38"/>
      <c r="LJ37" s="38"/>
      <c r="LK37" s="38"/>
      <c r="LL37" s="38"/>
      <c r="LM37" s="38"/>
      <c r="LN37" s="38"/>
      <c r="LO37" s="38"/>
      <c r="LP37" s="38"/>
      <c r="LQ37" s="38"/>
      <c r="LR37" s="38"/>
      <c r="LS37" s="38"/>
      <c r="LT37" s="38"/>
      <c r="LU37" s="38"/>
      <c r="LV37" s="38"/>
      <c r="LW37" s="38"/>
      <c r="LX37" s="38"/>
      <c r="LY37" s="38"/>
      <c r="LZ37" s="38"/>
      <c r="MA37" s="38"/>
      <c r="MB37" s="38"/>
      <c r="MC37" s="38"/>
      <c r="MD37" s="38"/>
      <c r="ME37" s="38"/>
      <c r="MF37" s="38"/>
      <c r="MG37" s="38"/>
      <c r="MH37" s="38"/>
      <c r="MI37" s="38"/>
      <c r="MJ37" s="38"/>
      <c r="MK37" s="38"/>
      <c r="ML37" s="38"/>
      <c r="MM37" s="38"/>
      <c r="MN37" s="38"/>
      <c r="MO37" s="38"/>
      <c r="MP37" s="38"/>
      <c r="MQ37" s="38"/>
      <c r="MR37" s="38"/>
      <c r="MS37" s="38"/>
      <c r="MT37" s="38"/>
      <c r="MU37" s="38"/>
      <c r="MV37" s="38"/>
      <c r="MW37" s="38"/>
      <c r="MX37" s="38"/>
      <c r="MY37" s="38"/>
      <c r="MZ37" s="38"/>
      <c r="NA37" s="38"/>
      <c r="NB37" s="38"/>
      <c r="NC37" s="38"/>
      <c r="ND37" s="38"/>
      <c r="NE37" s="38"/>
      <c r="NF37" s="38"/>
      <c r="NG37" s="38"/>
      <c r="NH37" s="38"/>
      <c r="NI37" s="38"/>
      <c r="NJ37" s="38"/>
      <c r="NK37" s="38"/>
      <c r="NL37" s="38"/>
      <c r="NM37" s="38"/>
      <c r="NN37" s="38"/>
      <c r="NO37" s="38"/>
      <c r="NP37" s="38"/>
      <c r="NQ37" s="38"/>
      <c r="NR37" s="38"/>
      <c r="NS37" s="38"/>
      <c r="NT37" s="38"/>
      <c r="NU37" s="38"/>
      <c r="NV37" s="38"/>
      <c r="NW37" s="38"/>
      <c r="NX37" s="38"/>
      <c r="NY37" s="38"/>
      <c r="NZ37" s="38"/>
      <c r="OA37" s="38"/>
      <c r="OB37" s="38"/>
      <c r="OC37" s="38"/>
      <c r="OD37" s="38"/>
      <c r="OE37" s="38"/>
      <c r="OF37" s="38"/>
      <c r="OG37" s="38"/>
      <c r="OH37" s="38"/>
      <c r="OI37" s="38"/>
      <c r="OJ37" s="38"/>
      <c r="OK37" s="38"/>
      <c r="OL37" s="38"/>
      <c r="OM37" s="38"/>
      <c r="ON37" s="38"/>
      <c r="OO37" s="38"/>
      <c r="OP37" s="38"/>
      <c r="OQ37" s="38"/>
      <c r="OR37" s="38"/>
      <c r="OS37" s="38"/>
      <c r="OT37" s="38"/>
      <c r="OU37" s="38"/>
      <c r="OV37" s="38"/>
      <c r="OW37" s="38"/>
      <c r="OX37" s="38"/>
      <c r="OY37" s="38"/>
      <c r="OZ37" s="38"/>
      <c r="PA37" s="38"/>
      <c r="PB37" s="38"/>
      <c r="PC37" s="38"/>
      <c r="PD37" s="38"/>
      <c r="PE37" s="38"/>
      <c r="PF37" s="38"/>
      <c r="PG37" s="38"/>
      <c r="PH37" s="38"/>
      <c r="PI37" s="38"/>
      <c r="PJ37" s="38"/>
      <c r="PK37" s="38"/>
      <c r="PL37" s="38"/>
      <c r="PM37" s="38"/>
      <c r="PN37" s="38"/>
      <c r="PO37" s="38"/>
      <c r="PP37" s="38"/>
      <c r="PQ37" s="38"/>
      <c r="PR37" s="38"/>
      <c r="PS37" s="38"/>
      <c r="PT37" s="38"/>
      <c r="PU37" s="38"/>
      <c r="PV37" s="38"/>
      <c r="PW37" s="38"/>
      <c r="PX37" s="38"/>
      <c r="PY37" s="38"/>
      <c r="PZ37" s="38"/>
      <c r="QA37" s="38"/>
      <c r="QB37" s="38"/>
      <c r="QC37" s="38"/>
      <c r="QD37" s="38"/>
      <c r="QE37" s="38"/>
      <c r="QF37" s="38"/>
      <c r="QG37" s="38"/>
      <c r="QH37" s="38"/>
      <c r="QI37" s="38"/>
      <c r="QJ37" s="38"/>
      <c r="QK37" s="38"/>
      <c r="QL37" s="38"/>
      <c r="QM37" s="38"/>
      <c r="QN37" s="38"/>
      <c r="QO37" s="38"/>
      <c r="QP37" s="38"/>
      <c r="QQ37" s="38"/>
      <c r="QR37" s="38"/>
      <c r="QS37" s="38"/>
      <c r="QT37" s="38"/>
      <c r="QU37" s="38"/>
      <c r="QV37" s="38"/>
      <c r="QW37" s="38"/>
      <c r="QX37" s="38"/>
      <c r="QY37" s="38"/>
      <c r="QZ37" s="38"/>
      <c r="RA37" s="38"/>
      <c r="RB37" s="38"/>
      <c r="RC37" s="38"/>
      <c r="RD37" s="38"/>
      <c r="RE37" s="38"/>
      <c r="RF37" s="38"/>
      <c r="RG37" s="38"/>
      <c r="RH37" s="38"/>
      <c r="RI37" s="38"/>
      <c r="RJ37" s="38"/>
      <c r="RK37" s="38"/>
      <c r="RL37" s="38"/>
      <c r="RM37" s="38"/>
      <c r="RN37" s="38"/>
      <c r="RO37" s="38"/>
      <c r="RP37" s="38"/>
      <c r="RQ37" s="38"/>
      <c r="RR37" s="38"/>
      <c r="RS37" s="38"/>
      <c r="RT37" s="38"/>
      <c r="RU37" s="38"/>
      <c r="RV37" s="38"/>
      <c r="RW37" s="38"/>
      <c r="RX37" s="38"/>
      <c r="RY37" s="38"/>
      <c r="RZ37" s="38"/>
      <c r="SA37" s="38"/>
      <c r="SB37" s="38"/>
      <c r="SC37" s="38"/>
      <c r="SD37" s="38"/>
      <c r="SE37" s="38"/>
      <c r="SF37" s="38"/>
      <c r="SG37" s="38"/>
      <c r="SH37" s="38"/>
      <c r="SI37" s="38"/>
      <c r="SJ37" s="38"/>
      <c r="SK37" s="38"/>
      <c r="SL37" s="38"/>
      <c r="SM37" s="38"/>
      <c r="SN37" s="38"/>
      <c r="SO37" s="38"/>
      <c r="SP37" s="38"/>
      <c r="SQ37" s="38"/>
      <c r="SR37" s="38"/>
      <c r="SS37" s="38"/>
      <c r="ST37" s="38"/>
      <c r="SU37" s="38"/>
      <c r="SV37" s="38"/>
      <c r="SW37" s="38"/>
      <c r="SX37" s="38"/>
      <c r="SY37" s="38"/>
      <c r="SZ37" s="38"/>
      <c r="TA37" s="38"/>
      <c r="TB37" s="38"/>
      <c r="TC37" s="38"/>
      <c r="TD37" s="38"/>
      <c r="TE37" s="38"/>
      <c r="TF37" s="38"/>
      <c r="TG37" s="38"/>
      <c r="TH37" s="38"/>
      <c r="TI37" s="38"/>
      <c r="TJ37" s="38"/>
      <c r="TK37" s="38"/>
      <c r="TL37" s="38"/>
      <c r="TM37" s="38"/>
      <c r="TN37" s="38"/>
      <c r="TO37" s="38"/>
      <c r="TP37" s="38"/>
      <c r="TQ37" s="38"/>
      <c r="TR37" s="38"/>
      <c r="TS37" s="38"/>
      <c r="TT37" s="38"/>
      <c r="TU37" s="38"/>
      <c r="TV37" s="38"/>
      <c r="TW37" s="38"/>
      <c r="TX37" s="38"/>
      <c r="TY37" s="38"/>
      <c r="TZ37" s="38"/>
      <c r="UA37" s="38"/>
      <c r="UB37" s="38"/>
      <c r="UC37" s="38"/>
      <c r="UD37" s="38"/>
      <c r="UE37" s="38"/>
      <c r="UF37" s="38"/>
      <c r="UG37" s="38"/>
      <c r="UH37" s="38"/>
      <c r="UI37" s="38"/>
      <c r="UJ37" s="38"/>
      <c r="UK37" s="38"/>
      <c r="UL37" s="38"/>
      <c r="UM37" s="38"/>
      <c r="UN37" s="38"/>
      <c r="UO37" s="38"/>
      <c r="UP37" s="38"/>
      <c r="UQ37" s="38"/>
      <c r="UR37" s="38"/>
      <c r="US37" s="38"/>
      <c r="UT37" s="38"/>
      <c r="UU37" s="38"/>
      <c r="UV37" s="38"/>
      <c r="UW37" s="38"/>
      <c r="UX37" s="38"/>
      <c r="UY37" s="38"/>
      <c r="UZ37" s="38"/>
      <c r="VA37" s="38"/>
      <c r="VB37" s="38"/>
      <c r="VC37" s="38"/>
      <c r="VD37" s="38"/>
      <c r="VE37" s="38"/>
      <c r="VF37" s="38"/>
      <c r="VG37" s="38"/>
      <c r="VH37" s="38"/>
      <c r="VI37" s="38"/>
      <c r="VJ37" s="38"/>
      <c r="VK37" s="38"/>
      <c r="VL37" s="38"/>
      <c r="VM37" s="38"/>
      <c r="VN37" s="38"/>
      <c r="VO37" s="38"/>
      <c r="VP37" s="38"/>
      <c r="VQ37" s="38"/>
      <c r="VR37" s="38"/>
      <c r="VS37" s="38"/>
      <c r="VT37" s="38"/>
      <c r="VU37" s="38"/>
      <c r="VV37" s="38"/>
      <c r="VW37" s="38"/>
      <c r="VX37" s="38"/>
      <c r="VY37" s="38"/>
      <c r="VZ37" s="38"/>
      <c r="WA37" s="38"/>
      <c r="WB37" s="38"/>
      <c r="WC37" s="38"/>
      <c r="WD37" s="38"/>
      <c r="WE37" s="38"/>
      <c r="WF37" s="38"/>
      <c r="WG37" s="38"/>
      <c r="WH37" s="38"/>
      <c r="WI37" s="38"/>
      <c r="WJ37" s="38"/>
      <c r="WK37" s="38"/>
      <c r="WL37" s="38"/>
      <c r="WM37" s="38"/>
      <c r="WN37" s="38"/>
      <c r="WO37" s="38"/>
      <c r="WP37" s="38"/>
      <c r="WQ37" s="38"/>
      <c r="WR37" s="38"/>
      <c r="WS37" s="38"/>
      <c r="WT37" s="38"/>
      <c r="WU37" s="38"/>
      <c r="WV37" s="38"/>
      <c r="WW37" s="38"/>
      <c r="WX37" s="38"/>
      <c r="WY37" s="38"/>
      <c r="WZ37" s="38"/>
      <c r="XA37" s="38"/>
      <c r="XB37" s="38"/>
      <c r="XC37" s="38"/>
      <c r="XD37" s="38"/>
      <c r="XE37" s="38"/>
      <c r="XF37" s="38"/>
      <c r="XG37" s="38"/>
      <c r="XH37" s="38"/>
      <c r="XI37" s="38"/>
      <c r="XJ37" s="38"/>
      <c r="XK37" s="38"/>
      <c r="XL37" s="38"/>
      <c r="XM37" s="38"/>
      <c r="XN37" s="38"/>
      <c r="XO37" s="38"/>
      <c r="XP37" s="38"/>
      <c r="XQ37" s="38"/>
      <c r="XR37" s="38"/>
      <c r="XS37" s="38"/>
      <c r="XT37" s="38"/>
      <c r="XU37" s="38"/>
      <c r="XV37" s="38"/>
      <c r="XW37" s="38"/>
      <c r="XX37" s="38"/>
      <c r="XY37" s="38"/>
      <c r="XZ37" s="38"/>
      <c r="YA37" s="38"/>
      <c r="YB37" s="38"/>
      <c r="YC37" s="38"/>
      <c r="YD37" s="38"/>
      <c r="YE37" s="38"/>
      <c r="YF37" s="38"/>
      <c r="YG37" s="38"/>
      <c r="YH37" s="38"/>
      <c r="YI37" s="38"/>
      <c r="YJ37" s="38"/>
      <c r="YK37" s="38"/>
      <c r="YL37" s="38"/>
      <c r="YM37" s="38"/>
      <c r="YN37" s="38"/>
      <c r="YO37" s="38"/>
      <c r="YP37" s="38"/>
      <c r="YQ37" s="38"/>
      <c r="YR37" s="38"/>
      <c r="YS37" s="38"/>
      <c r="YT37" s="38"/>
      <c r="YU37" s="38"/>
      <c r="YV37" s="38"/>
      <c r="YW37" s="38"/>
      <c r="YX37" s="38"/>
      <c r="YY37" s="38"/>
      <c r="YZ37" s="38"/>
      <c r="ZA37" s="38"/>
      <c r="ZB37" s="38"/>
      <c r="ZC37" s="38"/>
      <c r="ZD37" s="38"/>
      <c r="ZE37" s="38"/>
      <c r="ZF37" s="38"/>
      <c r="ZG37" s="38"/>
      <c r="ZH37" s="38"/>
      <c r="ZI37" s="38"/>
      <c r="ZJ37" s="38"/>
      <c r="ZK37" s="38"/>
      <c r="ZL37" s="38"/>
      <c r="ZM37" s="38"/>
      <c r="ZN37" s="38"/>
      <c r="ZO37" s="38"/>
      <c r="ZP37" s="38"/>
      <c r="ZQ37" s="38"/>
      <c r="ZR37" s="38"/>
      <c r="ZS37" s="38"/>
      <c r="ZT37" s="38"/>
      <c r="ZU37" s="38"/>
      <c r="ZV37" s="38"/>
      <c r="ZW37" s="38"/>
      <c r="ZX37" s="38"/>
      <c r="ZY37" s="38"/>
      <c r="ZZ37" s="38"/>
      <c r="AAA37" s="38"/>
      <c r="AAB37" s="38"/>
      <c r="AAC37" s="38"/>
      <c r="AAD37" s="38"/>
      <c r="AAE37" s="38"/>
      <c r="AAF37" s="38"/>
      <c r="AAG37" s="38"/>
      <c r="AAH37" s="38"/>
      <c r="AAI37" s="38"/>
      <c r="AAJ37" s="38"/>
      <c r="AAK37" s="38"/>
      <c r="AAL37" s="38"/>
      <c r="AAM37" s="38"/>
      <c r="AAN37" s="38"/>
      <c r="AAO37" s="38"/>
      <c r="AAP37" s="38"/>
      <c r="AAQ37" s="38"/>
      <c r="AAR37" s="38"/>
      <c r="AAS37" s="38"/>
      <c r="AAT37" s="38"/>
      <c r="AAU37" s="38"/>
      <c r="AAV37" s="38"/>
      <c r="AAW37" s="38"/>
      <c r="AAX37" s="38"/>
      <c r="AAY37" s="38"/>
      <c r="AAZ37" s="38"/>
      <c r="ABA37" s="38"/>
      <c r="ABB37" s="38"/>
      <c r="ABC37" s="38"/>
      <c r="ABD37" s="38"/>
      <c r="ABE37" s="38"/>
      <c r="ABF37" s="38"/>
      <c r="ABG37" s="38"/>
      <c r="ABH37" s="38"/>
      <c r="ABI37" s="38"/>
      <c r="ABJ37" s="38"/>
      <c r="ABK37" s="38"/>
      <c r="ABL37" s="38"/>
      <c r="ABM37" s="38"/>
      <c r="ABN37" s="38"/>
      <c r="ABO37" s="38"/>
      <c r="ABP37" s="38"/>
      <c r="ABQ37" s="38"/>
      <c r="ABR37" s="38"/>
      <c r="ABS37" s="38"/>
      <c r="ABT37" s="38"/>
      <c r="ABU37" s="38"/>
      <c r="ABV37" s="38"/>
      <c r="ABW37" s="38"/>
      <c r="ABX37" s="38"/>
      <c r="ABY37" s="38"/>
      <c r="ABZ37" s="38"/>
      <c r="ACA37" s="38"/>
      <c r="ACB37" s="38"/>
      <c r="ACC37" s="38"/>
      <c r="ACD37" s="38"/>
      <c r="ACE37" s="38"/>
      <c r="ACF37" s="38"/>
      <c r="ACG37" s="38"/>
      <c r="ACH37" s="38"/>
      <c r="ACI37" s="38"/>
      <c r="ACJ37" s="38"/>
      <c r="ACK37" s="38"/>
      <c r="ACL37" s="38"/>
      <c r="ACM37" s="38"/>
      <c r="ACN37" s="38"/>
      <c r="ACO37" s="38"/>
      <c r="ACP37" s="38"/>
      <c r="ACQ37" s="38"/>
      <c r="ACR37" s="38"/>
      <c r="ACS37" s="38"/>
      <c r="ACT37" s="38"/>
      <c r="ACU37" s="38"/>
      <c r="ACV37" s="38"/>
      <c r="ACW37" s="38"/>
      <c r="ACX37" s="38"/>
      <c r="ACY37" s="38"/>
      <c r="ACZ37" s="38"/>
      <c r="ADA37" s="38"/>
      <c r="ADB37" s="38"/>
      <c r="ADC37" s="38"/>
      <c r="ADD37" s="38"/>
      <c r="ADE37" s="38"/>
      <c r="ADF37" s="38"/>
      <c r="ADG37" s="38"/>
      <c r="ADH37" s="38"/>
      <c r="ADI37" s="38"/>
      <c r="ADJ37" s="38"/>
      <c r="ADK37" s="38"/>
      <c r="ADL37" s="38"/>
      <c r="ADM37" s="38"/>
      <c r="ADN37" s="38"/>
      <c r="ADO37" s="38"/>
      <c r="ADP37" s="38"/>
      <c r="ADQ37" s="38"/>
      <c r="ADR37" s="38"/>
      <c r="ADS37" s="38"/>
      <c r="ADT37" s="38"/>
      <c r="ADU37" s="38"/>
      <c r="ADV37" s="38"/>
      <c r="ADW37" s="38"/>
      <c r="ADX37" s="38"/>
      <c r="ADY37" s="38"/>
      <c r="ADZ37" s="38"/>
      <c r="AEA37" s="38"/>
      <c r="AEB37" s="38"/>
      <c r="AEC37" s="38"/>
      <c r="AED37" s="38"/>
      <c r="AEE37" s="38"/>
      <c r="AEF37" s="38"/>
      <c r="AEG37" s="38"/>
      <c r="AEH37" s="38"/>
      <c r="AEI37" s="38"/>
      <c r="AEJ37" s="38"/>
      <c r="AEK37" s="38"/>
      <c r="AEL37" s="38"/>
      <c r="AEM37" s="38"/>
      <c r="AEN37" s="38"/>
      <c r="AEO37" s="38"/>
      <c r="AEP37" s="38"/>
      <c r="AEQ37" s="38"/>
      <c r="AER37" s="38"/>
      <c r="AES37" s="38"/>
      <c r="AET37" s="38"/>
      <c r="AEU37" s="38"/>
      <c r="AEV37" s="38"/>
      <c r="AEW37" s="38"/>
      <c r="AEX37" s="38"/>
      <c r="AEY37" s="38"/>
      <c r="AEZ37" s="38"/>
      <c r="AFA37" s="38"/>
      <c r="AFB37" s="38"/>
      <c r="AFC37" s="38"/>
      <c r="AFD37" s="38"/>
      <c r="AFE37" s="38"/>
      <c r="AFF37" s="38"/>
      <c r="AFG37" s="38"/>
      <c r="AFH37" s="38"/>
      <c r="AFI37" s="38"/>
      <c r="AFJ37" s="38"/>
      <c r="AFK37" s="38"/>
      <c r="AFL37" s="38"/>
      <c r="AFM37" s="38"/>
      <c r="AFN37" s="38"/>
      <c r="AFO37" s="38"/>
      <c r="AFP37" s="38"/>
      <c r="AFQ37" s="38"/>
      <c r="AFR37" s="38"/>
      <c r="AFS37" s="38"/>
      <c r="AFT37" s="38"/>
      <c r="AFU37" s="38"/>
      <c r="AFV37" s="38"/>
      <c r="AFW37" s="38"/>
      <c r="AFX37" s="38"/>
      <c r="AFY37" s="38"/>
      <c r="AFZ37" s="38"/>
      <c r="AGA37" s="38"/>
      <c r="AGB37" s="38"/>
      <c r="AGC37" s="38"/>
      <c r="AGD37" s="38"/>
      <c r="AGE37" s="38"/>
      <c r="AGF37" s="38"/>
      <c r="AGG37" s="38"/>
      <c r="AGH37" s="38"/>
      <c r="AGI37" s="38"/>
      <c r="AGJ37" s="38"/>
      <c r="AGK37" s="38"/>
      <c r="AGL37" s="38"/>
      <c r="AGM37" s="38"/>
      <c r="AGN37" s="38"/>
      <c r="AGO37" s="38"/>
      <c r="AGP37" s="38"/>
      <c r="AGQ37" s="38"/>
      <c r="AGR37" s="38"/>
      <c r="AGS37" s="38"/>
      <c r="AGT37" s="38"/>
      <c r="AGU37" s="38"/>
      <c r="AGV37" s="38"/>
      <c r="AGW37" s="38"/>
      <c r="AGX37" s="38"/>
      <c r="AGY37" s="38"/>
      <c r="AGZ37" s="38"/>
      <c r="AHA37" s="38"/>
      <c r="AHB37" s="38"/>
      <c r="AHC37" s="38"/>
      <c r="AHD37" s="38"/>
      <c r="AHE37" s="38"/>
      <c r="AHF37" s="38"/>
      <c r="AHG37" s="38"/>
      <c r="AHH37" s="38"/>
      <c r="AHI37" s="38"/>
      <c r="AHJ37" s="38"/>
      <c r="AHK37" s="38"/>
      <c r="AHL37" s="38"/>
      <c r="AHM37" s="38"/>
      <c r="AHN37" s="38"/>
      <c r="AHO37" s="38"/>
      <c r="AHP37" s="38"/>
      <c r="AHQ37" s="38"/>
      <c r="AHR37" s="38"/>
      <c r="AHS37" s="38"/>
      <c r="AHT37" s="38"/>
      <c r="AHU37" s="38"/>
      <c r="AHV37" s="38"/>
    </row>
    <row r="38" spans="1:906" s="27" customFormat="1" x14ac:dyDescent="0.35">
      <c r="A38" s="83">
        <v>33</v>
      </c>
      <c r="B38" s="108" t="s">
        <v>66</v>
      </c>
      <c r="C38" s="109" t="s">
        <v>68</v>
      </c>
      <c r="D38" s="109" t="s">
        <v>67</v>
      </c>
      <c r="E38" s="125">
        <v>11.65</v>
      </c>
      <c r="F38" s="143">
        <v>10.95</v>
      </c>
      <c r="G38" s="125"/>
      <c r="H38" s="125"/>
      <c r="I38" s="37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38"/>
      <c r="FH38" s="38"/>
      <c r="FI38" s="38"/>
      <c r="FJ38" s="38"/>
      <c r="FK38" s="38"/>
      <c r="FL38" s="38"/>
      <c r="FM38" s="38"/>
      <c r="FN38" s="38"/>
      <c r="FO38" s="38"/>
      <c r="FP38" s="38"/>
      <c r="FQ38" s="38"/>
      <c r="FR38" s="38"/>
      <c r="FS38" s="38"/>
      <c r="FT38" s="38"/>
      <c r="FU38" s="38"/>
      <c r="FV38" s="38"/>
      <c r="FW38" s="38"/>
      <c r="FX38" s="38"/>
      <c r="FY38" s="38"/>
      <c r="FZ38" s="38"/>
      <c r="GA38" s="38"/>
      <c r="GB38" s="38"/>
      <c r="GC38" s="38"/>
      <c r="GD38" s="38"/>
      <c r="GE38" s="38"/>
      <c r="GF38" s="38"/>
      <c r="GG38" s="38"/>
      <c r="GH38" s="38"/>
      <c r="GI38" s="38"/>
      <c r="GJ38" s="38"/>
      <c r="GK38" s="38"/>
      <c r="GL38" s="38"/>
      <c r="GM38" s="38"/>
      <c r="GN38" s="38"/>
      <c r="GO38" s="38"/>
      <c r="GP38" s="38"/>
      <c r="GQ38" s="38"/>
      <c r="GR38" s="38"/>
      <c r="GS38" s="38"/>
      <c r="GT38" s="38"/>
      <c r="GU38" s="38"/>
      <c r="GV38" s="38"/>
      <c r="GW38" s="38"/>
      <c r="GX38" s="38"/>
      <c r="GY38" s="38"/>
      <c r="GZ38" s="38"/>
      <c r="HA38" s="38"/>
      <c r="HB38" s="38"/>
      <c r="HC38" s="38"/>
      <c r="HD38" s="38"/>
      <c r="HE38" s="38"/>
      <c r="HF38" s="38"/>
      <c r="HG38" s="38"/>
      <c r="HH38" s="38"/>
      <c r="HI38" s="38"/>
      <c r="HJ38" s="38"/>
      <c r="HK38" s="38"/>
      <c r="HL38" s="38"/>
      <c r="HM38" s="38"/>
      <c r="HN38" s="38"/>
      <c r="HO38" s="38"/>
      <c r="HP38" s="38"/>
      <c r="HQ38" s="38"/>
      <c r="HR38" s="38"/>
      <c r="HS38" s="38"/>
      <c r="HT38" s="38"/>
      <c r="HU38" s="38"/>
      <c r="HV38" s="38"/>
      <c r="HW38" s="38"/>
      <c r="HX38" s="38"/>
      <c r="HY38" s="38"/>
      <c r="HZ38" s="38"/>
      <c r="IA38" s="38"/>
      <c r="IB38" s="38"/>
      <c r="IC38" s="38"/>
      <c r="ID38" s="38"/>
      <c r="IE38" s="38"/>
      <c r="IF38" s="38"/>
      <c r="IG38" s="38"/>
      <c r="IH38" s="38"/>
      <c r="II38" s="38"/>
      <c r="IJ38" s="38"/>
      <c r="IK38" s="38"/>
      <c r="IL38" s="38"/>
      <c r="IM38" s="38"/>
      <c r="IN38" s="38"/>
      <c r="IO38" s="38"/>
      <c r="IP38" s="38"/>
      <c r="IQ38" s="38"/>
      <c r="IR38" s="38"/>
      <c r="IS38" s="38"/>
      <c r="IT38" s="38"/>
      <c r="IU38" s="38"/>
      <c r="IV38" s="38"/>
      <c r="IW38" s="38"/>
      <c r="IX38" s="38"/>
      <c r="IY38" s="38"/>
      <c r="IZ38" s="38"/>
      <c r="JA38" s="38"/>
      <c r="JB38" s="38"/>
      <c r="JC38" s="38"/>
      <c r="JD38" s="38"/>
      <c r="JE38" s="38"/>
      <c r="JF38" s="38"/>
      <c r="JG38" s="38"/>
      <c r="JH38" s="38"/>
      <c r="JI38" s="38"/>
      <c r="JJ38" s="38"/>
      <c r="JK38" s="38"/>
      <c r="JL38" s="38"/>
      <c r="JM38" s="38"/>
      <c r="JN38" s="38"/>
      <c r="JO38" s="38"/>
      <c r="JP38" s="38"/>
      <c r="JQ38" s="38"/>
      <c r="JR38" s="38"/>
      <c r="JS38" s="38"/>
      <c r="JT38" s="38"/>
      <c r="JU38" s="38"/>
      <c r="JV38" s="38"/>
      <c r="JW38" s="38"/>
      <c r="JX38" s="38"/>
      <c r="JY38" s="38"/>
      <c r="JZ38" s="38"/>
      <c r="KA38" s="38"/>
      <c r="KB38" s="38"/>
      <c r="KC38" s="38"/>
      <c r="KD38" s="38"/>
      <c r="KE38" s="38"/>
      <c r="KF38" s="38"/>
      <c r="KG38" s="38"/>
      <c r="KH38" s="38"/>
      <c r="KI38" s="38"/>
      <c r="KJ38" s="38"/>
      <c r="KK38" s="38"/>
      <c r="KL38" s="38"/>
      <c r="KM38" s="38"/>
      <c r="KN38" s="38"/>
      <c r="KO38" s="38"/>
      <c r="KP38" s="38"/>
      <c r="KQ38" s="38"/>
      <c r="KR38" s="38"/>
      <c r="KS38" s="38"/>
      <c r="KT38" s="38"/>
      <c r="KU38" s="38"/>
      <c r="KV38" s="38"/>
      <c r="KW38" s="38"/>
      <c r="KX38" s="38"/>
      <c r="KY38" s="38"/>
      <c r="KZ38" s="38"/>
      <c r="LA38" s="38"/>
      <c r="LB38" s="38"/>
      <c r="LC38" s="38"/>
      <c r="LD38" s="38"/>
      <c r="LE38" s="38"/>
      <c r="LF38" s="38"/>
      <c r="LG38" s="38"/>
      <c r="LH38" s="38"/>
      <c r="LI38" s="38"/>
      <c r="LJ38" s="38"/>
      <c r="LK38" s="38"/>
      <c r="LL38" s="38"/>
      <c r="LM38" s="38"/>
      <c r="LN38" s="38"/>
      <c r="LO38" s="38"/>
      <c r="LP38" s="38"/>
      <c r="LQ38" s="38"/>
      <c r="LR38" s="38"/>
      <c r="LS38" s="38"/>
      <c r="LT38" s="38"/>
      <c r="LU38" s="38"/>
      <c r="LV38" s="38"/>
      <c r="LW38" s="38"/>
      <c r="LX38" s="38"/>
      <c r="LY38" s="38"/>
      <c r="LZ38" s="38"/>
      <c r="MA38" s="38"/>
      <c r="MB38" s="38"/>
      <c r="MC38" s="38"/>
      <c r="MD38" s="38"/>
      <c r="ME38" s="38"/>
      <c r="MF38" s="38"/>
      <c r="MG38" s="38"/>
      <c r="MH38" s="38"/>
      <c r="MI38" s="38"/>
      <c r="MJ38" s="38"/>
      <c r="MK38" s="38"/>
      <c r="ML38" s="38"/>
      <c r="MM38" s="38"/>
      <c r="MN38" s="38"/>
      <c r="MO38" s="38"/>
      <c r="MP38" s="38"/>
      <c r="MQ38" s="38"/>
      <c r="MR38" s="38"/>
      <c r="MS38" s="38"/>
      <c r="MT38" s="38"/>
      <c r="MU38" s="38"/>
      <c r="MV38" s="38"/>
      <c r="MW38" s="38"/>
      <c r="MX38" s="38"/>
      <c r="MY38" s="38"/>
      <c r="MZ38" s="38"/>
      <c r="NA38" s="38"/>
      <c r="NB38" s="38"/>
      <c r="NC38" s="38"/>
      <c r="ND38" s="38"/>
      <c r="NE38" s="38"/>
      <c r="NF38" s="38"/>
      <c r="NG38" s="38"/>
      <c r="NH38" s="38"/>
      <c r="NI38" s="38"/>
      <c r="NJ38" s="38"/>
      <c r="NK38" s="38"/>
      <c r="NL38" s="38"/>
      <c r="NM38" s="38"/>
      <c r="NN38" s="38"/>
      <c r="NO38" s="38"/>
      <c r="NP38" s="38"/>
      <c r="NQ38" s="38"/>
      <c r="NR38" s="38"/>
      <c r="NS38" s="38"/>
      <c r="NT38" s="38"/>
      <c r="NU38" s="38"/>
      <c r="NV38" s="38"/>
      <c r="NW38" s="38"/>
      <c r="NX38" s="38"/>
      <c r="NY38" s="38"/>
      <c r="NZ38" s="38"/>
      <c r="OA38" s="38"/>
      <c r="OB38" s="38"/>
      <c r="OC38" s="38"/>
      <c r="OD38" s="38"/>
      <c r="OE38" s="38"/>
      <c r="OF38" s="38"/>
      <c r="OG38" s="38"/>
      <c r="OH38" s="38"/>
      <c r="OI38" s="38"/>
      <c r="OJ38" s="38"/>
      <c r="OK38" s="38"/>
      <c r="OL38" s="38"/>
      <c r="OM38" s="38"/>
      <c r="ON38" s="38"/>
      <c r="OO38" s="38"/>
      <c r="OP38" s="38"/>
      <c r="OQ38" s="38"/>
      <c r="OR38" s="38"/>
      <c r="OS38" s="38"/>
      <c r="OT38" s="38"/>
      <c r="OU38" s="38"/>
      <c r="OV38" s="38"/>
      <c r="OW38" s="38"/>
      <c r="OX38" s="38"/>
      <c r="OY38" s="38"/>
      <c r="OZ38" s="38"/>
      <c r="PA38" s="38"/>
      <c r="PB38" s="38"/>
      <c r="PC38" s="38"/>
      <c r="PD38" s="38"/>
      <c r="PE38" s="38"/>
      <c r="PF38" s="38"/>
      <c r="PG38" s="38"/>
      <c r="PH38" s="38"/>
      <c r="PI38" s="38"/>
      <c r="PJ38" s="38"/>
      <c r="PK38" s="38"/>
      <c r="PL38" s="38"/>
      <c r="PM38" s="38"/>
      <c r="PN38" s="38"/>
      <c r="PO38" s="38"/>
      <c r="PP38" s="38"/>
      <c r="PQ38" s="38"/>
      <c r="PR38" s="38"/>
      <c r="PS38" s="38"/>
      <c r="PT38" s="38"/>
      <c r="PU38" s="38"/>
      <c r="PV38" s="38"/>
      <c r="PW38" s="38"/>
      <c r="PX38" s="38"/>
      <c r="PY38" s="38"/>
      <c r="PZ38" s="38"/>
      <c r="QA38" s="38"/>
      <c r="QB38" s="38"/>
      <c r="QC38" s="38"/>
      <c r="QD38" s="38"/>
      <c r="QE38" s="38"/>
      <c r="QF38" s="38"/>
      <c r="QG38" s="38"/>
      <c r="QH38" s="38"/>
      <c r="QI38" s="38"/>
      <c r="QJ38" s="38"/>
      <c r="QK38" s="38"/>
      <c r="QL38" s="38"/>
      <c r="QM38" s="38"/>
      <c r="QN38" s="38"/>
      <c r="QO38" s="38"/>
      <c r="QP38" s="38"/>
      <c r="QQ38" s="38"/>
      <c r="QR38" s="38"/>
      <c r="QS38" s="38"/>
      <c r="QT38" s="38"/>
      <c r="QU38" s="38"/>
      <c r="QV38" s="38"/>
      <c r="QW38" s="38"/>
      <c r="QX38" s="38"/>
      <c r="QY38" s="38"/>
      <c r="QZ38" s="38"/>
      <c r="RA38" s="38"/>
      <c r="RB38" s="38"/>
      <c r="RC38" s="38"/>
      <c r="RD38" s="38"/>
      <c r="RE38" s="38"/>
      <c r="RF38" s="38"/>
      <c r="RG38" s="38"/>
      <c r="RH38" s="38"/>
      <c r="RI38" s="38"/>
      <c r="RJ38" s="38"/>
      <c r="RK38" s="38"/>
      <c r="RL38" s="38"/>
      <c r="RM38" s="38"/>
      <c r="RN38" s="38"/>
      <c r="RO38" s="38"/>
      <c r="RP38" s="38"/>
      <c r="RQ38" s="38"/>
      <c r="RR38" s="38"/>
      <c r="RS38" s="38"/>
      <c r="RT38" s="38"/>
      <c r="RU38" s="38"/>
      <c r="RV38" s="38"/>
      <c r="RW38" s="38"/>
      <c r="RX38" s="38"/>
      <c r="RY38" s="38"/>
      <c r="RZ38" s="38"/>
      <c r="SA38" s="38"/>
      <c r="SB38" s="38"/>
      <c r="SC38" s="38"/>
      <c r="SD38" s="38"/>
      <c r="SE38" s="38"/>
      <c r="SF38" s="38"/>
      <c r="SG38" s="38"/>
      <c r="SH38" s="38"/>
      <c r="SI38" s="38"/>
      <c r="SJ38" s="38"/>
      <c r="SK38" s="38"/>
      <c r="SL38" s="38"/>
      <c r="SM38" s="38"/>
      <c r="SN38" s="38"/>
      <c r="SO38" s="38"/>
      <c r="SP38" s="38"/>
      <c r="SQ38" s="38"/>
      <c r="SR38" s="38"/>
      <c r="SS38" s="38"/>
      <c r="ST38" s="38"/>
      <c r="SU38" s="38"/>
      <c r="SV38" s="38"/>
      <c r="SW38" s="38"/>
      <c r="SX38" s="38"/>
      <c r="SY38" s="38"/>
      <c r="SZ38" s="38"/>
      <c r="TA38" s="38"/>
      <c r="TB38" s="38"/>
      <c r="TC38" s="38"/>
      <c r="TD38" s="38"/>
      <c r="TE38" s="38"/>
      <c r="TF38" s="38"/>
      <c r="TG38" s="38"/>
      <c r="TH38" s="38"/>
      <c r="TI38" s="38"/>
      <c r="TJ38" s="38"/>
      <c r="TK38" s="38"/>
      <c r="TL38" s="38"/>
      <c r="TM38" s="38"/>
      <c r="TN38" s="38"/>
      <c r="TO38" s="38"/>
      <c r="TP38" s="38"/>
      <c r="TQ38" s="38"/>
      <c r="TR38" s="38"/>
      <c r="TS38" s="38"/>
      <c r="TT38" s="38"/>
      <c r="TU38" s="38"/>
      <c r="TV38" s="38"/>
      <c r="TW38" s="38"/>
      <c r="TX38" s="38"/>
      <c r="TY38" s="38"/>
      <c r="TZ38" s="38"/>
      <c r="UA38" s="38"/>
      <c r="UB38" s="38"/>
      <c r="UC38" s="38"/>
      <c r="UD38" s="38"/>
      <c r="UE38" s="38"/>
      <c r="UF38" s="38"/>
      <c r="UG38" s="38"/>
      <c r="UH38" s="38"/>
      <c r="UI38" s="38"/>
      <c r="UJ38" s="38"/>
      <c r="UK38" s="38"/>
      <c r="UL38" s="38"/>
      <c r="UM38" s="38"/>
      <c r="UN38" s="38"/>
      <c r="UO38" s="38"/>
      <c r="UP38" s="38"/>
      <c r="UQ38" s="38"/>
      <c r="UR38" s="38"/>
      <c r="US38" s="38"/>
      <c r="UT38" s="38"/>
      <c r="UU38" s="38"/>
      <c r="UV38" s="38"/>
      <c r="UW38" s="38"/>
      <c r="UX38" s="38"/>
      <c r="UY38" s="38"/>
      <c r="UZ38" s="38"/>
      <c r="VA38" s="38"/>
      <c r="VB38" s="38"/>
      <c r="VC38" s="38"/>
      <c r="VD38" s="38"/>
      <c r="VE38" s="38"/>
      <c r="VF38" s="38"/>
      <c r="VG38" s="38"/>
      <c r="VH38" s="38"/>
      <c r="VI38" s="38"/>
      <c r="VJ38" s="38"/>
      <c r="VK38" s="38"/>
      <c r="VL38" s="38"/>
      <c r="VM38" s="38"/>
      <c r="VN38" s="38"/>
      <c r="VO38" s="38"/>
      <c r="VP38" s="38"/>
      <c r="VQ38" s="38"/>
      <c r="VR38" s="38"/>
      <c r="VS38" s="38"/>
      <c r="VT38" s="38"/>
      <c r="VU38" s="38"/>
      <c r="VV38" s="38"/>
      <c r="VW38" s="38"/>
      <c r="VX38" s="38"/>
      <c r="VY38" s="38"/>
      <c r="VZ38" s="38"/>
      <c r="WA38" s="38"/>
      <c r="WB38" s="38"/>
      <c r="WC38" s="38"/>
      <c r="WD38" s="38"/>
      <c r="WE38" s="38"/>
      <c r="WF38" s="38"/>
      <c r="WG38" s="38"/>
      <c r="WH38" s="38"/>
      <c r="WI38" s="38"/>
      <c r="WJ38" s="38"/>
      <c r="WK38" s="38"/>
      <c r="WL38" s="38"/>
      <c r="WM38" s="38"/>
      <c r="WN38" s="38"/>
      <c r="WO38" s="38"/>
      <c r="WP38" s="38"/>
      <c r="WQ38" s="38"/>
      <c r="WR38" s="38"/>
      <c r="WS38" s="38"/>
      <c r="WT38" s="38"/>
      <c r="WU38" s="38"/>
      <c r="WV38" s="38"/>
      <c r="WW38" s="38"/>
      <c r="WX38" s="38"/>
      <c r="WY38" s="38"/>
      <c r="WZ38" s="38"/>
      <c r="XA38" s="38"/>
      <c r="XB38" s="38"/>
      <c r="XC38" s="38"/>
      <c r="XD38" s="38"/>
      <c r="XE38" s="38"/>
      <c r="XF38" s="38"/>
      <c r="XG38" s="38"/>
      <c r="XH38" s="38"/>
      <c r="XI38" s="38"/>
      <c r="XJ38" s="38"/>
      <c r="XK38" s="38"/>
      <c r="XL38" s="38"/>
      <c r="XM38" s="38"/>
      <c r="XN38" s="38"/>
      <c r="XO38" s="38"/>
      <c r="XP38" s="38"/>
      <c r="XQ38" s="38"/>
      <c r="XR38" s="38"/>
      <c r="XS38" s="38"/>
      <c r="XT38" s="38"/>
      <c r="XU38" s="38"/>
      <c r="XV38" s="38"/>
      <c r="XW38" s="38"/>
      <c r="XX38" s="38"/>
      <c r="XY38" s="38"/>
      <c r="XZ38" s="38"/>
      <c r="YA38" s="38"/>
      <c r="YB38" s="38"/>
      <c r="YC38" s="38"/>
      <c r="YD38" s="38"/>
      <c r="YE38" s="38"/>
      <c r="YF38" s="38"/>
      <c r="YG38" s="38"/>
      <c r="YH38" s="38"/>
      <c r="YI38" s="38"/>
      <c r="YJ38" s="38"/>
      <c r="YK38" s="38"/>
      <c r="YL38" s="38"/>
      <c r="YM38" s="38"/>
      <c r="YN38" s="38"/>
      <c r="YO38" s="38"/>
      <c r="YP38" s="38"/>
      <c r="YQ38" s="38"/>
      <c r="YR38" s="38"/>
      <c r="YS38" s="38"/>
      <c r="YT38" s="38"/>
      <c r="YU38" s="38"/>
      <c r="YV38" s="38"/>
      <c r="YW38" s="38"/>
      <c r="YX38" s="38"/>
      <c r="YY38" s="38"/>
      <c r="YZ38" s="38"/>
      <c r="ZA38" s="38"/>
      <c r="ZB38" s="38"/>
      <c r="ZC38" s="38"/>
      <c r="ZD38" s="38"/>
      <c r="ZE38" s="38"/>
      <c r="ZF38" s="38"/>
      <c r="ZG38" s="38"/>
      <c r="ZH38" s="38"/>
      <c r="ZI38" s="38"/>
      <c r="ZJ38" s="38"/>
      <c r="ZK38" s="38"/>
      <c r="ZL38" s="38"/>
      <c r="ZM38" s="38"/>
      <c r="ZN38" s="38"/>
      <c r="ZO38" s="38"/>
      <c r="ZP38" s="38"/>
      <c r="ZQ38" s="38"/>
      <c r="ZR38" s="38"/>
      <c r="ZS38" s="38"/>
      <c r="ZT38" s="38"/>
      <c r="ZU38" s="38"/>
      <c r="ZV38" s="38"/>
      <c r="ZW38" s="38"/>
      <c r="ZX38" s="38"/>
      <c r="ZY38" s="38"/>
      <c r="ZZ38" s="38"/>
      <c r="AAA38" s="38"/>
      <c r="AAB38" s="38"/>
      <c r="AAC38" s="38"/>
      <c r="AAD38" s="38"/>
      <c r="AAE38" s="38"/>
      <c r="AAF38" s="38"/>
      <c r="AAG38" s="38"/>
      <c r="AAH38" s="38"/>
      <c r="AAI38" s="38"/>
      <c r="AAJ38" s="38"/>
      <c r="AAK38" s="38"/>
      <c r="AAL38" s="38"/>
      <c r="AAM38" s="38"/>
      <c r="AAN38" s="38"/>
      <c r="AAO38" s="38"/>
      <c r="AAP38" s="38"/>
      <c r="AAQ38" s="38"/>
      <c r="AAR38" s="38"/>
      <c r="AAS38" s="38"/>
      <c r="AAT38" s="38"/>
      <c r="AAU38" s="38"/>
      <c r="AAV38" s="38"/>
      <c r="AAW38" s="38"/>
      <c r="AAX38" s="38"/>
      <c r="AAY38" s="38"/>
      <c r="AAZ38" s="38"/>
      <c r="ABA38" s="38"/>
      <c r="ABB38" s="38"/>
      <c r="ABC38" s="38"/>
      <c r="ABD38" s="38"/>
      <c r="ABE38" s="38"/>
      <c r="ABF38" s="38"/>
      <c r="ABG38" s="38"/>
      <c r="ABH38" s="38"/>
      <c r="ABI38" s="38"/>
      <c r="ABJ38" s="38"/>
      <c r="ABK38" s="38"/>
      <c r="ABL38" s="38"/>
      <c r="ABM38" s="38"/>
      <c r="ABN38" s="38"/>
      <c r="ABO38" s="38"/>
      <c r="ABP38" s="38"/>
      <c r="ABQ38" s="38"/>
      <c r="ABR38" s="38"/>
      <c r="ABS38" s="38"/>
      <c r="ABT38" s="38"/>
      <c r="ABU38" s="38"/>
      <c r="ABV38" s="38"/>
      <c r="ABW38" s="38"/>
      <c r="ABX38" s="38"/>
      <c r="ABY38" s="38"/>
      <c r="ABZ38" s="38"/>
      <c r="ACA38" s="38"/>
      <c r="ACB38" s="38"/>
      <c r="ACC38" s="38"/>
      <c r="ACD38" s="38"/>
      <c r="ACE38" s="38"/>
      <c r="ACF38" s="38"/>
      <c r="ACG38" s="38"/>
      <c r="ACH38" s="38"/>
      <c r="ACI38" s="38"/>
      <c r="ACJ38" s="38"/>
      <c r="ACK38" s="38"/>
      <c r="ACL38" s="38"/>
      <c r="ACM38" s="38"/>
      <c r="ACN38" s="38"/>
      <c r="ACO38" s="38"/>
      <c r="ACP38" s="38"/>
      <c r="ACQ38" s="38"/>
      <c r="ACR38" s="38"/>
      <c r="ACS38" s="38"/>
      <c r="ACT38" s="38"/>
      <c r="ACU38" s="38"/>
      <c r="ACV38" s="38"/>
      <c r="ACW38" s="38"/>
      <c r="ACX38" s="38"/>
      <c r="ACY38" s="38"/>
      <c r="ACZ38" s="38"/>
      <c r="ADA38" s="38"/>
      <c r="ADB38" s="38"/>
      <c r="ADC38" s="38"/>
      <c r="ADD38" s="38"/>
      <c r="ADE38" s="38"/>
      <c r="ADF38" s="38"/>
      <c r="ADG38" s="38"/>
      <c r="ADH38" s="38"/>
      <c r="ADI38" s="38"/>
      <c r="ADJ38" s="38"/>
      <c r="ADK38" s="38"/>
      <c r="ADL38" s="38"/>
      <c r="ADM38" s="38"/>
      <c r="ADN38" s="38"/>
      <c r="ADO38" s="38"/>
      <c r="ADP38" s="38"/>
      <c r="ADQ38" s="38"/>
      <c r="ADR38" s="38"/>
      <c r="ADS38" s="38"/>
      <c r="ADT38" s="38"/>
      <c r="ADU38" s="38"/>
      <c r="ADV38" s="38"/>
      <c r="ADW38" s="38"/>
      <c r="ADX38" s="38"/>
      <c r="ADY38" s="38"/>
      <c r="ADZ38" s="38"/>
      <c r="AEA38" s="38"/>
      <c r="AEB38" s="38"/>
      <c r="AEC38" s="38"/>
      <c r="AED38" s="38"/>
      <c r="AEE38" s="38"/>
      <c r="AEF38" s="38"/>
      <c r="AEG38" s="38"/>
      <c r="AEH38" s="38"/>
      <c r="AEI38" s="38"/>
      <c r="AEJ38" s="38"/>
      <c r="AEK38" s="38"/>
      <c r="AEL38" s="38"/>
      <c r="AEM38" s="38"/>
      <c r="AEN38" s="38"/>
      <c r="AEO38" s="38"/>
      <c r="AEP38" s="38"/>
      <c r="AEQ38" s="38"/>
      <c r="AER38" s="38"/>
      <c r="AES38" s="38"/>
      <c r="AET38" s="38"/>
      <c r="AEU38" s="38"/>
      <c r="AEV38" s="38"/>
      <c r="AEW38" s="38"/>
      <c r="AEX38" s="38"/>
      <c r="AEY38" s="38"/>
      <c r="AEZ38" s="38"/>
      <c r="AFA38" s="38"/>
      <c r="AFB38" s="38"/>
      <c r="AFC38" s="38"/>
      <c r="AFD38" s="38"/>
      <c r="AFE38" s="38"/>
      <c r="AFF38" s="38"/>
      <c r="AFG38" s="38"/>
      <c r="AFH38" s="38"/>
      <c r="AFI38" s="38"/>
      <c r="AFJ38" s="38"/>
      <c r="AFK38" s="38"/>
      <c r="AFL38" s="38"/>
      <c r="AFM38" s="38"/>
      <c r="AFN38" s="38"/>
      <c r="AFO38" s="38"/>
      <c r="AFP38" s="38"/>
      <c r="AFQ38" s="38"/>
      <c r="AFR38" s="38"/>
      <c r="AFS38" s="38"/>
      <c r="AFT38" s="38"/>
      <c r="AFU38" s="38"/>
      <c r="AFV38" s="38"/>
      <c r="AFW38" s="38"/>
      <c r="AFX38" s="38"/>
      <c r="AFY38" s="38"/>
      <c r="AFZ38" s="38"/>
      <c r="AGA38" s="38"/>
      <c r="AGB38" s="38"/>
      <c r="AGC38" s="38"/>
      <c r="AGD38" s="38"/>
      <c r="AGE38" s="38"/>
      <c r="AGF38" s="38"/>
      <c r="AGG38" s="38"/>
      <c r="AGH38" s="38"/>
      <c r="AGI38" s="38"/>
      <c r="AGJ38" s="38"/>
      <c r="AGK38" s="38"/>
      <c r="AGL38" s="38"/>
      <c r="AGM38" s="38"/>
      <c r="AGN38" s="38"/>
      <c r="AGO38" s="38"/>
      <c r="AGP38" s="38"/>
      <c r="AGQ38" s="38"/>
      <c r="AGR38" s="38"/>
      <c r="AGS38" s="38"/>
      <c r="AGT38" s="38"/>
      <c r="AGU38" s="38"/>
      <c r="AGV38" s="38"/>
      <c r="AGW38" s="38"/>
      <c r="AGX38" s="38"/>
      <c r="AGY38" s="38"/>
      <c r="AGZ38" s="38"/>
      <c r="AHA38" s="38"/>
      <c r="AHB38" s="38"/>
      <c r="AHC38" s="38"/>
      <c r="AHD38" s="38"/>
      <c r="AHE38" s="38"/>
      <c r="AHF38" s="38"/>
      <c r="AHG38" s="38"/>
      <c r="AHH38" s="38"/>
      <c r="AHI38" s="38"/>
      <c r="AHJ38" s="38"/>
      <c r="AHK38" s="38"/>
      <c r="AHL38" s="38"/>
      <c r="AHM38" s="38"/>
      <c r="AHN38" s="38"/>
      <c r="AHO38" s="38"/>
      <c r="AHP38" s="38"/>
      <c r="AHQ38" s="38"/>
      <c r="AHR38" s="38"/>
      <c r="AHS38" s="38"/>
      <c r="AHT38" s="38"/>
      <c r="AHU38" s="38"/>
      <c r="AHV38" s="38"/>
    </row>
    <row r="39" spans="1:906" s="27" customFormat="1" x14ac:dyDescent="0.35">
      <c r="A39" s="83">
        <v>35</v>
      </c>
      <c r="B39" s="108" t="s">
        <v>69</v>
      </c>
      <c r="C39" s="109" t="s">
        <v>70</v>
      </c>
      <c r="D39" s="109" t="s">
        <v>59</v>
      </c>
      <c r="E39" s="125">
        <v>7.25</v>
      </c>
      <c r="F39" s="125">
        <v>6.95</v>
      </c>
      <c r="G39" s="125">
        <v>6.75</v>
      </c>
      <c r="H39" s="125">
        <v>7.5</v>
      </c>
      <c r="I39" s="37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8"/>
      <c r="DD39" s="38"/>
      <c r="DE39" s="38"/>
      <c r="DF39" s="38"/>
      <c r="DG39" s="38"/>
      <c r="DH39" s="38"/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  <c r="EY39" s="38"/>
      <c r="EZ39" s="38"/>
      <c r="FA39" s="38"/>
      <c r="FB39" s="38"/>
      <c r="FC39" s="38"/>
      <c r="FD39" s="38"/>
      <c r="FE39" s="38"/>
      <c r="FF39" s="38"/>
      <c r="FG39" s="38"/>
      <c r="FH39" s="38"/>
      <c r="FI39" s="38"/>
      <c r="FJ39" s="38"/>
      <c r="FK39" s="38"/>
      <c r="FL39" s="38"/>
      <c r="FM39" s="38"/>
      <c r="FN39" s="38"/>
      <c r="FO39" s="38"/>
      <c r="FP39" s="38"/>
      <c r="FQ39" s="38"/>
      <c r="FR39" s="38"/>
      <c r="FS39" s="38"/>
      <c r="FT39" s="38"/>
      <c r="FU39" s="38"/>
      <c r="FV39" s="38"/>
      <c r="FW39" s="38"/>
      <c r="FX39" s="38"/>
      <c r="FY39" s="38"/>
      <c r="FZ39" s="38"/>
      <c r="GA39" s="38"/>
      <c r="GB39" s="38"/>
      <c r="GC39" s="38"/>
      <c r="GD39" s="38"/>
      <c r="GE39" s="38"/>
      <c r="GF39" s="38"/>
      <c r="GG39" s="38"/>
      <c r="GH39" s="38"/>
      <c r="GI39" s="38"/>
      <c r="GJ39" s="38"/>
      <c r="GK39" s="38"/>
      <c r="GL39" s="38"/>
      <c r="GM39" s="38"/>
      <c r="GN39" s="38"/>
      <c r="GO39" s="38"/>
      <c r="GP39" s="38"/>
      <c r="GQ39" s="38"/>
      <c r="GR39" s="38"/>
      <c r="GS39" s="38"/>
      <c r="GT39" s="38"/>
      <c r="GU39" s="38"/>
      <c r="GV39" s="38"/>
      <c r="GW39" s="38"/>
      <c r="GX39" s="38"/>
      <c r="GY39" s="38"/>
      <c r="GZ39" s="38"/>
      <c r="HA39" s="38"/>
      <c r="HB39" s="38"/>
      <c r="HC39" s="38"/>
      <c r="HD39" s="38"/>
      <c r="HE39" s="38"/>
      <c r="HF39" s="38"/>
      <c r="HG39" s="38"/>
      <c r="HH39" s="38"/>
      <c r="HI39" s="38"/>
      <c r="HJ39" s="38"/>
      <c r="HK39" s="38"/>
      <c r="HL39" s="38"/>
      <c r="HM39" s="38"/>
      <c r="HN39" s="38"/>
      <c r="HO39" s="38"/>
      <c r="HP39" s="38"/>
      <c r="HQ39" s="38"/>
      <c r="HR39" s="38"/>
      <c r="HS39" s="38"/>
      <c r="HT39" s="38"/>
      <c r="HU39" s="38"/>
      <c r="HV39" s="38"/>
      <c r="HW39" s="38"/>
      <c r="HX39" s="38"/>
      <c r="HY39" s="38"/>
      <c r="HZ39" s="38"/>
      <c r="IA39" s="38"/>
      <c r="IB39" s="38"/>
      <c r="IC39" s="38"/>
      <c r="ID39" s="38"/>
      <c r="IE39" s="38"/>
      <c r="IF39" s="38"/>
      <c r="IG39" s="38"/>
      <c r="IH39" s="38"/>
      <c r="II39" s="38"/>
      <c r="IJ39" s="38"/>
      <c r="IK39" s="38"/>
      <c r="IL39" s="38"/>
      <c r="IM39" s="38"/>
      <c r="IN39" s="38"/>
      <c r="IO39" s="38"/>
      <c r="IP39" s="38"/>
      <c r="IQ39" s="38"/>
      <c r="IR39" s="38"/>
      <c r="IS39" s="38"/>
      <c r="IT39" s="38"/>
      <c r="IU39" s="38"/>
      <c r="IV39" s="38"/>
      <c r="IW39" s="38"/>
      <c r="IX39" s="38"/>
      <c r="IY39" s="38"/>
      <c r="IZ39" s="38"/>
      <c r="JA39" s="38"/>
      <c r="JB39" s="38"/>
      <c r="JC39" s="38"/>
      <c r="JD39" s="38"/>
      <c r="JE39" s="38"/>
      <c r="JF39" s="38"/>
      <c r="JG39" s="38"/>
      <c r="JH39" s="38"/>
      <c r="JI39" s="38"/>
      <c r="JJ39" s="38"/>
      <c r="JK39" s="38"/>
      <c r="JL39" s="38"/>
      <c r="JM39" s="38"/>
      <c r="JN39" s="38"/>
      <c r="JO39" s="38"/>
      <c r="JP39" s="38"/>
      <c r="JQ39" s="38"/>
      <c r="JR39" s="38"/>
      <c r="JS39" s="38"/>
      <c r="JT39" s="38"/>
      <c r="JU39" s="38"/>
      <c r="JV39" s="38"/>
      <c r="JW39" s="38"/>
      <c r="JX39" s="38"/>
      <c r="JY39" s="38"/>
      <c r="JZ39" s="38"/>
      <c r="KA39" s="38"/>
      <c r="KB39" s="38"/>
      <c r="KC39" s="38"/>
      <c r="KD39" s="38"/>
      <c r="KE39" s="38"/>
      <c r="KF39" s="38"/>
      <c r="KG39" s="38"/>
      <c r="KH39" s="38"/>
      <c r="KI39" s="38"/>
      <c r="KJ39" s="38"/>
      <c r="KK39" s="38"/>
      <c r="KL39" s="38"/>
      <c r="KM39" s="38"/>
      <c r="KN39" s="38"/>
      <c r="KO39" s="38"/>
      <c r="KP39" s="38"/>
      <c r="KQ39" s="38"/>
      <c r="KR39" s="38"/>
      <c r="KS39" s="38"/>
      <c r="KT39" s="38"/>
      <c r="KU39" s="38"/>
      <c r="KV39" s="38"/>
      <c r="KW39" s="38"/>
      <c r="KX39" s="38"/>
      <c r="KY39" s="38"/>
      <c r="KZ39" s="38"/>
      <c r="LA39" s="38"/>
      <c r="LB39" s="38"/>
      <c r="LC39" s="38"/>
      <c r="LD39" s="38"/>
      <c r="LE39" s="38"/>
      <c r="LF39" s="38"/>
      <c r="LG39" s="38"/>
      <c r="LH39" s="38"/>
      <c r="LI39" s="38"/>
      <c r="LJ39" s="38"/>
      <c r="LK39" s="38"/>
      <c r="LL39" s="38"/>
      <c r="LM39" s="38"/>
      <c r="LN39" s="38"/>
      <c r="LO39" s="38"/>
      <c r="LP39" s="38"/>
      <c r="LQ39" s="38"/>
      <c r="LR39" s="38"/>
      <c r="LS39" s="38"/>
      <c r="LT39" s="38"/>
      <c r="LU39" s="38"/>
      <c r="LV39" s="38"/>
      <c r="LW39" s="38"/>
      <c r="LX39" s="38"/>
      <c r="LY39" s="38"/>
      <c r="LZ39" s="38"/>
      <c r="MA39" s="38"/>
      <c r="MB39" s="38"/>
      <c r="MC39" s="38"/>
      <c r="MD39" s="38"/>
      <c r="ME39" s="38"/>
      <c r="MF39" s="38"/>
      <c r="MG39" s="38"/>
      <c r="MH39" s="38"/>
      <c r="MI39" s="38"/>
      <c r="MJ39" s="38"/>
      <c r="MK39" s="38"/>
      <c r="ML39" s="38"/>
      <c r="MM39" s="38"/>
      <c r="MN39" s="38"/>
      <c r="MO39" s="38"/>
      <c r="MP39" s="38"/>
      <c r="MQ39" s="38"/>
      <c r="MR39" s="38"/>
      <c r="MS39" s="38"/>
      <c r="MT39" s="38"/>
      <c r="MU39" s="38"/>
      <c r="MV39" s="38"/>
      <c r="MW39" s="38"/>
      <c r="MX39" s="38"/>
      <c r="MY39" s="38"/>
      <c r="MZ39" s="38"/>
      <c r="NA39" s="38"/>
      <c r="NB39" s="38"/>
      <c r="NC39" s="38"/>
      <c r="ND39" s="38"/>
      <c r="NE39" s="38"/>
      <c r="NF39" s="38"/>
      <c r="NG39" s="38"/>
      <c r="NH39" s="38"/>
      <c r="NI39" s="38"/>
      <c r="NJ39" s="38"/>
      <c r="NK39" s="38"/>
      <c r="NL39" s="38"/>
      <c r="NM39" s="38"/>
      <c r="NN39" s="38"/>
      <c r="NO39" s="38"/>
      <c r="NP39" s="38"/>
      <c r="NQ39" s="38"/>
      <c r="NR39" s="38"/>
      <c r="NS39" s="38"/>
      <c r="NT39" s="38"/>
      <c r="NU39" s="38"/>
      <c r="NV39" s="38"/>
      <c r="NW39" s="38"/>
      <c r="NX39" s="38"/>
      <c r="NY39" s="38"/>
      <c r="NZ39" s="38"/>
      <c r="OA39" s="38"/>
      <c r="OB39" s="38"/>
      <c r="OC39" s="38"/>
      <c r="OD39" s="38"/>
      <c r="OE39" s="38"/>
      <c r="OF39" s="38"/>
      <c r="OG39" s="38"/>
      <c r="OH39" s="38"/>
      <c r="OI39" s="38"/>
      <c r="OJ39" s="38"/>
      <c r="OK39" s="38"/>
      <c r="OL39" s="38"/>
      <c r="OM39" s="38"/>
      <c r="ON39" s="38"/>
      <c r="OO39" s="38"/>
      <c r="OP39" s="38"/>
      <c r="OQ39" s="38"/>
      <c r="OR39" s="38"/>
      <c r="OS39" s="38"/>
      <c r="OT39" s="38"/>
      <c r="OU39" s="38"/>
      <c r="OV39" s="38"/>
      <c r="OW39" s="38"/>
      <c r="OX39" s="38"/>
      <c r="OY39" s="38"/>
      <c r="OZ39" s="38"/>
      <c r="PA39" s="38"/>
      <c r="PB39" s="38"/>
      <c r="PC39" s="38"/>
      <c r="PD39" s="38"/>
      <c r="PE39" s="38"/>
      <c r="PF39" s="38"/>
      <c r="PG39" s="38"/>
      <c r="PH39" s="38"/>
      <c r="PI39" s="38"/>
      <c r="PJ39" s="38"/>
      <c r="PK39" s="38"/>
      <c r="PL39" s="38"/>
      <c r="PM39" s="38"/>
      <c r="PN39" s="38"/>
      <c r="PO39" s="38"/>
      <c r="PP39" s="38"/>
      <c r="PQ39" s="38"/>
      <c r="PR39" s="38"/>
      <c r="PS39" s="38"/>
      <c r="PT39" s="38"/>
      <c r="PU39" s="38"/>
      <c r="PV39" s="38"/>
      <c r="PW39" s="38"/>
      <c r="PX39" s="38"/>
      <c r="PY39" s="38"/>
      <c r="PZ39" s="38"/>
      <c r="QA39" s="38"/>
      <c r="QB39" s="38"/>
      <c r="QC39" s="38"/>
      <c r="QD39" s="38"/>
      <c r="QE39" s="38"/>
      <c r="QF39" s="38"/>
      <c r="QG39" s="38"/>
      <c r="QH39" s="38"/>
      <c r="QI39" s="38"/>
      <c r="QJ39" s="38"/>
      <c r="QK39" s="38"/>
      <c r="QL39" s="38"/>
      <c r="QM39" s="38"/>
      <c r="QN39" s="38"/>
      <c r="QO39" s="38"/>
      <c r="QP39" s="38"/>
      <c r="QQ39" s="38"/>
      <c r="QR39" s="38"/>
      <c r="QS39" s="38"/>
      <c r="QT39" s="38"/>
      <c r="QU39" s="38"/>
      <c r="QV39" s="38"/>
      <c r="QW39" s="38"/>
      <c r="QX39" s="38"/>
      <c r="QY39" s="38"/>
      <c r="QZ39" s="38"/>
      <c r="RA39" s="38"/>
      <c r="RB39" s="38"/>
      <c r="RC39" s="38"/>
      <c r="RD39" s="38"/>
      <c r="RE39" s="38"/>
      <c r="RF39" s="38"/>
      <c r="RG39" s="38"/>
      <c r="RH39" s="38"/>
      <c r="RI39" s="38"/>
      <c r="RJ39" s="38"/>
      <c r="RK39" s="38"/>
      <c r="RL39" s="38"/>
      <c r="RM39" s="38"/>
      <c r="RN39" s="38"/>
      <c r="RO39" s="38"/>
      <c r="RP39" s="38"/>
      <c r="RQ39" s="38"/>
      <c r="RR39" s="38"/>
      <c r="RS39" s="38"/>
      <c r="RT39" s="38"/>
      <c r="RU39" s="38"/>
      <c r="RV39" s="38"/>
      <c r="RW39" s="38"/>
      <c r="RX39" s="38"/>
      <c r="RY39" s="38"/>
      <c r="RZ39" s="38"/>
      <c r="SA39" s="38"/>
      <c r="SB39" s="38"/>
      <c r="SC39" s="38"/>
      <c r="SD39" s="38"/>
      <c r="SE39" s="38"/>
      <c r="SF39" s="38"/>
      <c r="SG39" s="38"/>
      <c r="SH39" s="38"/>
      <c r="SI39" s="38"/>
      <c r="SJ39" s="38"/>
      <c r="SK39" s="38"/>
      <c r="SL39" s="38"/>
      <c r="SM39" s="38"/>
      <c r="SN39" s="38"/>
      <c r="SO39" s="38"/>
      <c r="SP39" s="38"/>
      <c r="SQ39" s="38"/>
      <c r="SR39" s="38"/>
      <c r="SS39" s="38"/>
      <c r="ST39" s="38"/>
      <c r="SU39" s="38"/>
      <c r="SV39" s="38"/>
      <c r="SW39" s="38"/>
      <c r="SX39" s="38"/>
      <c r="SY39" s="38"/>
      <c r="SZ39" s="38"/>
      <c r="TA39" s="38"/>
      <c r="TB39" s="38"/>
      <c r="TC39" s="38"/>
      <c r="TD39" s="38"/>
      <c r="TE39" s="38"/>
      <c r="TF39" s="38"/>
      <c r="TG39" s="38"/>
      <c r="TH39" s="38"/>
      <c r="TI39" s="38"/>
      <c r="TJ39" s="38"/>
      <c r="TK39" s="38"/>
      <c r="TL39" s="38"/>
      <c r="TM39" s="38"/>
      <c r="TN39" s="38"/>
      <c r="TO39" s="38"/>
      <c r="TP39" s="38"/>
      <c r="TQ39" s="38"/>
      <c r="TR39" s="38"/>
      <c r="TS39" s="38"/>
      <c r="TT39" s="38"/>
      <c r="TU39" s="38"/>
      <c r="TV39" s="38"/>
      <c r="TW39" s="38"/>
      <c r="TX39" s="38"/>
      <c r="TY39" s="38"/>
      <c r="TZ39" s="38"/>
      <c r="UA39" s="38"/>
      <c r="UB39" s="38"/>
      <c r="UC39" s="38"/>
      <c r="UD39" s="38"/>
      <c r="UE39" s="38"/>
      <c r="UF39" s="38"/>
      <c r="UG39" s="38"/>
      <c r="UH39" s="38"/>
      <c r="UI39" s="38"/>
      <c r="UJ39" s="38"/>
      <c r="UK39" s="38"/>
      <c r="UL39" s="38"/>
      <c r="UM39" s="38"/>
      <c r="UN39" s="38"/>
      <c r="UO39" s="38"/>
      <c r="UP39" s="38"/>
      <c r="UQ39" s="38"/>
      <c r="UR39" s="38"/>
      <c r="US39" s="38"/>
      <c r="UT39" s="38"/>
      <c r="UU39" s="38"/>
      <c r="UV39" s="38"/>
      <c r="UW39" s="38"/>
      <c r="UX39" s="38"/>
      <c r="UY39" s="38"/>
      <c r="UZ39" s="38"/>
      <c r="VA39" s="38"/>
      <c r="VB39" s="38"/>
      <c r="VC39" s="38"/>
      <c r="VD39" s="38"/>
      <c r="VE39" s="38"/>
      <c r="VF39" s="38"/>
      <c r="VG39" s="38"/>
      <c r="VH39" s="38"/>
      <c r="VI39" s="38"/>
      <c r="VJ39" s="38"/>
      <c r="VK39" s="38"/>
      <c r="VL39" s="38"/>
      <c r="VM39" s="38"/>
      <c r="VN39" s="38"/>
      <c r="VO39" s="38"/>
      <c r="VP39" s="38"/>
      <c r="VQ39" s="38"/>
      <c r="VR39" s="38"/>
      <c r="VS39" s="38"/>
      <c r="VT39" s="38"/>
      <c r="VU39" s="38"/>
      <c r="VV39" s="38"/>
      <c r="VW39" s="38"/>
      <c r="VX39" s="38"/>
      <c r="VY39" s="38"/>
      <c r="VZ39" s="38"/>
      <c r="WA39" s="38"/>
      <c r="WB39" s="38"/>
      <c r="WC39" s="38"/>
      <c r="WD39" s="38"/>
      <c r="WE39" s="38"/>
      <c r="WF39" s="38"/>
      <c r="WG39" s="38"/>
      <c r="WH39" s="38"/>
      <c r="WI39" s="38"/>
      <c r="WJ39" s="38"/>
      <c r="WK39" s="38"/>
      <c r="WL39" s="38"/>
      <c r="WM39" s="38"/>
      <c r="WN39" s="38"/>
      <c r="WO39" s="38"/>
      <c r="WP39" s="38"/>
      <c r="WQ39" s="38"/>
      <c r="WR39" s="38"/>
      <c r="WS39" s="38"/>
      <c r="WT39" s="38"/>
      <c r="WU39" s="38"/>
      <c r="WV39" s="38"/>
      <c r="WW39" s="38"/>
      <c r="WX39" s="38"/>
      <c r="WY39" s="38"/>
      <c r="WZ39" s="38"/>
      <c r="XA39" s="38"/>
      <c r="XB39" s="38"/>
      <c r="XC39" s="38"/>
      <c r="XD39" s="38"/>
      <c r="XE39" s="38"/>
      <c r="XF39" s="38"/>
      <c r="XG39" s="38"/>
      <c r="XH39" s="38"/>
      <c r="XI39" s="38"/>
      <c r="XJ39" s="38"/>
      <c r="XK39" s="38"/>
      <c r="XL39" s="38"/>
      <c r="XM39" s="38"/>
      <c r="XN39" s="38"/>
      <c r="XO39" s="38"/>
      <c r="XP39" s="38"/>
      <c r="XQ39" s="38"/>
      <c r="XR39" s="38"/>
      <c r="XS39" s="38"/>
      <c r="XT39" s="38"/>
      <c r="XU39" s="38"/>
      <c r="XV39" s="38"/>
      <c r="XW39" s="38"/>
      <c r="XX39" s="38"/>
      <c r="XY39" s="38"/>
      <c r="XZ39" s="38"/>
      <c r="YA39" s="38"/>
      <c r="YB39" s="38"/>
      <c r="YC39" s="38"/>
      <c r="YD39" s="38"/>
      <c r="YE39" s="38"/>
      <c r="YF39" s="38"/>
      <c r="YG39" s="38"/>
      <c r="YH39" s="38"/>
      <c r="YI39" s="38"/>
      <c r="YJ39" s="38"/>
      <c r="YK39" s="38"/>
      <c r="YL39" s="38"/>
      <c r="YM39" s="38"/>
      <c r="YN39" s="38"/>
      <c r="YO39" s="38"/>
      <c r="YP39" s="38"/>
      <c r="YQ39" s="38"/>
      <c r="YR39" s="38"/>
      <c r="YS39" s="38"/>
      <c r="YT39" s="38"/>
      <c r="YU39" s="38"/>
      <c r="YV39" s="38"/>
      <c r="YW39" s="38"/>
      <c r="YX39" s="38"/>
      <c r="YY39" s="38"/>
      <c r="YZ39" s="38"/>
      <c r="ZA39" s="38"/>
      <c r="ZB39" s="38"/>
      <c r="ZC39" s="38"/>
      <c r="ZD39" s="38"/>
      <c r="ZE39" s="38"/>
      <c r="ZF39" s="38"/>
      <c r="ZG39" s="38"/>
      <c r="ZH39" s="38"/>
      <c r="ZI39" s="38"/>
      <c r="ZJ39" s="38"/>
      <c r="ZK39" s="38"/>
      <c r="ZL39" s="38"/>
      <c r="ZM39" s="38"/>
      <c r="ZN39" s="38"/>
      <c r="ZO39" s="38"/>
      <c r="ZP39" s="38"/>
      <c r="ZQ39" s="38"/>
      <c r="ZR39" s="38"/>
      <c r="ZS39" s="38"/>
      <c r="ZT39" s="38"/>
      <c r="ZU39" s="38"/>
      <c r="ZV39" s="38"/>
      <c r="ZW39" s="38"/>
      <c r="ZX39" s="38"/>
      <c r="ZY39" s="38"/>
      <c r="ZZ39" s="38"/>
      <c r="AAA39" s="38"/>
      <c r="AAB39" s="38"/>
      <c r="AAC39" s="38"/>
      <c r="AAD39" s="38"/>
      <c r="AAE39" s="38"/>
      <c r="AAF39" s="38"/>
      <c r="AAG39" s="38"/>
      <c r="AAH39" s="38"/>
      <c r="AAI39" s="38"/>
      <c r="AAJ39" s="38"/>
      <c r="AAK39" s="38"/>
      <c r="AAL39" s="38"/>
      <c r="AAM39" s="38"/>
      <c r="AAN39" s="38"/>
      <c r="AAO39" s="38"/>
      <c r="AAP39" s="38"/>
      <c r="AAQ39" s="38"/>
      <c r="AAR39" s="38"/>
      <c r="AAS39" s="38"/>
      <c r="AAT39" s="38"/>
      <c r="AAU39" s="38"/>
      <c r="AAV39" s="38"/>
      <c r="AAW39" s="38"/>
      <c r="AAX39" s="38"/>
      <c r="AAY39" s="38"/>
      <c r="AAZ39" s="38"/>
      <c r="ABA39" s="38"/>
      <c r="ABB39" s="38"/>
      <c r="ABC39" s="38"/>
      <c r="ABD39" s="38"/>
      <c r="ABE39" s="38"/>
      <c r="ABF39" s="38"/>
      <c r="ABG39" s="38"/>
      <c r="ABH39" s="38"/>
      <c r="ABI39" s="38"/>
      <c r="ABJ39" s="38"/>
      <c r="ABK39" s="38"/>
      <c r="ABL39" s="38"/>
      <c r="ABM39" s="38"/>
      <c r="ABN39" s="38"/>
      <c r="ABO39" s="38"/>
      <c r="ABP39" s="38"/>
      <c r="ABQ39" s="38"/>
      <c r="ABR39" s="38"/>
      <c r="ABS39" s="38"/>
      <c r="ABT39" s="38"/>
      <c r="ABU39" s="38"/>
      <c r="ABV39" s="38"/>
      <c r="ABW39" s="38"/>
      <c r="ABX39" s="38"/>
      <c r="ABY39" s="38"/>
      <c r="ABZ39" s="38"/>
      <c r="ACA39" s="38"/>
      <c r="ACB39" s="38"/>
      <c r="ACC39" s="38"/>
      <c r="ACD39" s="38"/>
      <c r="ACE39" s="38"/>
      <c r="ACF39" s="38"/>
      <c r="ACG39" s="38"/>
      <c r="ACH39" s="38"/>
      <c r="ACI39" s="38"/>
      <c r="ACJ39" s="38"/>
      <c r="ACK39" s="38"/>
      <c r="ACL39" s="38"/>
      <c r="ACM39" s="38"/>
      <c r="ACN39" s="38"/>
      <c r="ACO39" s="38"/>
      <c r="ACP39" s="38"/>
      <c r="ACQ39" s="38"/>
      <c r="ACR39" s="38"/>
      <c r="ACS39" s="38"/>
      <c r="ACT39" s="38"/>
      <c r="ACU39" s="38"/>
      <c r="ACV39" s="38"/>
      <c r="ACW39" s="38"/>
      <c r="ACX39" s="38"/>
      <c r="ACY39" s="38"/>
      <c r="ACZ39" s="38"/>
      <c r="ADA39" s="38"/>
      <c r="ADB39" s="38"/>
      <c r="ADC39" s="38"/>
      <c r="ADD39" s="38"/>
      <c r="ADE39" s="38"/>
      <c r="ADF39" s="38"/>
      <c r="ADG39" s="38"/>
      <c r="ADH39" s="38"/>
      <c r="ADI39" s="38"/>
      <c r="ADJ39" s="38"/>
      <c r="ADK39" s="38"/>
      <c r="ADL39" s="38"/>
      <c r="ADM39" s="38"/>
      <c r="ADN39" s="38"/>
      <c r="ADO39" s="38"/>
      <c r="ADP39" s="38"/>
      <c r="ADQ39" s="38"/>
      <c r="ADR39" s="38"/>
      <c r="ADS39" s="38"/>
      <c r="ADT39" s="38"/>
      <c r="ADU39" s="38"/>
      <c r="ADV39" s="38"/>
      <c r="ADW39" s="38"/>
      <c r="ADX39" s="38"/>
      <c r="ADY39" s="38"/>
      <c r="ADZ39" s="38"/>
      <c r="AEA39" s="38"/>
      <c r="AEB39" s="38"/>
      <c r="AEC39" s="38"/>
      <c r="AED39" s="38"/>
      <c r="AEE39" s="38"/>
      <c r="AEF39" s="38"/>
      <c r="AEG39" s="38"/>
      <c r="AEH39" s="38"/>
      <c r="AEI39" s="38"/>
      <c r="AEJ39" s="38"/>
      <c r="AEK39" s="38"/>
      <c r="AEL39" s="38"/>
      <c r="AEM39" s="38"/>
      <c r="AEN39" s="38"/>
      <c r="AEO39" s="38"/>
      <c r="AEP39" s="38"/>
      <c r="AEQ39" s="38"/>
      <c r="AER39" s="38"/>
      <c r="AES39" s="38"/>
      <c r="AET39" s="38"/>
      <c r="AEU39" s="38"/>
      <c r="AEV39" s="38"/>
      <c r="AEW39" s="38"/>
      <c r="AEX39" s="38"/>
      <c r="AEY39" s="38"/>
      <c r="AEZ39" s="38"/>
      <c r="AFA39" s="38"/>
      <c r="AFB39" s="38"/>
      <c r="AFC39" s="38"/>
      <c r="AFD39" s="38"/>
      <c r="AFE39" s="38"/>
      <c r="AFF39" s="38"/>
      <c r="AFG39" s="38"/>
      <c r="AFH39" s="38"/>
      <c r="AFI39" s="38"/>
      <c r="AFJ39" s="38"/>
      <c r="AFK39" s="38"/>
      <c r="AFL39" s="38"/>
      <c r="AFM39" s="38"/>
      <c r="AFN39" s="38"/>
      <c r="AFO39" s="38"/>
      <c r="AFP39" s="38"/>
      <c r="AFQ39" s="38"/>
      <c r="AFR39" s="38"/>
      <c r="AFS39" s="38"/>
      <c r="AFT39" s="38"/>
      <c r="AFU39" s="38"/>
      <c r="AFV39" s="38"/>
      <c r="AFW39" s="38"/>
      <c r="AFX39" s="38"/>
      <c r="AFY39" s="38"/>
      <c r="AFZ39" s="38"/>
      <c r="AGA39" s="38"/>
      <c r="AGB39" s="38"/>
      <c r="AGC39" s="38"/>
      <c r="AGD39" s="38"/>
      <c r="AGE39" s="38"/>
      <c r="AGF39" s="38"/>
      <c r="AGG39" s="38"/>
      <c r="AGH39" s="38"/>
      <c r="AGI39" s="38"/>
      <c r="AGJ39" s="38"/>
      <c r="AGK39" s="38"/>
      <c r="AGL39" s="38"/>
      <c r="AGM39" s="38"/>
      <c r="AGN39" s="38"/>
      <c r="AGO39" s="38"/>
      <c r="AGP39" s="38"/>
      <c r="AGQ39" s="38"/>
      <c r="AGR39" s="38"/>
      <c r="AGS39" s="38"/>
      <c r="AGT39" s="38"/>
      <c r="AGU39" s="38"/>
      <c r="AGV39" s="38"/>
      <c r="AGW39" s="38"/>
      <c r="AGX39" s="38"/>
      <c r="AGY39" s="38"/>
      <c r="AGZ39" s="38"/>
      <c r="AHA39" s="38"/>
      <c r="AHB39" s="38"/>
      <c r="AHC39" s="38"/>
      <c r="AHD39" s="38"/>
      <c r="AHE39" s="38"/>
      <c r="AHF39" s="38"/>
      <c r="AHG39" s="38"/>
      <c r="AHH39" s="38"/>
      <c r="AHI39" s="38"/>
      <c r="AHJ39" s="38"/>
      <c r="AHK39" s="38"/>
      <c r="AHL39" s="38"/>
      <c r="AHM39" s="38"/>
      <c r="AHN39" s="38"/>
      <c r="AHO39" s="38"/>
      <c r="AHP39" s="38"/>
      <c r="AHQ39" s="38"/>
      <c r="AHR39" s="38"/>
      <c r="AHS39" s="38"/>
      <c r="AHT39" s="38"/>
      <c r="AHU39" s="38"/>
      <c r="AHV39" s="38"/>
    </row>
    <row r="40" spans="1:906" s="27" customFormat="1" x14ac:dyDescent="0.35">
      <c r="A40" s="83">
        <v>36</v>
      </c>
      <c r="B40" s="108" t="s">
        <v>71</v>
      </c>
      <c r="C40" s="109" t="s">
        <v>70</v>
      </c>
      <c r="D40" s="109" t="s">
        <v>59</v>
      </c>
      <c r="E40" s="125">
        <v>7.1</v>
      </c>
      <c r="F40" s="125">
        <v>7.95</v>
      </c>
      <c r="G40" s="125">
        <v>7.75</v>
      </c>
      <c r="H40" s="125">
        <v>8</v>
      </c>
      <c r="I40" s="37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38"/>
      <c r="FH40" s="38"/>
      <c r="FI40" s="38"/>
      <c r="FJ40" s="38"/>
      <c r="FK40" s="38"/>
      <c r="FL40" s="38"/>
      <c r="FM40" s="38"/>
      <c r="FN40" s="38"/>
      <c r="FO40" s="38"/>
      <c r="FP40" s="38"/>
      <c r="FQ40" s="38"/>
      <c r="FR40" s="38"/>
      <c r="FS40" s="38"/>
      <c r="FT40" s="38"/>
      <c r="FU40" s="38"/>
      <c r="FV40" s="38"/>
      <c r="FW40" s="38"/>
      <c r="FX40" s="38"/>
      <c r="FY40" s="38"/>
      <c r="FZ40" s="38"/>
      <c r="GA40" s="38"/>
      <c r="GB40" s="38"/>
      <c r="GC40" s="38"/>
      <c r="GD40" s="38"/>
      <c r="GE40" s="38"/>
      <c r="GF40" s="38"/>
      <c r="GG40" s="38"/>
      <c r="GH40" s="38"/>
      <c r="GI40" s="38"/>
      <c r="GJ40" s="38"/>
      <c r="GK40" s="38"/>
      <c r="GL40" s="38"/>
      <c r="GM40" s="38"/>
      <c r="GN40" s="38"/>
      <c r="GO40" s="38"/>
      <c r="GP40" s="38"/>
      <c r="GQ40" s="38"/>
      <c r="GR40" s="38"/>
      <c r="GS40" s="38"/>
      <c r="GT40" s="38"/>
      <c r="GU40" s="38"/>
      <c r="GV40" s="38"/>
      <c r="GW40" s="38"/>
      <c r="GX40" s="38"/>
      <c r="GY40" s="38"/>
      <c r="GZ40" s="38"/>
      <c r="HA40" s="38"/>
      <c r="HB40" s="38"/>
      <c r="HC40" s="38"/>
      <c r="HD40" s="38"/>
      <c r="HE40" s="38"/>
      <c r="HF40" s="38"/>
      <c r="HG40" s="38"/>
      <c r="HH40" s="38"/>
      <c r="HI40" s="38"/>
      <c r="HJ40" s="38"/>
      <c r="HK40" s="38"/>
      <c r="HL40" s="38"/>
      <c r="HM40" s="38"/>
      <c r="HN40" s="38"/>
      <c r="HO40" s="38"/>
      <c r="HP40" s="38"/>
      <c r="HQ40" s="38"/>
      <c r="HR40" s="38"/>
      <c r="HS40" s="38"/>
      <c r="HT40" s="38"/>
      <c r="HU40" s="38"/>
      <c r="HV40" s="38"/>
      <c r="HW40" s="38"/>
      <c r="HX40" s="38"/>
      <c r="HY40" s="38"/>
      <c r="HZ40" s="38"/>
      <c r="IA40" s="38"/>
      <c r="IB40" s="38"/>
      <c r="IC40" s="38"/>
      <c r="ID40" s="38"/>
      <c r="IE40" s="38"/>
      <c r="IF40" s="38"/>
      <c r="IG40" s="38"/>
      <c r="IH40" s="38"/>
      <c r="II40" s="38"/>
      <c r="IJ40" s="38"/>
      <c r="IK40" s="38"/>
      <c r="IL40" s="38"/>
      <c r="IM40" s="38"/>
      <c r="IN40" s="38"/>
      <c r="IO40" s="38"/>
      <c r="IP40" s="38"/>
      <c r="IQ40" s="38"/>
      <c r="IR40" s="38"/>
      <c r="IS40" s="38"/>
      <c r="IT40" s="38"/>
      <c r="IU40" s="38"/>
      <c r="IV40" s="38"/>
      <c r="IW40" s="38"/>
      <c r="IX40" s="38"/>
      <c r="IY40" s="38"/>
      <c r="IZ40" s="38"/>
      <c r="JA40" s="38"/>
      <c r="JB40" s="38"/>
      <c r="JC40" s="38"/>
      <c r="JD40" s="38"/>
      <c r="JE40" s="38"/>
      <c r="JF40" s="38"/>
      <c r="JG40" s="38"/>
      <c r="JH40" s="38"/>
      <c r="JI40" s="38"/>
      <c r="JJ40" s="38"/>
      <c r="JK40" s="38"/>
      <c r="JL40" s="38"/>
      <c r="JM40" s="38"/>
      <c r="JN40" s="38"/>
      <c r="JO40" s="38"/>
      <c r="JP40" s="38"/>
      <c r="JQ40" s="38"/>
      <c r="JR40" s="38"/>
      <c r="JS40" s="38"/>
      <c r="JT40" s="38"/>
      <c r="JU40" s="38"/>
      <c r="JV40" s="38"/>
      <c r="JW40" s="38"/>
      <c r="JX40" s="38"/>
      <c r="JY40" s="38"/>
      <c r="JZ40" s="38"/>
      <c r="KA40" s="38"/>
      <c r="KB40" s="38"/>
      <c r="KC40" s="38"/>
      <c r="KD40" s="38"/>
      <c r="KE40" s="38"/>
      <c r="KF40" s="38"/>
      <c r="KG40" s="38"/>
      <c r="KH40" s="38"/>
      <c r="KI40" s="38"/>
      <c r="KJ40" s="38"/>
      <c r="KK40" s="38"/>
      <c r="KL40" s="38"/>
      <c r="KM40" s="38"/>
      <c r="KN40" s="38"/>
      <c r="KO40" s="38"/>
      <c r="KP40" s="38"/>
      <c r="KQ40" s="38"/>
      <c r="KR40" s="38"/>
      <c r="KS40" s="38"/>
      <c r="KT40" s="38"/>
      <c r="KU40" s="38"/>
      <c r="KV40" s="38"/>
      <c r="KW40" s="38"/>
      <c r="KX40" s="38"/>
      <c r="KY40" s="38"/>
      <c r="KZ40" s="38"/>
      <c r="LA40" s="38"/>
      <c r="LB40" s="38"/>
      <c r="LC40" s="38"/>
      <c r="LD40" s="38"/>
      <c r="LE40" s="38"/>
      <c r="LF40" s="38"/>
      <c r="LG40" s="38"/>
      <c r="LH40" s="38"/>
      <c r="LI40" s="38"/>
      <c r="LJ40" s="38"/>
      <c r="LK40" s="38"/>
      <c r="LL40" s="38"/>
      <c r="LM40" s="38"/>
      <c r="LN40" s="38"/>
      <c r="LO40" s="38"/>
      <c r="LP40" s="38"/>
      <c r="LQ40" s="38"/>
      <c r="LR40" s="38"/>
      <c r="LS40" s="38"/>
      <c r="LT40" s="38"/>
      <c r="LU40" s="38"/>
      <c r="LV40" s="38"/>
      <c r="LW40" s="38"/>
      <c r="LX40" s="38"/>
      <c r="LY40" s="38"/>
      <c r="LZ40" s="38"/>
      <c r="MA40" s="38"/>
      <c r="MB40" s="38"/>
      <c r="MC40" s="38"/>
      <c r="MD40" s="38"/>
      <c r="ME40" s="38"/>
      <c r="MF40" s="38"/>
      <c r="MG40" s="38"/>
      <c r="MH40" s="38"/>
      <c r="MI40" s="38"/>
      <c r="MJ40" s="38"/>
      <c r="MK40" s="38"/>
      <c r="ML40" s="38"/>
      <c r="MM40" s="38"/>
      <c r="MN40" s="38"/>
      <c r="MO40" s="38"/>
      <c r="MP40" s="38"/>
      <c r="MQ40" s="38"/>
      <c r="MR40" s="38"/>
      <c r="MS40" s="38"/>
      <c r="MT40" s="38"/>
      <c r="MU40" s="38"/>
      <c r="MV40" s="38"/>
      <c r="MW40" s="38"/>
      <c r="MX40" s="38"/>
      <c r="MY40" s="38"/>
      <c r="MZ40" s="38"/>
      <c r="NA40" s="38"/>
      <c r="NB40" s="38"/>
      <c r="NC40" s="38"/>
      <c r="ND40" s="38"/>
      <c r="NE40" s="38"/>
      <c r="NF40" s="38"/>
      <c r="NG40" s="38"/>
      <c r="NH40" s="38"/>
      <c r="NI40" s="38"/>
      <c r="NJ40" s="38"/>
      <c r="NK40" s="38"/>
      <c r="NL40" s="38"/>
      <c r="NM40" s="38"/>
      <c r="NN40" s="38"/>
      <c r="NO40" s="38"/>
      <c r="NP40" s="38"/>
      <c r="NQ40" s="38"/>
      <c r="NR40" s="38"/>
      <c r="NS40" s="38"/>
      <c r="NT40" s="38"/>
      <c r="NU40" s="38"/>
      <c r="NV40" s="38"/>
      <c r="NW40" s="38"/>
      <c r="NX40" s="38"/>
      <c r="NY40" s="38"/>
      <c r="NZ40" s="38"/>
      <c r="OA40" s="38"/>
      <c r="OB40" s="38"/>
      <c r="OC40" s="38"/>
      <c r="OD40" s="38"/>
      <c r="OE40" s="38"/>
      <c r="OF40" s="38"/>
      <c r="OG40" s="38"/>
      <c r="OH40" s="38"/>
      <c r="OI40" s="38"/>
      <c r="OJ40" s="38"/>
      <c r="OK40" s="38"/>
      <c r="OL40" s="38"/>
      <c r="OM40" s="38"/>
      <c r="ON40" s="38"/>
      <c r="OO40" s="38"/>
      <c r="OP40" s="38"/>
      <c r="OQ40" s="38"/>
      <c r="OR40" s="38"/>
      <c r="OS40" s="38"/>
      <c r="OT40" s="38"/>
      <c r="OU40" s="38"/>
      <c r="OV40" s="38"/>
      <c r="OW40" s="38"/>
      <c r="OX40" s="38"/>
      <c r="OY40" s="38"/>
      <c r="OZ40" s="38"/>
      <c r="PA40" s="38"/>
      <c r="PB40" s="38"/>
      <c r="PC40" s="38"/>
      <c r="PD40" s="38"/>
      <c r="PE40" s="38"/>
      <c r="PF40" s="38"/>
      <c r="PG40" s="38"/>
      <c r="PH40" s="38"/>
      <c r="PI40" s="38"/>
      <c r="PJ40" s="38"/>
      <c r="PK40" s="38"/>
      <c r="PL40" s="38"/>
      <c r="PM40" s="38"/>
      <c r="PN40" s="38"/>
      <c r="PO40" s="38"/>
      <c r="PP40" s="38"/>
      <c r="PQ40" s="38"/>
      <c r="PR40" s="38"/>
      <c r="PS40" s="38"/>
      <c r="PT40" s="38"/>
      <c r="PU40" s="38"/>
      <c r="PV40" s="38"/>
      <c r="PW40" s="38"/>
      <c r="PX40" s="38"/>
      <c r="PY40" s="38"/>
      <c r="PZ40" s="38"/>
      <c r="QA40" s="38"/>
      <c r="QB40" s="38"/>
      <c r="QC40" s="38"/>
      <c r="QD40" s="38"/>
      <c r="QE40" s="38"/>
      <c r="QF40" s="38"/>
      <c r="QG40" s="38"/>
      <c r="QH40" s="38"/>
      <c r="QI40" s="38"/>
      <c r="QJ40" s="38"/>
      <c r="QK40" s="38"/>
      <c r="QL40" s="38"/>
      <c r="QM40" s="38"/>
      <c r="QN40" s="38"/>
      <c r="QO40" s="38"/>
      <c r="QP40" s="38"/>
      <c r="QQ40" s="38"/>
      <c r="QR40" s="38"/>
      <c r="QS40" s="38"/>
      <c r="QT40" s="38"/>
      <c r="QU40" s="38"/>
      <c r="QV40" s="38"/>
      <c r="QW40" s="38"/>
      <c r="QX40" s="38"/>
      <c r="QY40" s="38"/>
      <c r="QZ40" s="38"/>
      <c r="RA40" s="38"/>
      <c r="RB40" s="38"/>
      <c r="RC40" s="38"/>
      <c r="RD40" s="38"/>
      <c r="RE40" s="38"/>
      <c r="RF40" s="38"/>
      <c r="RG40" s="38"/>
      <c r="RH40" s="38"/>
      <c r="RI40" s="38"/>
      <c r="RJ40" s="38"/>
      <c r="RK40" s="38"/>
      <c r="RL40" s="38"/>
      <c r="RM40" s="38"/>
      <c r="RN40" s="38"/>
      <c r="RO40" s="38"/>
      <c r="RP40" s="38"/>
      <c r="RQ40" s="38"/>
      <c r="RR40" s="38"/>
      <c r="RS40" s="38"/>
      <c r="RT40" s="38"/>
      <c r="RU40" s="38"/>
      <c r="RV40" s="38"/>
      <c r="RW40" s="38"/>
      <c r="RX40" s="38"/>
      <c r="RY40" s="38"/>
      <c r="RZ40" s="38"/>
      <c r="SA40" s="38"/>
      <c r="SB40" s="38"/>
      <c r="SC40" s="38"/>
      <c r="SD40" s="38"/>
      <c r="SE40" s="38"/>
      <c r="SF40" s="38"/>
      <c r="SG40" s="38"/>
      <c r="SH40" s="38"/>
      <c r="SI40" s="38"/>
      <c r="SJ40" s="38"/>
      <c r="SK40" s="38"/>
      <c r="SL40" s="38"/>
      <c r="SM40" s="38"/>
      <c r="SN40" s="38"/>
      <c r="SO40" s="38"/>
      <c r="SP40" s="38"/>
      <c r="SQ40" s="38"/>
      <c r="SR40" s="38"/>
      <c r="SS40" s="38"/>
      <c r="ST40" s="38"/>
      <c r="SU40" s="38"/>
      <c r="SV40" s="38"/>
      <c r="SW40" s="38"/>
      <c r="SX40" s="38"/>
      <c r="SY40" s="38"/>
      <c r="SZ40" s="38"/>
      <c r="TA40" s="38"/>
      <c r="TB40" s="38"/>
      <c r="TC40" s="38"/>
      <c r="TD40" s="38"/>
      <c r="TE40" s="38"/>
      <c r="TF40" s="38"/>
      <c r="TG40" s="38"/>
      <c r="TH40" s="38"/>
      <c r="TI40" s="38"/>
      <c r="TJ40" s="38"/>
      <c r="TK40" s="38"/>
      <c r="TL40" s="38"/>
      <c r="TM40" s="38"/>
      <c r="TN40" s="38"/>
      <c r="TO40" s="38"/>
      <c r="TP40" s="38"/>
      <c r="TQ40" s="38"/>
      <c r="TR40" s="38"/>
      <c r="TS40" s="38"/>
      <c r="TT40" s="38"/>
      <c r="TU40" s="38"/>
      <c r="TV40" s="38"/>
      <c r="TW40" s="38"/>
      <c r="TX40" s="38"/>
      <c r="TY40" s="38"/>
      <c r="TZ40" s="38"/>
      <c r="UA40" s="38"/>
      <c r="UB40" s="38"/>
      <c r="UC40" s="38"/>
      <c r="UD40" s="38"/>
      <c r="UE40" s="38"/>
      <c r="UF40" s="38"/>
      <c r="UG40" s="38"/>
      <c r="UH40" s="38"/>
      <c r="UI40" s="38"/>
      <c r="UJ40" s="38"/>
      <c r="UK40" s="38"/>
      <c r="UL40" s="38"/>
      <c r="UM40" s="38"/>
      <c r="UN40" s="38"/>
      <c r="UO40" s="38"/>
      <c r="UP40" s="38"/>
      <c r="UQ40" s="38"/>
      <c r="UR40" s="38"/>
      <c r="US40" s="38"/>
      <c r="UT40" s="38"/>
      <c r="UU40" s="38"/>
      <c r="UV40" s="38"/>
      <c r="UW40" s="38"/>
      <c r="UX40" s="38"/>
      <c r="UY40" s="38"/>
      <c r="UZ40" s="38"/>
      <c r="VA40" s="38"/>
      <c r="VB40" s="38"/>
      <c r="VC40" s="38"/>
      <c r="VD40" s="38"/>
      <c r="VE40" s="38"/>
      <c r="VF40" s="38"/>
      <c r="VG40" s="38"/>
      <c r="VH40" s="38"/>
      <c r="VI40" s="38"/>
      <c r="VJ40" s="38"/>
      <c r="VK40" s="38"/>
      <c r="VL40" s="38"/>
      <c r="VM40" s="38"/>
      <c r="VN40" s="38"/>
      <c r="VO40" s="38"/>
      <c r="VP40" s="38"/>
      <c r="VQ40" s="38"/>
      <c r="VR40" s="38"/>
      <c r="VS40" s="38"/>
      <c r="VT40" s="38"/>
      <c r="VU40" s="38"/>
      <c r="VV40" s="38"/>
      <c r="VW40" s="38"/>
      <c r="VX40" s="38"/>
      <c r="VY40" s="38"/>
      <c r="VZ40" s="38"/>
      <c r="WA40" s="38"/>
      <c r="WB40" s="38"/>
      <c r="WC40" s="38"/>
      <c r="WD40" s="38"/>
      <c r="WE40" s="38"/>
      <c r="WF40" s="38"/>
      <c r="WG40" s="38"/>
      <c r="WH40" s="38"/>
      <c r="WI40" s="38"/>
      <c r="WJ40" s="38"/>
      <c r="WK40" s="38"/>
      <c r="WL40" s="38"/>
      <c r="WM40" s="38"/>
      <c r="WN40" s="38"/>
      <c r="WO40" s="38"/>
      <c r="WP40" s="38"/>
      <c r="WQ40" s="38"/>
      <c r="WR40" s="38"/>
      <c r="WS40" s="38"/>
      <c r="WT40" s="38"/>
      <c r="WU40" s="38"/>
      <c r="WV40" s="38"/>
      <c r="WW40" s="38"/>
      <c r="WX40" s="38"/>
      <c r="WY40" s="38"/>
      <c r="WZ40" s="38"/>
      <c r="XA40" s="38"/>
      <c r="XB40" s="38"/>
      <c r="XC40" s="38"/>
      <c r="XD40" s="38"/>
      <c r="XE40" s="38"/>
      <c r="XF40" s="38"/>
      <c r="XG40" s="38"/>
      <c r="XH40" s="38"/>
      <c r="XI40" s="38"/>
      <c r="XJ40" s="38"/>
      <c r="XK40" s="38"/>
      <c r="XL40" s="38"/>
      <c r="XM40" s="38"/>
      <c r="XN40" s="38"/>
      <c r="XO40" s="38"/>
      <c r="XP40" s="38"/>
      <c r="XQ40" s="38"/>
      <c r="XR40" s="38"/>
      <c r="XS40" s="38"/>
      <c r="XT40" s="38"/>
      <c r="XU40" s="38"/>
      <c r="XV40" s="38"/>
      <c r="XW40" s="38"/>
      <c r="XX40" s="38"/>
      <c r="XY40" s="38"/>
      <c r="XZ40" s="38"/>
      <c r="YA40" s="38"/>
      <c r="YB40" s="38"/>
      <c r="YC40" s="38"/>
      <c r="YD40" s="38"/>
      <c r="YE40" s="38"/>
      <c r="YF40" s="38"/>
      <c r="YG40" s="38"/>
      <c r="YH40" s="38"/>
      <c r="YI40" s="38"/>
      <c r="YJ40" s="38"/>
      <c r="YK40" s="38"/>
      <c r="YL40" s="38"/>
      <c r="YM40" s="38"/>
      <c r="YN40" s="38"/>
      <c r="YO40" s="38"/>
      <c r="YP40" s="38"/>
      <c r="YQ40" s="38"/>
      <c r="YR40" s="38"/>
      <c r="YS40" s="38"/>
      <c r="YT40" s="38"/>
      <c r="YU40" s="38"/>
      <c r="YV40" s="38"/>
      <c r="YW40" s="38"/>
      <c r="YX40" s="38"/>
      <c r="YY40" s="38"/>
      <c r="YZ40" s="38"/>
      <c r="ZA40" s="38"/>
      <c r="ZB40" s="38"/>
      <c r="ZC40" s="38"/>
      <c r="ZD40" s="38"/>
      <c r="ZE40" s="38"/>
      <c r="ZF40" s="38"/>
      <c r="ZG40" s="38"/>
      <c r="ZH40" s="38"/>
      <c r="ZI40" s="38"/>
      <c r="ZJ40" s="38"/>
      <c r="ZK40" s="38"/>
      <c r="ZL40" s="38"/>
      <c r="ZM40" s="38"/>
      <c r="ZN40" s="38"/>
      <c r="ZO40" s="38"/>
      <c r="ZP40" s="38"/>
      <c r="ZQ40" s="38"/>
      <c r="ZR40" s="38"/>
      <c r="ZS40" s="38"/>
      <c r="ZT40" s="38"/>
      <c r="ZU40" s="38"/>
      <c r="ZV40" s="38"/>
      <c r="ZW40" s="38"/>
      <c r="ZX40" s="38"/>
      <c r="ZY40" s="38"/>
      <c r="ZZ40" s="38"/>
      <c r="AAA40" s="38"/>
      <c r="AAB40" s="38"/>
      <c r="AAC40" s="38"/>
      <c r="AAD40" s="38"/>
      <c r="AAE40" s="38"/>
      <c r="AAF40" s="38"/>
      <c r="AAG40" s="38"/>
      <c r="AAH40" s="38"/>
      <c r="AAI40" s="38"/>
      <c r="AAJ40" s="38"/>
      <c r="AAK40" s="38"/>
      <c r="AAL40" s="38"/>
      <c r="AAM40" s="38"/>
      <c r="AAN40" s="38"/>
      <c r="AAO40" s="38"/>
      <c r="AAP40" s="38"/>
      <c r="AAQ40" s="38"/>
      <c r="AAR40" s="38"/>
      <c r="AAS40" s="38"/>
      <c r="AAT40" s="38"/>
      <c r="AAU40" s="38"/>
      <c r="AAV40" s="38"/>
      <c r="AAW40" s="38"/>
      <c r="AAX40" s="38"/>
      <c r="AAY40" s="38"/>
      <c r="AAZ40" s="38"/>
      <c r="ABA40" s="38"/>
      <c r="ABB40" s="38"/>
      <c r="ABC40" s="38"/>
      <c r="ABD40" s="38"/>
      <c r="ABE40" s="38"/>
      <c r="ABF40" s="38"/>
      <c r="ABG40" s="38"/>
      <c r="ABH40" s="38"/>
      <c r="ABI40" s="38"/>
      <c r="ABJ40" s="38"/>
      <c r="ABK40" s="38"/>
      <c r="ABL40" s="38"/>
      <c r="ABM40" s="38"/>
      <c r="ABN40" s="38"/>
      <c r="ABO40" s="38"/>
      <c r="ABP40" s="38"/>
      <c r="ABQ40" s="38"/>
      <c r="ABR40" s="38"/>
      <c r="ABS40" s="38"/>
      <c r="ABT40" s="38"/>
      <c r="ABU40" s="38"/>
      <c r="ABV40" s="38"/>
      <c r="ABW40" s="38"/>
      <c r="ABX40" s="38"/>
      <c r="ABY40" s="38"/>
      <c r="ABZ40" s="38"/>
      <c r="ACA40" s="38"/>
      <c r="ACB40" s="38"/>
      <c r="ACC40" s="38"/>
      <c r="ACD40" s="38"/>
      <c r="ACE40" s="38"/>
      <c r="ACF40" s="38"/>
      <c r="ACG40" s="38"/>
      <c r="ACH40" s="38"/>
      <c r="ACI40" s="38"/>
      <c r="ACJ40" s="38"/>
      <c r="ACK40" s="38"/>
      <c r="ACL40" s="38"/>
      <c r="ACM40" s="38"/>
      <c r="ACN40" s="38"/>
      <c r="ACO40" s="38"/>
      <c r="ACP40" s="38"/>
      <c r="ACQ40" s="38"/>
      <c r="ACR40" s="38"/>
      <c r="ACS40" s="38"/>
      <c r="ACT40" s="38"/>
      <c r="ACU40" s="38"/>
      <c r="ACV40" s="38"/>
      <c r="ACW40" s="38"/>
      <c r="ACX40" s="38"/>
      <c r="ACY40" s="38"/>
      <c r="ACZ40" s="38"/>
      <c r="ADA40" s="38"/>
      <c r="ADB40" s="38"/>
      <c r="ADC40" s="38"/>
      <c r="ADD40" s="38"/>
      <c r="ADE40" s="38"/>
      <c r="ADF40" s="38"/>
      <c r="ADG40" s="38"/>
      <c r="ADH40" s="38"/>
      <c r="ADI40" s="38"/>
      <c r="ADJ40" s="38"/>
      <c r="ADK40" s="38"/>
      <c r="ADL40" s="38"/>
      <c r="ADM40" s="38"/>
      <c r="ADN40" s="38"/>
      <c r="ADO40" s="38"/>
      <c r="ADP40" s="38"/>
      <c r="ADQ40" s="38"/>
      <c r="ADR40" s="38"/>
      <c r="ADS40" s="38"/>
      <c r="ADT40" s="38"/>
      <c r="ADU40" s="38"/>
      <c r="ADV40" s="38"/>
      <c r="ADW40" s="38"/>
      <c r="ADX40" s="38"/>
      <c r="ADY40" s="38"/>
      <c r="ADZ40" s="38"/>
      <c r="AEA40" s="38"/>
      <c r="AEB40" s="38"/>
      <c r="AEC40" s="38"/>
      <c r="AED40" s="38"/>
      <c r="AEE40" s="38"/>
      <c r="AEF40" s="38"/>
      <c r="AEG40" s="38"/>
      <c r="AEH40" s="38"/>
      <c r="AEI40" s="38"/>
      <c r="AEJ40" s="38"/>
      <c r="AEK40" s="38"/>
      <c r="AEL40" s="38"/>
      <c r="AEM40" s="38"/>
      <c r="AEN40" s="38"/>
      <c r="AEO40" s="38"/>
      <c r="AEP40" s="38"/>
      <c r="AEQ40" s="38"/>
      <c r="AER40" s="38"/>
      <c r="AES40" s="38"/>
      <c r="AET40" s="38"/>
      <c r="AEU40" s="38"/>
      <c r="AEV40" s="38"/>
      <c r="AEW40" s="38"/>
      <c r="AEX40" s="38"/>
      <c r="AEY40" s="38"/>
      <c r="AEZ40" s="38"/>
      <c r="AFA40" s="38"/>
      <c r="AFB40" s="38"/>
      <c r="AFC40" s="38"/>
      <c r="AFD40" s="38"/>
      <c r="AFE40" s="38"/>
      <c r="AFF40" s="38"/>
      <c r="AFG40" s="38"/>
      <c r="AFH40" s="38"/>
      <c r="AFI40" s="38"/>
      <c r="AFJ40" s="38"/>
      <c r="AFK40" s="38"/>
      <c r="AFL40" s="38"/>
      <c r="AFM40" s="38"/>
      <c r="AFN40" s="38"/>
      <c r="AFO40" s="38"/>
      <c r="AFP40" s="38"/>
      <c r="AFQ40" s="38"/>
      <c r="AFR40" s="38"/>
      <c r="AFS40" s="38"/>
      <c r="AFT40" s="38"/>
      <c r="AFU40" s="38"/>
      <c r="AFV40" s="38"/>
      <c r="AFW40" s="38"/>
      <c r="AFX40" s="38"/>
      <c r="AFY40" s="38"/>
      <c r="AFZ40" s="38"/>
      <c r="AGA40" s="38"/>
      <c r="AGB40" s="38"/>
      <c r="AGC40" s="38"/>
      <c r="AGD40" s="38"/>
      <c r="AGE40" s="38"/>
      <c r="AGF40" s="38"/>
      <c r="AGG40" s="38"/>
      <c r="AGH40" s="38"/>
      <c r="AGI40" s="38"/>
      <c r="AGJ40" s="38"/>
      <c r="AGK40" s="38"/>
      <c r="AGL40" s="38"/>
      <c r="AGM40" s="38"/>
      <c r="AGN40" s="38"/>
      <c r="AGO40" s="38"/>
      <c r="AGP40" s="38"/>
      <c r="AGQ40" s="38"/>
      <c r="AGR40" s="38"/>
      <c r="AGS40" s="38"/>
      <c r="AGT40" s="38"/>
      <c r="AGU40" s="38"/>
      <c r="AGV40" s="38"/>
      <c r="AGW40" s="38"/>
      <c r="AGX40" s="38"/>
      <c r="AGY40" s="38"/>
      <c r="AGZ40" s="38"/>
      <c r="AHA40" s="38"/>
      <c r="AHB40" s="38"/>
      <c r="AHC40" s="38"/>
      <c r="AHD40" s="38"/>
      <c r="AHE40" s="38"/>
      <c r="AHF40" s="38"/>
      <c r="AHG40" s="38"/>
      <c r="AHH40" s="38"/>
      <c r="AHI40" s="38"/>
      <c r="AHJ40" s="38"/>
      <c r="AHK40" s="38"/>
      <c r="AHL40" s="38"/>
      <c r="AHM40" s="38"/>
      <c r="AHN40" s="38"/>
      <c r="AHO40" s="38"/>
      <c r="AHP40" s="38"/>
      <c r="AHQ40" s="38"/>
      <c r="AHR40" s="38"/>
      <c r="AHS40" s="38"/>
      <c r="AHT40" s="38"/>
      <c r="AHU40" s="38"/>
      <c r="AHV40" s="38"/>
    </row>
    <row r="41" spans="1:906" s="27" customFormat="1" x14ac:dyDescent="0.35">
      <c r="A41" s="83">
        <v>37</v>
      </c>
      <c r="B41" s="108" t="s">
        <v>72</v>
      </c>
      <c r="C41" s="109" t="s">
        <v>73</v>
      </c>
      <c r="D41" s="109" t="s">
        <v>15</v>
      </c>
      <c r="E41" s="125">
        <v>10.5</v>
      </c>
      <c r="F41" s="125">
        <v>10.55</v>
      </c>
      <c r="G41" s="125">
        <v>10.95</v>
      </c>
      <c r="H41" s="125">
        <v>10.75</v>
      </c>
      <c r="I41" s="37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</row>
    <row r="42" spans="1:906" s="27" customFormat="1" x14ac:dyDescent="0.35">
      <c r="A42" s="83">
        <v>38</v>
      </c>
      <c r="B42" s="108" t="s">
        <v>74</v>
      </c>
      <c r="C42" s="109" t="s">
        <v>75</v>
      </c>
      <c r="D42" s="109" t="s">
        <v>76</v>
      </c>
      <c r="E42" s="125">
        <v>19.75</v>
      </c>
      <c r="F42" s="125">
        <v>18.95</v>
      </c>
      <c r="G42" s="125">
        <v>19.95</v>
      </c>
      <c r="H42" s="125">
        <v>19.75</v>
      </c>
      <c r="I42" s="37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  <c r="FK42" s="38"/>
      <c r="FL42" s="38"/>
      <c r="FM42" s="38"/>
      <c r="FN42" s="38"/>
      <c r="FO42" s="38"/>
      <c r="FP42" s="38"/>
      <c r="FQ42" s="38"/>
      <c r="FR42" s="38"/>
      <c r="FS42" s="38"/>
      <c r="FT42" s="38"/>
      <c r="FU42" s="38"/>
      <c r="FV42" s="38"/>
      <c r="FW42" s="38"/>
      <c r="FX42" s="38"/>
      <c r="FY42" s="38"/>
      <c r="FZ42" s="38"/>
      <c r="GA42" s="38"/>
      <c r="GB42" s="38"/>
      <c r="GC42" s="38"/>
      <c r="GD42" s="38"/>
      <c r="GE42" s="38"/>
      <c r="GF42" s="38"/>
      <c r="GG42" s="38"/>
      <c r="GH42" s="38"/>
      <c r="GI42" s="38"/>
      <c r="GJ42" s="38"/>
      <c r="GK42" s="38"/>
      <c r="GL42" s="38"/>
      <c r="GM42" s="38"/>
      <c r="GN42" s="38"/>
      <c r="GO42" s="38"/>
      <c r="GP42" s="38"/>
      <c r="GQ42" s="38"/>
      <c r="GR42" s="38"/>
      <c r="GS42" s="38"/>
      <c r="GT42" s="38"/>
      <c r="GU42" s="38"/>
      <c r="GV42" s="38"/>
      <c r="GW42" s="38"/>
      <c r="GX42" s="38"/>
      <c r="GY42" s="38"/>
      <c r="GZ42" s="38"/>
      <c r="HA42" s="38"/>
      <c r="HB42" s="38"/>
      <c r="HC42" s="38"/>
      <c r="HD42" s="38"/>
      <c r="HE42" s="38"/>
      <c r="HF42" s="38"/>
      <c r="HG42" s="38"/>
      <c r="HH42" s="38"/>
      <c r="HI42" s="38"/>
      <c r="HJ42" s="38"/>
      <c r="HK42" s="38"/>
      <c r="HL42" s="38"/>
      <c r="HM42" s="38"/>
      <c r="HN42" s="38"/>
      <c r="HO42" s="38"/>
      <c r="HP42" s="38"/>
      <c r="HQ42" s="38"/>
      <c r="HR42" s="38"/>
      <c r="HS42" s="38"/>
      <c r="HT42" s="38"/>
      <c r="HU42" s="38"/>
      <c r="HV42" s="38"/>
      <c r="HW42" s="38"/>
      <c r="HX42" s="38"/>
      <c r="HY42" s="38"/>
      <c r="HZ42" s="38"/>
      <c r="IA42" s="38"/>
      <c r="IB42" s="38"/>
      <c r="IC42" s="38"/>
      <c r="ID42" s="38"/>
      <c r="IE42" s="38"/>
      <c r="IF42" s="38"/>
      <c r="IG42" s="38"/>
      <c r="IH42" s="38"/>
      <c r="II42" s="38"/>
      <c r="IJ42" s="38"/>
      <c r="IK42" s="38"/>
      <c r="IL42" s="38"/>
      <c r="IM42" s="38"/>
      <c r="IN42" s="38"/>
      <c r="IO42" s="38"/>
      <c r="IP42" s="38"/>
      <c r="IQ42" s="38"/>
      <c r="IR42" s="38"/>
      <c r="IS42" s="38"/>
      <c r="IT42" s="38"/>
      <c r="IU42" s="38"/>
      <c r="IV42" s="38"/>
      <c r="IW42" s="38"/>
      <c r="IX42" s="38"/>
      <c r="IY42" s="38"/>
      <c r="IZ42" s="38"/>
      <c r="JA42" s="38"/>
      <c r="JB42" s="38"/>
      <c r="JC42" s="38"/>
      <c r="JD42" s="38"/>
      <c r="JE42" s="38"/>
      <c r="JF42" s="38"/>
      <c r="JG42" s="38"/>
      <c r="JH42" s="38"/>
      <c r="JI42" s="38"/>
      <c r="JJ42" s="38"/>
      <c r="JK42" s="38"/>
      <c r="JL42" s="38"/>
      <c r="JM42" s="38"/>
      <c r="JN42" s="38"/>
      <c r="JO42" s="38"/>
      <c r="JP42" s="38"/>
      <c r="JQ42" s="38"/>
      <c r="JR42" s="38"/>
      <c r="JS42" s="38"/>
      <c r="JT42" s="38"/>
      <c r="JU42" s="38"/>
      <c r="JV42" s="38"/>
      <c r="JW42" s="38"/>
      <c r="JX42" s="38"/>
      <c r="JY42" s="38"/>
      <c r="JZ42" s="38"/>
      <c r="KA42" s="38"/>
      <c r="KB42" s="38"/>
      <c r="KC42" s="38"/>
      <c r="KD42" s="38"/>
      <c r="KE42" s="38"/>
      <c r="KF42" s="38"/>
      <c r="KG42" s="38"/>
      <c r="KH42" s="38"/>
      <c r="KI42" s="38"/>
      <c r="KJ42" s="38"/>
      <c r="KK42" s="38"/>
      <c r="KL42" s="38"/>
      <c r="KM42" s="38"/>
      <c r="KN42" s="38"/>
      <c r="KO42" s="38"/>
      <c r="KP42" s="38"/>
      <c r="KQ42" s="38"/>
      <c r="KR42" s="38"/>
      <c r="KS42" s="38"/>
      <c r="KT42" s="38"/>
      <c r="KU42" s="38"/>
      <c r="KV42" s="38"/>
      <c r="KW42" s="38"/>
      <c r="KX42" s="38"/>
      <c r="KY42" s="38"/>
      <c r="KZ42" s="38"/>
      <c r="LA42" s="38"/>
      <c r="LB42" s="38"/>
      <c r="LC42" s="38"/>
      <c r="LD42" s="38"/>
      <c r="LE42" s="38"/>
      <c r="LF42" s="38"/>
      <c r="LG42" s="38"/>
      <c r="LH42" s="38"/>
      <c r="LI42" s="38"/>
      <c r="LJ42" s="38"/>
      <c r="LK42" s="38"/>
      <c r="LL42" s="38"/>
      <c r="LM42" s="38"/>
      <c r="LN42" s="38"/>
      <c r="LO42" s="38"/>
      <c r="LP42" s="38"/>
      <c r="LQ42" s="38"/>
      <c r="LR42" s="38"/>
      <c r="LS42" s="38"/>
      <c r="LT42" s="38"/>
      <c r="LU42" s="38"/>
      <c r="LV42" s="38"/>
      <c r="LW42" s="38"/>
      <c r="LX42" s="38"/>
      <c r="LY42" s="38"/>
      <c r="LZ42" s="38"/>
      <c r="MA42" s="38"/>
      <c r="MB42" s="38"/>
      <c r="MC42" s="38"/>
      <c r="MD42" s="38"/>
      <c r="ME42" s="38"/>
      <c r="MF42" s="38"/>
      <c r="MG42" s="38"/>
      <c r="MH42" s="38"/>
      <c r="MI42" s="38"/>
      <c r="MJ42" s="38"/>
      <c r="MK42" s="38"/>
      <c r="ML42" s="38"/>
      <c r="MM42" s="38"/>
      <c r="MN42" s="38"/>
      <c r="MO42" s="38"/>
      <c r="MP42" s="38"/>
      <c r="MQ42" s="38"/>
      <c r="MR42" s="38"/>
      <c r="MS42" s="38"/>
      <c r="MT42" s="38"/>
      <c r="MU42" s="38"/>
      <c r="MV42" s="38"/>
      <c r="MW42" s="38"/>
      <c r="MX42" s="38"/>
      <c r="MY42" s="38"/>
      <c r="MZ42" s="38"/>
      <c r="NA42" s="38"/>
      <c r="NB42" s="38"/>
      <c r="NC42" s="38"/>
      <c r="ND42" s="38"/>
      <c r="NE42" s="38"/>
      <c r="NF42" s="38"/>
      <c r="NG42" s="38"/>
      <c r="NH42" s="38"/>
      <c r="NI42" s="38"/>
      <c r="NJ42" s="38"/>
      <c r="NK42" s="38"/>
      <c r="NL42" s="38"/>
      <c r="NM42" s="38"/>
      <c r="NN42" s="38"/>
      <c r="NO42" s="38"/>
      <c r="NP42" s="38"/>
      <c r="NQ42" s="38"/>
      <c r="NR42" s="38"/>
      <c r="NS42" s="38"/>
      <c r="NT42" s="38"/>
      <c r="NU42" s="38"/>
      <c r="NV42" s="38"/>
      <c r="NW42" s="38"/>
      <c r="NX42" s="38"/>
      <c r="NY42" s="38"/>
      <c r="NZ42" s="38"/>
      <c r="OA42" s="38"/>
      <c r="OB42" s="38"/>
      <c r="OC42" s="38"/>
      <c r="OD42" s="38"/>
      <c r="OE42" s="38"/>
      <c r="OF42" s="38"/>
      <c r="OG42" s="38"/>
      <c r="OH42" s="38"/>
      <c r="OI42" s="38"/>
      <c r="OJ42" s="38"/>
      <c r="OK42" s="38"/>
      <c r="OL42" s="38"/>
      <c r="OM42" s="38"/>
      <c r="ON42" s="38"/>
      <c r="OO42" s="38"/>
      <c r="OP42" s="38"/>
      <c r="OQ42" s="38"/>
      <c r="OR42" s="38"/>
      <c r="OS42" s="38"/>
      <c r="OT42" s="38"/>
      <c r="OU42" s="38"/>
      <c r="OV42" s="38"/>
      <c r="OW42" s="38"/>
      <c r="OX42" s="38"/>
      <c r="OY42" s="38"/>
      <c r="OZ42" s="38"/>
      <c r="PA42" s="38"/>
      <c r="PB42" s="38"/>
      <c r="PC42" s="38"/>
      <c r="PD42" s="38"/>
      <c r="PE42" s="38"/>
      <c r="PF42" s="38"/>
      <c r="PG42" s="38"/>
      <c r="PH42" s="38"/>
      <c r="PI42" s="38"/>
      <c r="PJ42" s="38"/>
      <c r="PK42" s="38"/>
      <c r="PL42" s="38"/>
      <c r="PM42" s="38"/>
      <c r="PN42" s="38"/>
      <c r="PO42" s="38"/>
      <c r="PP42" s="38"/>
      <c r="PQ42" s="38"/>
      <c r="PR42" s="38"/>
      <c r="PS42" s="38"/>
      <c r="PT42" s="38"/>
      <c r="PU42" s="38"/>
      <c r="PV42" s="38"/>
      <c r="PW42" s="38"/>
      <c r="PX42" s="38"/>
      <c r="PY42" s="38"/>
      <c r="PZ42" s="38"/>
      <c r="QA42" s="38"/>
      <c r="QB42" s="38"/>
      <c r="QC42" s="38"/>
      <c r="QD42" s="38"/>
      <c r="QE42" s="38"/>
      <c r="QF42" s="38"/>
      <c r="QG42" s="38"/>
      <c r="QH42" s="38"/>
      <c r="QI42" s="38"/>
      <c r="QJ42" s="38"/>
      <c r="QK42" s="38"/>
      <c r="QL42" s="38"/>
      <c r="QM42" s="38"/>
      <c r="QN42" s="38"/>
      <c r="QO42" s="38"/>
      <c r="QP42" s="38"/>
      <c r="QQ42" s="38"/>
      <c r="QR42" s="38"/>
      <c r="QS42" s="38"/>
      <c r="QT42" s="38"/>
      <c r="QU42" s="38"/>
      <c r="QV42" s="38"/>
      <c r="QW42" s="38"/>
      <c r="QX42" s="38"/>
      <c r="QY42" s="38"/>
      <c r="QZ42" s="38"/>
      <c r="RA42" s="38"/>
      <c r="RB42" s="38"/>
      <c r="RC42" s="38"/>
      <c r="RD42" s="38"/>
      <c r="RE42" s="38"/>
      <c r="RF42" s="38"/>
      <c r="RG42" s="38"/>
      <c r="RH42" s="38"/>
      <c r="RI42" s="38"/>
      <c r="RJ42" s="38"/>
      <c r="RK42" s="38"/>
      <c r="RL42" s="38"/>
      <c r="RM42" s="38"/>
      <c r="RN42" s="38"/>
      <c r="RO42" s="38"/>
      <c r="RP42" s="38"/>
      <c r="RQ42" s="38"/>
      <c r="RR42" s="38"/>
      <c r="RS42" s="38"/>
      <c r="RT42" s="38"/>
      <c r="RU42" s="38"/>
      <c r="RV42" s="38"/>
      <c r="RW42" s="38"/>
      <c r="RX42" s="38"/>
      <c r="RY42" s="38"/>
      <c r="RZ42" s="38"/>
      <c r="SA42" s="38"/>
      <c r="SB42" s="38"/>
      <c r="SC42" s="38"/>
      <c r="SD42" s="38"/>
      <c r="SE42" s="38"/>
      <c r="SF42" s="38"/>
      <c r="SG42" s="38"/>
      <c r="SH42" s="38"/>
      <c r="SI42" s="38"/>
      <c r="SJ42" s="38"/>
      <c r="SK42" s="38"/>
      <c r="SL42" s="38"/>
      <c r="SM42" s="38"/>
      <c r="SN42" s="38"/>
      <c r="SO42" s="38"/>
      <c r="SP42" s="38"/>
      <c r="SQ42" s="38"/>
      <c r="SR42" s="38"/>
      <c r="SS42" s="38"/>
      <c r="ST42" s="38"/>
      <c r="SU42" s="38"/>
      <c r="SV42" s="38"/>
      <c r="SW42" s="38"/>
      <c r="SX42" s="38"/>
      <c r="SY42" s="38"/>
      <c r="SZ42" s="38"/>
      <c r="TA42" s="38"/>
      <c r="TB42" s="38"/>
      <c r="TC42" s="38"/>
      <c r="TD42" s="38"/>
      <c r="TE42" s="38"/>
      <c r="TF42" s="38"/>
      <c r="TG42" s="38"/>
      <c r="TH42" s="38"/>
      <c r="TI42" s="38"/>
      <c r="TJ42" s="38"/>
      <c r="TK42" s="38"/>
      <c r="TL42" s="38"/>
      <c r="TM42" s="38"/>
      <c r="TN42" s="38"/>
      <c r="TO42" s="38"/>
      <c r="TP42" s="38"/>
      <c r="TQ42" s="38"/>
      <c r="TR42" s="38"/>
      <c r="TS42" s="38"/>
      <c r="TT42" s="38"/>
      <c r="TU42" s="38"/>
      <c r="TV42" s="38"/>
      <c r="TW42" s="38"/>
      <c r="TX42" s="38"/>
      <c r="TY42" s="38"/>
      <c r="TZ42" s="38"/>
      <c r="UA42" s="38"/>
      <c r="UB42" s="38"/>
      <c r="UC42" s="38"/>
      <c r="UD42" s="38"/>
      <c r="UE42" s="38"/>
      <c r="UF42" s="38"/>
      <c r="UG42" s="38"/>
      <c r="UH42" s="38"/>
      <c r="UI42" s="38"/>
      <c r="UJ42" s="38"/>
      <c r="UK42" s="38"/>
      <c r="UL42" s="38"/>
      <c r="UM42" s="38"/>
      <c r="UN42" s="38"/>
      <c r="UO42" s="38"/>
      <c r="UP42" s="38"/>
      <c r="UQ42" s="38"/>
      <c r="UR42" s="38"/>
      <c r="US42" s="38"/>
      <c r="UT42" s="38"/>
      <c r="UU42" s="38"/>
      <c r="UV42" s="38"/>
      <c r="UW42" s="38"/>
      <c r="UX42" s="38"/>
      <c r="UY42" s="38"/>
      <c r="UZ42" s="38"/>
      <c r="VA42" s="38"/>
      <c r="VB42" s="38"/>
      <c r="VC42" s="38"/>
      <c r="VD42" s="38"/>
      <c r="VE42" s="38"/>
      <c r="VF42" s="38"/>
      <c r="VG42" s="38"/>
      <c r="VH42" s="38"/>
      <c r="VI42" s="38"/>
      <c r="VJ42" s="38"/>
      <c r="VK42" s="38"/>
      <c r="VL42" s="38"/>
      <c r="VM42" s="38"/>
      <c r="VN42" s="38"/>
      <c r="VO42" s="38"/>
      <c r="VP42" s="38"/>
      <c r="VQ42" s="38"/>
      <c r="VR42" s="38"/>
      <c r="VS42" s="38"/>
      <c r="VT42" s="38"/>
      <c r="VU42" s="38"/>
      <c r="VV42" s="38"/>
      <c r="VW42" s="38"/>
      <c r="VX42" s="38"/>
      <c r="VY42" s="38"/>
      <c r="VZ42" s="38"/>
      <c r="WA42" s="38"/>
      <c r="WB42" s="38"/>
      <c r="WC42" s="38"/>
      <c r="WD42" s="38"/>
      <c r="WE42" s="38"/>
      <c r="WF42" s="38"/>
      <c r="WG42" s="38"/>
      <c r="WH42" s="38"/>
      <c r="WI42" s="38"/>
      <c r="WJ42" s="38"/>
      <c r="WK42" s="38"/>
      <c r="WL42" s="38"/>
      <c r="WM42" s="38"/>
      <c r="WN42" s="38"/>
      <c r="WO42" s="38"/>
      <c r="WP42" s="38"/>
      <c r="WQ42" s="38"/>
      <c r="WR42" s="38"/>
      <c r="WS42" s="38"/>
      <c r="WT42" s="38"/>
      <c r="WU42" s="38"/>
      <c r="WV42" s="38"/>
      <c r="WW42" s="38"/>
      <c r="WX42" s="38"/>
      <c r="WY42" s="38"/>
      <c r="WZ42" s="38"/>
      <c r="XA42" s="38"/>
      <c r="XB42" s="38"/>
      <c r="XC42" s="38"/>
      <c r="XD42" s="38"/>
      <c r="XE42" s="38"/>
      <c r="XF42" s="38"/>
      <c r="XG42" s="38"/>
      <c r="XH42" s="38"/>
      <c r="XI42" s="38"/>
      <c r="XJ42" s="38"/>
      <c r="XK42" s="38"/>
      <c r="XL42" s="38"/>
      <c r="XM42" s="38"/>
      <c r="XN42" s="38"/>
      <c r="XO42" s="38"/>
      <c r="XP42" s="38"/>
      <c r="XQ42" s="38"/>
      <c r="XR42" s="38"/>
      <c r="XS42" s="38"/>
      <c r="XT42" s="38"/>
      <c r="XU42" s="38"/>
      <c r="XV42" s="38"/>
      <c r="XW42" s="38"/>
      <c r="XX42" s="38"/>
      <c r="XY42" s="38"/>
      <c r="XZ42" s="38"/>
      <c r="YA42" s="38"/>
      <c r="YB42" s="38"/>
      <c r="YC42" s="38"/>
      <c r="YD42" s="38"/>
      <c r="YE42" s="38"/>
      <c r="YF42" s="38"/>
      <c r="YG42" s="38"/>
      <c r="YH42" s="38"/>
      <c r="YI42" s="38"/>
      <c r="YJ42" s="38"/>
      <c r="YK42" s="38"/>
      <c r="YL42" s="38"/>
      <c r="YM42" s="38"/>
      <c r="YN42" s="38"/>
      <c r="YO42" s="38"/>
      <c r="YP42" s="38"/>
      <c r="YQ42" s="38"/>
      <c r="YR42" s="38"/>
      <c r="YS42" s="38"/>
      <c r="YT42" s="38"/>
      <c r="YU42" s="38"/>
      <c r="YV42" s="38"/>
      <c r="YW42" s="38"/>
      <c r="YX42" s="38"/>
      <c r="YY42" s="38"/>
      <c r="YZ42" s="38"/>
      <c r="ZA42" s="38"/>
      <c r="ZB42" s="38"/>
      <c r="ZC42" s="38"/>
      <c r="ZD42" s="38"/>
      <c r="ZE42" s="38"/>
      <c r="ZF42" s="38"/>
      <c r="ZG42" s="38"/>
      <c r="ZH42" s="38"/>
      <c r="ZI42" s="38"/>
      <c r="ZJ42" s="38"/>
      <c r="ZK42" s="38"/>
      <c r="ZL42" s="38"/>
      <c r="ZM42" s="38"/>
      <c r="ZN42" s="38"/>
      <c r="ZO42" s="38"/>
      <c r="ZP42" s="38"/>
      <c r="ZQ42" s="38"/>
      <c r="ZR42" s="38"/>
      <c r="ZS42" s="38"/>
      <c r="ZT42" s="38"/>
      <c r="ZU42" s="38"/>
      <c r="ZV42" s="38"/>
      <c r="ZW42" s="38"/>
      <c r="ZX42" s="38"/>
      <c r="ZY42" s="38"/>
      <c r="ZZ42" s="38"/>
      <c r="AAA42" s="38"/>
      <c r="AAB42" s="38"/>
      <c r="AAC42" s="38"/>
      <c r="AAD42" s="38"/>
      <c r="AAE42" s="38"/>
      <c r="AAF42" s="38"/>
      <c r="AAG42" s="38"/>
      <c r="AAH42" s="38"/>
      <c r="AAI42" s="38"/>
      <c r="AAJ42" s="38"/>
      <c r="AAK42" s="38"/>
      <c r="AAL42" s="38"/>
      <c r="AAM42" s="38"/>
      <c r="AAN42" s="38"/>
      <c r="AAO42" s="38"/>
      <c r="AAP42" s="38"/>
      <c r="AAQ42" s="38"/>
      <c r="AAR42" s="38"/>
      <c r="AAS42" s="38"/>
      <c r="AAT42" s="38"/>
      <c r="AAU42" s="38"/>
      <c r="AAV42" s="38"/>
      <c r="AAW42" s="38"/>
      <c r="AAX42" s="38"/>
      <c r="AAY42" s="38"/>
      <c r="AAZ42" s="38"/>
      <c r="ABA42" s="38"/>
      <c r="ABB42" s="38"/>
      <c r="ABC42" s="38"/>
      <c r="ABD42" s="38"/>
      <c r="ABE42" s="38"/>
      <c r="ABF42" s="38"/>
      <c r="ABG42" s="38"/>
      <c r="ABH42" s="38"/>
      <c r="ABI42" s="38"/>
      <c r="ABJ42" s="38"/>
      <c r="ABK42" s="38"/>
      <c r="ABL42" s="38"/>
      <c r="ABM42" s="38"/>
      <c r="ABN42" s="38"/>
      <c r="ABO42" s="38"/>
      <c r="ABP42" s="38"/>
      <c r="ABQ42" s="38"/>
      <c r="ABR42" s="38"/>
      <c r="ABS42" s="38"/>
      <c r="ABT42" s="38"/>
      <c r="ABU42" s="38"/>
      <c r="ABV42" s="38"/>
      <c r="ABW42" s="38"/>
      <c r="ABX42" s="38"/>
      <c r="ABY42" s="38"/>
      <c r="ABZ42" s="38"/>
      <c r="ACA42" s="38"/>
      <c r="ACB42" s="38"/>
      <c r="ACC42" s="38"/>
      <c r="ACD42" s="38"/>
      <c r="ACE42" s="38"/>
      <c r="ACF42" s="38"/>
      <c r="ACG42" s="38"/>
      <c r="ACH42" s="38"/>
      <c r="ACI42" s="38"/>
      <c r="ACJ42" s="38"/>
      <c r="ACK42" s="38"/>
      <c r="ACL42" s="38"/>
      <c r="ACM42" s="38"/>
      <c r="ACN42" s="38"/>
      <c r="ACO42" s="38"/>
      <c r="ACP42" s="38"/>
      <c r="ACQ42" s="38"/>
      <c r="ACR42" s="38"/>
      <c r="ACS42" s="38"/>
      <c r="ACT42" s="38"/>
      <c r="ACU42" s="38"/>
      <c r="ACV42" s="38"/>
      <c r="ACW42" s="38"/>
      <c r="ACX42" s="38"/>
      <c r="ACY42" s="38"/>
      <c r="ACZ42" s="38"/>
      <c r="ADA42" s="38"/>
      <c r="ADB42" s="38"/>
      <c r="ADC42" s="38"/>
      <c r="ADD42" s="38"/>
      <c r="ADE42" s="38"/>
      <c r="ADF42" s="38"/>
      <c r="ADG42" s="38"/>
      <c r="ADH42" s="38"/>
      <c r="ADI42" s="38"/>
      <c r="ADJ42" s="38"/>
      <c r="ADK42" s="38"/>
      <c r="ADL42" s="38"/>
      <c r="ADM42" s="38"/>
      <c r="ADN42" s="38"/>
      <c r="ADO42" s="38"/>
      <c r="ADP42" s="38"/>
      <c r="ADQ42" s="38"/>
      <c r="ADR42" s="38"/>
      <c r="ADS42" s="38"/>
      <c r="ADT42" s="38"/>
      <c r="ADU42" s="38"/>
      <c r="ADV42" s="38"/>
      <c r="ADW42" s="38"/>
      <c r="ADX42" s="38"/>
      <c r="ADY42" s="38"/>
      <c r="ADZ42" s="38"/>
      <c r="AEA42" s="38"/>
      <c r="AEB42" s="38"/>
      <c r="AEC42" s="38"/>
      <c r="AED42" s="38"/>
      <c r="AEE42" s="38"/>
      <c r="AEF42" s="38"/>
      <c r="AEG42" s="38"/>
      <c r="AEH42" s="38"/>
      <c r="AEI42" s="38"/>
      <c r="AEJ42" s="38"/>
      <c r="AEK42" s="38"/>
      <c r="AEL42" s="38"/>
      <c r="AEM42" s="38"/>
      <c r="AEN42" s="38"/>
      <c r="AEO42" s="38"/>
      <c r="AEP42" s="38"/>
      <c r="AEQ42" s="38"/>
      <c r="AER42" s="38"/>
      <c r="AES42" s="38"/>
      <c r="AET42" s="38"/>
      <c r="AEU42" s="38"/>
      <c r="AEV42" s="38"/>
      <c r="AEW42" s="38"/>
      <c r="AEX42" s="38"/>
      <c r="AEY42" s="38"/>
      <c r="AEZ42" s="38"/>
      <c r="AFA42" s="38"/>
      <c r="AFB42" s="38"/>
      <c r="AFC42" s="38"/>
      <c r="AFD42" s="38"/>
      <c r="AFE42" s="38"/>
      <c r="AFF42" s="38"/>
      <c r="AFG42" s="38"/>
      <c r="AFH42" s="38"/>
      <c r="AFI42" s="38"/>
      <c r="AFJ42" s="38"/>
      <c r="AFK42" s="38"/>
      <c r="AFL42" s="38"/>
      <c r="AFM42" s="38"/>
      <c r="AFN42" s="38"/>
      <c r="AFO42" s="38"/>
      <c r="AFP42" s="38"/>
      <c r="AFQ42" s="38"/>
      <c r="AFR42" s="38"/>
      <c r="AFS42" s="38"/>
      <c r="AFT42" s="38"/>
      <c r="AFU42" s="38"/>
      <c r="AFV42" s="38"/>
      <c r="AFW42" s="38"/>
      <c r="AFX42" s="38"/>
      <c r="AFY42" s="38"/>
      <c r="AFZ42" s="38"/>
      <c r="AGA42" s="38"/>
      <c r="AGB42" s="38"/>
      <c r="AGC42" s="38"/>
      <c r="AGD42" s="38"/>
      <c r="AGE42" s="38"/>
      <c r="AGF42" s="38"/>
      <c r="AGG42" s="38"/>
      <c r="AGH42" s="38"/>
      <c r="AGI42" s="38"/>
      <c r="AGJ42" s="38"/>
      <c r="AGK42" s="38"/>
      <c r="AGL42" s="38"/>
      <c r="AGM42" s="38"/>
      <c r="AGN42" s="38"/>
      <c r="AGO42" s="38"/>
      <c r="AGP42" s="38"/>
      <c r="AGQ42" s="38"/>
      <c r="AGR42" s="38"/>
      <c r="AGS42" s="38"/>
      <c r="AGT42" s="38"/>
      <c r="AGU42" s="38"/>
      <c r="AGV42" s="38"/>
      <c r="AGW42" s="38"/>
      <c r="AGX42" s="38"/>
      <c r="AGY42" s="38"/>
      <c r="AGZ42" s="38"/>
      <c r="AHA42" s="38"/>
      <c r="AHB42" s="38"/>
      <c r="AHC42" s="38"/>
      <c r="AHD42" s="38"/>
      <c r="AHE42" s="38"/>
      <c r="AHF42" s="38"/>
      <c r="AHG42" s="38"/>
      <c r="AHH42" s="38"/>
      <c r="AHI42" s="38"/>
      <c r="AHJ42" s="38"/>
      <c r="AHK42" s="38"/>
      <c r="AHL42" s="38"/>
      <c r="AHM42" s="38"/>
      <c r="AHN42" s="38"/>
      <c r="AHO42" s="38"/>
      <c r="AHP42" s="38"/>
      <c r="AHQ42" s="38"/>
      <c r="AHR42" s="38"/>
      <c r="AHS42" s="38"/>
      <c r="AHT42" s="38"/>
      <c r="AHU42" s="38"/>
      <c r="AHV42" s="38"/>
    </row>
    <row r="43" spans="1:906" s="27" customFormat="1" x14ac:dyDescent="0.35">
      <c r="A43" s="83">
        <v>39</v>
      </c>
      <c r="B43" s="108" t="s">
        <v>77</v>
      </c>
      <c r="C43" s="109" t="s">
        <v>75</v>
      </c>
      <c r="D43" s="109" t="s">
        <v>78</v>
      </c>
      <c r="E43" s="125">
        <v>97.5</v>
      </c>
      <c r="F43" s="142">
        <v>89.95</v>
      </c>
      <c r="G43" s="125">
        <v>98</v>
      </c>
      <c r="H43" s="125">
        <v>97.75</v>
      </c>
      <c r="I43" s="37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/>
      <c r="FH43" s="38"/>
      <c r="FI43" s="38"/>
      <c r="FJ43" s="38"/>
      <c r="FK43" s="38"/>
      <c r="FL43" s="38"/>
      <c r="FM43" s="38"/>
      <c r="FN43" s="38"/>
      <c r="FO43" s="38"/>
      <c r="FP43" s="38"/>
      <c r="FQ43" s="38"/>
      <c r="FR43" s="38"/>
      <c r="FS43" s="38"/>
      <c r="FT43" s="38"/>
      <c r="FU43" s="38"/>
      <c r="FV43" s="38"/>
      <c r="FW43" s="38"/>
      <c r="FX43" s="38"/>
      <c r="FY43" s="38"/>
      <c r="FZ43" s="38"/>
      <c r="GA43" s="38"/>
      <c r="GB43" s="38"/>
      <c r="GC43" s="38"/>
      <c r="GD43" s="38"/>
      <c r="GE43" s="38"/>
      <c r="GF43" s="38"/>
      <c r="GG43" s="38"/>
      <c r="GH43" s="38"/>
      <c r="GI43" s="38"/>
      <c r="GJ43" s="38"/>
      <c r="GK43" s="38"/>
      <c r="GL43" s="38"/>
      <c r="GM43" s="38"/>
      <c r="GN43" s="38"/>
      <c r="GO43" s="38"/>
      <c r="GP43" s="38"/>
      <c r="GQ43" s="38"/>
      <c r="GR43" s="38"/>
      <c r="GS43" s="38"/>
      <c r="GT43" s="38"/>
      <c r="GU43" s="38"/>
      <c r="GV43" s="38"/>
      <c r="GW43" s="38"/>
      <c r="GX43" s="38"/>
      <c r="GY43" s="38"/>
      <c r="GZ43" s="38"/>
      <c r="HA43" s="38"/>
      <c r="HB43" s="38"/>
      <c r="HC43" s="38"/>
      <c r="HD43" s="38"/>
      <c r="HE43" s="38"/>
      <c r="HF43" s="38"/>
      <c r="HG43" s="38"/>
      <c r="HH43" s="38"/>
      <c r="HI43" s="38"/>
      <c r="HJ43" s="38"/>
      <c r="HK43" s="38"/>
      <c r="HL43" s="38"/>
      <c r="HM43" s="38"/>
      <c r="HN43" s="38"/>
      <c r="HO43" s="38"/>
      <c r="HP43" s="38"/>
      <c r="HQ43" s="38"/>
      <c r="HR43" s="38"/>
      <c r="HS43" s="38"/>
      <c r="HT43" s="38"/>
      <c r="HU43" s="38"/>
      <c r="HV43" s="38"/>
      <c r="HW43" s="38"/>
      <c r="HX43" s="38"/>
      <c r="HY43" s="38"/>
      <c r="HZ43" s="38"/>
      <c r="IA43" s="38"/>
      <c r="IB43" s="38"/>
      <c r="IC43" s="38"/>
      <c r="ID43" s="38"/>
      <c r="IE43" s="38"/>
      <c r="IF43" s="38"/>
      <c r="IG43" s="38"/>
      <c r="IH43" s="38"/>
      <c r="II43" s="38"/>
      <c r="IJ43" s="38"/>
      <c r="IK43" s="38"/>
      <c r="IL43" s="38"/>
      <c r="IM43" s="38"/>
      <c r="IN43" s="38"/>
      <c r="IO43" s="38"/>
      <c r="IP43" s="38"/>
      <c r="IQ43" s="38"/>
      <c r="IR43" s="38"/>
      <c r="IS43" s="38"/>
      <c r="IT43" s="38"/>
      <c r="IU43" s="38"/>
      <c r="IV43" s="38"/>
      <c r="IW43" s="38"/>
      <c r="IX43" s="38"/>
      <c r="IY43" s="38"/>
      <c r="IZ43" s="38"/>
      <c r="JA43" s="38"/>
      <c r="JB43" s="38"/>
      <c r="JC43" s="38"/>
      <c r="JD43" s="38"/>
      <c r="JE43" s="38"/>
      <c r="JF43" s="38"/>
      <c r="JG43" s="38"/>
      <c r="JH43" s="38"/>
      <c r="JI43" s="38"/>
      <c r="JJ43" s="38"/>
      <c r="JK43" s="38"/>
      <c r="JL43" s="38"/>
      <c r="JM43" s="38"/>
      <c r="JN43" s="38"/>
      <c r="JO43" s="38"/>
      <c r="JP43" s="38"/>
      <c r="JQ43" s="38"/>
      <c r="JR43" s="38"/>
      <c r="JS43" s="38"/>
      <c r="JT43" s="38"/>
      <c r="JU43" s="38"/>
      <c r="JV43" s="38"/>
      <c r="JW43" s="38"/>
      <c r="JX43" s="38"/>
      <c r="JY43" s="38"/>
      <c r="JZ43" s="38"/>
      <c r="KA43" s="38"/>
      <c r="KB43" s="38"/>
      <c r="KC43" s="38"/>
      <c r="KD43" s="38"/>
      <c r="KE43" s="38"/>
      <c r="KF43" s="38"/>
      <c r="KG43" s="38"/>
      <c r="KH43" s="38"/>
      <c r="KI43" s="38"/>
      <c r="KJ43" s="38"/>
      <c r="KK43" s="38"/>
      <c r="KL43" s="38"/>
      <c r="KM43" s="38"/>
      <c r="KN43" s="38"/>
      <c r="KO43" s="38"/>
      <c r="KP43" s="38"/>
      <c r="KQ43" s="38"/>
      <c r="KR43" s="38"/>
      <c r="KS43" s="38"/>
      <c r="KT43" s="38"/>
      <c r="KU43" s="38"/>
      <c r="KV43" s="38"/>
      <c r="KW43" s="38"/>
      <c r="KX43" s="38"/>
      <c r="KY43" s="38"/>
      <c r="KZ43" s="38"/>
      <c r="LA43" s="38"/>
      <c r="LB43" s="38"/>
      <c r="LC43" s="38"/>
      <c r="LD43" s="38"/>
      <c r="LE43" s="38"/>
      <c r="LF43" s="38"/>
      <c r="LG43" s="38"/>
      <c r="LH43" s="38"/>
      <c r="LI43" s="38"/>
      <c r="LJ43" s="38"/>
      <c r="LK43" s="38"/>
      <c r="LL43" s="38"/>
      <c r="LM43" s="38"/>
      <c r="LN43" s="38"/>
      <c r="LO43" s="38"/>
      <c r="LP43" s="38"/>
      <c r="LQ43" s="38"/>
      <c r="LR43" s="38"/>
      <c r="LS43" s="38"/>
      <c r="LT43" s="38"/>
      <c r="LU43" s="38"/>
      <c r="LV43" s="38"/>
      <c r="LW43" s="38"/>
      <c r="LX43" s="38"/>
      <c r="LY43" s="38"/>
      <c r="LZ43" s="38"/>
      <c r="MA43" s="38"/>
      <c r="MB43" s="38"/>
      <c r="MC43" s="38"/>
      <c r="MD43" s="38"/>
      <c r="ME43" s="38"/>
      <c r="MF43" s="38"/>
      <c r="MG43" s="38"/>
      <c r="MH43" s="38"/>
      <c r="MI43" s="38"/>
      <c r="MJ43" s="38"/>
      <c r="MK43" s="38"/>
      <c r="ML43" s="38"/>
      <c r="MM43" s="38"/>
      <c r="MN43" s="38"/>
      <c r="MO43" s="38"/>
      <c r="MP43" s="38"/>
      <c r="MQ43" s="38"/>
      <c r="MR43" s="38"/>
      <c r="MS43" s="38"/>
      <c r="MT43" s="38"/>
      <c r="MU43" s="38"/>
      <c r="MV43" s="38"/>
      <c r="MW43" s="38"/>
      <c r="MX43" s="38"/>
      <c r="MY43" s="38"/>
      <c r="MZ43" s="38"/>
      <c r="NA43" s="38"/>
      <c r="NB43" s="38"/>
      <c r="NC43" s="38"/>
      <c r="ND43" s="38"/>
      <c r="NE43" s="38"/>
      <c r="NF43" s="38"/>
      <c r="NG43" s="38"/>
      <c r="NH43" s="38"/>
      <c r="NI43" s="38"/>
      <c r="NJ43" s="38"/>
      <c r="NK43" s="38"/>
      <c r="NL43" s="38"/>
      <c r="NM43" s="38"/>
      <c r="NN43" s="38"/>
      <c r="NO43" s="38"/>
      <c r="NP43" s="38"/>
      <c r="NQ43" s="38"/>
      <c r="NR43" s="38"/>
      <c r="NS43" s="38"/>
      <c r="NT43" s="38"/>
      <c r="NU43" s="38"/>
      <c r="NV43" s="38"/>
      <c r="NW43" s="38"/>
      <c r="NX43" s="38"/>
      <c r="NY43" s="38"/>
      <c r="NZ43" s="38"/>
      <c r="OA43" s="38"/>
      <c r="OB43" s="38"/>
      <c r="OC43" s="38"/>
      <c r="OD43" s="38"/>
      <c r="OE43" s="38"/>
      <c r="OF43" s="38"/>
      <c r="OG43" s="38"/>
      <c r="OH43" s="38"/>
      <c r="OI43" s="38"/>
      <c r="OJ43" s="38"/>
      <c r="OK43" s="38"/>
      <c r="OL43" s="38"/>
      <c r="OM43" s="38"/>
      <c r="ON43" s="38"/>
      <c r="OO43" s="38"/>
      <c r="OP43" s="38"/>
      <c r="OQ43" s="38"/>
      <c r="OR43" s="38"/>
      <c r="OS43" s="38"/>
      <c r="OT43" s="38"/>
      <c r="OU43" s="38"/>
      <c r="OV43" s="38"/>
      <c r="OW43" s="38"/>
      <c r="OX43" s="38"/>
      <c r="OY43" s="38"/>
      <c r="OZ43" s="38"/>
      <c r="PA43" s="38"/>
      <c r="PB43" s="38"/>
      <c r="PC43" s="38"/>
      <c r="PD43" s="38"/>
      <c r="PE43" s="38"/>
      <c r="PF43" s="38"/>
      <c r="PG43" s="38"/>
      <c r="PH43" s="38"/>
      <c r="PI43" s="38"/>
      <c r="PJ43" s="38"/>
      <c r="PK43" s="38"/>
      <c r="PL43" s="38"/>
      <c r="PM43" s="38"/>
      <c r="PN43" s="38"/>
      <c r="PO43" s="38"/>
      <c r="PP43" s="38"/>
      <c r="PQ43" s="38"/>
      <c r="PR43" s="38"/>
      <c r="PS43" s="38"/>
      <c r="PT43" s="38"/>
      <c r="PU43" s="38"/>
      <c r="PV43" s="38"/>
      <c r="PW43" s="38"/>
      <c r="PX43" s="38"/>
      <c r="PY43" s="38"/>
      <c r="PZ43" s="38"/>
      <c r="QA43" s="38"/>
      <c r="QB43" s="38"/>
      <c r="QC43" s="38"/>
      <c r="QD43" s="38"/>
      <c r="QE43" s="38"/>
      <c r="QF43" s="38"/>
      <c r="QG43" s="38"/>
      <c r="QH43" s="38"/>
      <c r="QI43" s="38"/>
      <c r="QJ43" s="38"/>
      <c r="QK43" s="38"/>
      <c r="QL43" s="38"/>
      <c r="QM43" s="38"/>
      <c r="QN43" s="38"/>
      <c r="QO43" s="38"/>
      <c r="QP43" s="38"/>
      <c r="QQ43" s="38"/>
      <c r="QR43" s="38"/>
      <c r="QS43" s="38"/>
      <c r="QT43" s="38"/>
      <c r="QU43" s="38"/>
      <c r="QV43" s="38"/>
      <c r="QW43" s="38"/>
      <c r="QX43" s="38"/>
      <c r="QY43" s="38"/>
      <c r="QZ43" s="38"/>
      <c r="RA43" s="38"/>
      <c r="RB43" s="38"/>
      <c r="RC43" s="38"/>
      <c r="RD43" s="38"/>
      <c r="RE43" s="38"/>
      <c r="RF43" s="38"/>
      <c r="RG43" s="38"/>
      <c r="RH43" s="38"/>
      <c r="RI43" s="38"/>
      <c r="RJ43" s="38"/>
      <c r="RK43" s="38"/>
      <c r="RL43" s="38"/>
      <c r="RM43" s="38"/>
      <c r="RN43" s="38"/>
      <c r="RO43" s="38"/>
      <c r="RP43" s="38"/>
      <c r="RQ43" s="38"/>
      <c r="RR43" s="38"/>
      <c r="RS43" s="38"/>
      <c r="RT43" s="38"/>
      <c r="RU43" s="38"/>
      <c r="RV43" s="38"/>
      <c r="RW43" s="38"/>
      <c r="RX43" s="38"/>
      <c r="RY43" s="38"/>
      <c r="RZ43" s="38"/>
      <c r="SA43" s="38"/>
      <c r="SB43" s="38"/>
      <c r="SC43" s="38"/>
      <c r="SD43" s="38"/>
      <c r="SE43" s="38"/>
      <c r="SF43" s="38"/>
      <c r="SG43" s="38"/>
      <c r="SH43" s="38"/>
      <c r="SI43" s="38"/>
      <c r="SJ43" s="38"/>
      <c r="SK43" s="38"/>
      <c r="SL43" s="38"/>
      <c r="SM43" s="38"/>
      <c r="SN43" s="38"/>
      <c r="SO43" s="38"/>
      <c r="SP43" s="38"/>
      <c r="SQ43" s="38"/>
      <c r="SR43" s="38"/>
      <c r="SS43" s="38"/>
      <c r="ST43" s="38"/>
      <c r="SU43" s="38"/>
      <c r="SV43" s="38"/>
      <c r="SW43" s="38"/>
      <c r="SX43" s="38"/>
      <c r="SY43" s="38"/>
      <c r="SZ43" s="38"/>
      <c r="TA43" s="38"/>
      <c r="TB43" s="38"/>
      <c r="TC43" s="38"/>
      <c r="TD43" s="38"/>
      <c r="TE43" s="38"/>
      <c r="TF43" s="38"/>
      <c r="TG43" s="38"/>
      <c r="TH43" s="38"/>
      <c r="TI43" s="38"/>
      <c r="TJ43" s="38"/>
      <c r="TK43" s="38"/>
      <c r="TL43" s="38"/>
      <c r="TM43" s="38"/>
      <c r="TN43" s="38"/>
      <c r="TO43" s="38"/>
      <c r="TP43" s="38"/>
      <c r="TQ43" s="38"/>
      <c r="TR43" s="38"/>
      <c r="TS43" s="38"/>
      <c r="TT43" s="38"/>
      <c r="TU43" s="38"/>
      <c r="TV43" s="38"/>
      <c r="TW43" s="38"/>
      <c r="TX43" s="38"/>
      <c r="TY43" s="38"/>
      <c r="TZ43" s="38"/>
      <c r="UA43" s="38"/>
      <c r="UB43" s="38"/>
      <c r="UC43" s="38"/>
      <c r="UD43" s="38"/>
      <c r="UE43" s="38"/>
      <c r="UF43" s="38"/>
      <c r="UG43" s="38"/>
      <c r="UH43" s="38"/>
      <c r="UI43" s="38"/>
      <c r="UJ43" s="38"/>
      <c r="UK43" s="38"/>
      <c r="UL43" s="38"/>
      <c r="UM43" s="38"/>
      <c r="UN43" s="38"/>
      <c r="UO43" s="38"/>
      <c r="UP43" s="38"/>
      <c r="UQ43" s="38"/>
      <c r="UR43" s="38"/>
      <c r="US43" s="38"/>
      <c r="UT43" s="38"/>
      <c r="UU43" s="38"/>
      <c r="UV43" s="38"/>
      <c r="UW43" s="38"/>
      <c r="UX43" s="38"/>
      <c r="UY43" s="38"/>
      <c r="UZ43" s="38"/>
      <c r="VA43" s="38"/>
      <c r="VB43" s="38"/>
      <c r="VC43" s="38"/>
      <c r="VD43" s="38"/>
      <c r="VE43" s="38"/>
      <c r="VF43" s="38"/>
      <c r="VG43" s="38"/>
      <c r="VH43" s="38"/>
      <c r="VI43" s="38"/>
      <c r="VJ43" s="38"/>
      <c r="VK43" s="38"/>
      <c r="VL43" s="38"/>
      <c r="VM43" s="38"/>
      <c r="VN43" s="38"/>
      <c r="VO43" s="38"/>
      <c r="VP43" s="38"/>
      <c r="VQ43" s="38"/>
      <c r="VR43" s="38"/>
      <c r="VS43" s="38"/>
      <c r="VT43" s="38"/>
      <c r="VU43" s="38"/>
      <c r="VV43" s="38"/>
      <c r="VW43" s="38"/>
      <c r="VX43" s="38"/>
      <c r="VY43" s="38"/>
      <c r="VZ43" s="38"/>
      <c r="WA43" s="38"/>
      <c r="WB43" s="38"/>
      <c r="WC43" s="38"/>
      <c r="WD43" s="38"/>
      <c r="WE43" s="38"/>
      <c r="WF43" s="38"/>
      <c r="WG43" s="38"/>
      <c r="WH43" s="38"/>
      <c r="WI43" s="38"/>
      <c r="WJ43" s="38"/>
      <c r="WK43" s="38"/>
      <c r="WL43" s="38"/>
      <c r="WM43" s="38"/>
      <c r="WN43" s="38"/>
      <c r="WO43" s="38"/>
      <c r="WP43" s="38"/>
      <c r="WQ43" s="38"/>
      <c r="WR43" s="38"/>
      <c r="WS43" s="38"/>
      <c r="WT43" s="38"/>
      <c r="WU43" s="38"/>
      <c r="WV43" s="38"/>
      <c r="WW43" s="38"/>
      <c r="WX43" s="38"/>
      <c r="WY43" s="38"/>
      <c r="WZ43" s="38"/>
      <c r="XA43" s="38"/>
      <c r="XB43" s="38"/>
      <c r="XC43" s="38"/>
      <c r="XD43" s="38"/>
      <c r="XE43" s="38"/>
      <c r="XF43" s="38"/>
      <c r="XG43" s="38"/>
      <c r="XH43" s="38"/>
      <c r="XI43" s="38"/>
      <c r="XJ43" s="38"/>
      <c r="XK43" s="38"/>
      <c r="XL43" s="38"/>
      <c r="XM43" s="38"/>
      <c r="XN43" s="38"/>
      <c r="XO43" s="38"/>
      <c r="XP43" s="38"/>
      <c r="XQ43" s="38"/>
      <c r="XR43" s="38"/>
      <c r="XS43" s="38"/>
      <c r="XT43" s="38"/>
      <c r="XU43" s="38"/>
      <c r="XV43" s="38"/>
      <c r="XW43" s="38"/>
      <c r="XX43" s="38"/>
      <c r="XY43" s="38"/>
      <c r="XZ43" s="38"/>
      <c r="YA43" s="38"/>
      <c r="YB43" s="38"/>
      <c r="YC43" s="38"/>
      <c r="YD43" s="38"/>
      <c r="YE43" s="38"/>
      <c r="YF43" s="38"/>
      <c r="YG43" s="38"/>
      <c r="YH43" s="38"/>
      <c r="YI43" s="38"/>
      <c r="YJ43" s="38"/>
      <c r="YK43" s="38"/>
      <c r="YL43" s="38"/>
      <c r="YM43" s="38"/>
      <c r="YN43" s="38"/>
      <c r="YO43" s="38"/>
      <c r="YP43" s="38"/>
      <c r="YQ43" s="38"/>
      <c r="YR43" s="38"/>
      <c r="YS43" s="38"/>
      <c r="YT43" s="38"/>
      <c r="YU43" s="38"/>
      <c r="YV43" s="38"/>
      <c r="YW43" s="38"/>
      <c r="YX43" s="38"/>
      <c r="YY43" s="38"/>
      <c r="YZ43" s="38"/>
      <c r="ZA43" s="38"/>
      <c r="ZB43" s="38"/>
      <c r="ZC43" s="38"/>
      <c r="ZD43" s="38"/>
      <c r="ZE43" s="38"/>
      <c r="ZF43" s="38"/>
      <c r="ZG43" s="38"/>
      <c r="ZH43" s="38"/>
      <c r="ZI43" s="38"/>
      <c r="ZJ43" s="38"/>
      <c r="ZK43" s="38"/>
      <c r="ZL43" s="38"/>
      <c r="ZM43" s="38"/>
      <c r="ZN43" s="38"/>
      <c r="ZO43" s="38"/>
      <c r="ZP43" s="38"/>
      <c r="ZQ43" s="38"/>
      <c r="ZR43" s="38"/>
      <c r="ZS43" s="38"/>
      <c r="ZT43" s="38"/>
      <c r="ZU43" s="38"/>
      <c r="ZV43" s="38"/>
      <c r="ZW43" s="38"/>
      <c r="ZX43" s="38"/>
      <c r="ZY43" s="38"/>
      <c r="ZZ43" s="38"/>
      <c r="AAA43" s="38"/>
      <c r="AAB43" s="38"/>
      <c r="AAC43" s="38"/>
      <c r="AAD43" s="38"/>
      <c r="AAE43" s="38"/>
      <c r="AAF43" s="38"/>
      <c r="AAG43" s="38"/>
      <c r="AAH43" s="38"/>
      <c r="AAI43" s="38"/>
      <c r="AAJ43" s="38"/>
      <c r="AAK43" s="38"/>
      <c r="AAL43" s="38"/>
      <c r="AAM43" s="38"/>
      <c r="AAN43" s="38"/>
      <c r="AAO43" s="38"/>
      <c r="AAP43" s="38"/>
      <c r="AAQ43" s="38"/>
      <c r="AAR43" s="38"/>
      <c r="AAS43" s="38"/>
      <c r="AAT43" s="38"/>
      <c r="AAU43" s="38"/>
      <c r="AAV43" s="38"/>
      <c r="AAW43" s="38"/>
      <c r="AAX43" s="38"/>
      <c r="AAY43" s="38"/>
      <c r="AAZ43" s="38"/>
      <c r="ABA43" s="38"/>
      <c r="ABB43" s="38"/>
      <c r="ABC43" s="38"/>
      <c r="ABD43" s="38"/>
      <c r="ABE43" s="38"/>
      <c r="ABF43" s="38"/>
      <c r="ABG43" s="38"/>
      <c r="ABH43" s="38"/>
      <c r="ABI43" s="38"/>
      <c r="ABJ43" s="38"/>
      <c r="ABK43" s="38"/>
      <c r="ABL43" s="38"/>
      <c r="ABM43" s="38"/>
      <c r="ABN43" s="38"/>
      <c r="ABO43" s="38"/>
      <c r="ABP43" s="38"/>
      <c r="ABQ43" s="38"/>
      <c r="ABR43" s="38"/>
      <c r="ABS43" s="38"/>
      <c r="ABT43" s="38"/>
      <c r="ABU43" s="38"/>
      <c r="ABV43" s="38"/>
      <c r="ABW43" s="38"/>
      <c r="ABX43" s="38"/>
      <c r="ABY43" s="38"/>
      <c r="ABZ43" s="38"/>
      <c r="ACA43" s="38"/>
      <c r="ACB43" s="38"/>
      <c r="ACC43" s="38"/>
      <c r="ACD43" s="38"/>
      <c r="ACE43" s="38"/>
      <c r="ACF43" s="38"/>
      <c r="ACG43" s="38"/>
      <c r="ACH43" s="38"/>
      <c r="ACI43" s="38"/>
      <c r="ACJ43" s="38"/>
      <c r="ACK43" s="38"/>
      <c r="ACL43" s="38"/>
      <c r="ACM43" s="38"/>
      <c r="ACN43" s="38"/>
      <c r="ACO43" s="38"/>
      <c r="ACP43" s="38"/>
      <c r="ACQ43" s="38"/>
      <c r="ACR43" s="38"/>
      <c r="ACS43" s="38"/>
      <c r="ACT43" s="38"/>
      <c r="ACU43" s="38"/>
      <c r="ACV43" s="38"/>
      <c r="ACW43" s="38"/>
      <c r="ACX43" s="38"/>
      <c r="ACY43" s="38"/>
      <c r="ACZ43" s="38"/>
      <c r="ADA43" s="38"/>
      <c r="ADB43" s="38"/>
      <c r="ADC43" s="38"/>
      <c r="ADD43" s="38"/>
      <c r="ADE43" s="38"/>
      <c r="ADF43" s="38"/>
      <c r="ADG43" s="38"/>
      <c r="ADH43" s="38"/>
      <c r="ADI43" s="38"/>
      <c r="ADJ43" s="38"/>
      <c r="ADK43" s="38"/>
      <c r="ADL43" s="38"/>
      <c r="ADM43" s="38"/>
      <c r="ADN43" s="38"/>
      <c r="ADO43" s="38"/>
      <c r="ADP43" s="38"/>
      <c r="ADQ43" s="38"/>
      <c r="ADR43" s="38"/>
      <c r="ADS43" s="38"/>
      <c r="ADT43" s="38"/>
      <c r="ADU43" s="38"/>
      <c r="ADV43" s="38"/>
      <c r="ADW43" s="38"/>
      <c r="ADX43" s="38"/>
      <c r="ADY43" s="38"/>
      <c r="ADZ43" s="38"/>
      <c r="AEA43" s="38"/>
      <c r="AEB43" s="38"/>
      <c r="AEC43" s="38"/>
      <c r="AED43" s="38"/>
      <c r="AEE43" s="38"/>
      <c r="AEF43" s="38"/>
      <c r="AEG43" s="38"/>
      <c r="AEH43" s="38"/>
      <c r="AEI43" s="38"/>
      <c r="AEJ43" s="38"/>
      <c r="AEK43" s="38"/>
      <c r="AEL43" s="38"/>
      <c r="AEM43" s="38"/>
      <c r="AEN43" s="38"/>
      <c r="AEO43" s="38"/>
      <c r="AEP43" s="38"/>
      <c r="AEQ43" s="38"/>
      <c r="AER43" s="38"/>
      <c r="AES43" s="38"/>
      <c r="AET43" s="38"/>
      <c r="AEU43" s="38"/>
      <c r="AEV43" s="38"/>
      <c r="AEW43" s="38"/>
      <c r="AEX43" s="38"/>
      <c r="AEY43" s="38"/>
      <c r="AEZ43" s="38"/>
      <c r="AFA43" s="38"/>
      <c r="AFB43" s="38"/>
      <c r="AFC43" s="38"/>
      <c r="AFD43" s="38"/>
      <c r="AFE43" s="38"/>
      <c r="AFF43" s="38"/>
      <c r="AFG43" s="38"/>
      <c r="AFH43" s="38"/>
      <c r="AFI43" s="38"/>
      <c r="AFJ43" s="38"/>
      <c r="AFK43" s="38"/>
      <c r="AFL43" s="38"/>
      <c r="AFM43" s="38"/>
      <c r="AFN43" s="38"/>
      <c r="AFO43" s="38"/>
      <c r="AFP43" s="38"/>
      <c r="AFQ43" s="38"/>
      <c r="AFR43" s="38"/>
      <c r="AFS43" s="38"/>
      <c r="AFT43" s="38"/>
      <c r="AFU43" s="38"/>
      <c r="AFV43" s="38"/>
      <c r="AFW43" s="38"/>
      <c r="AFX43" s="38"/>
      <c r="AFY43" s="38"/>
      <c r="AFZ43" s="38"/>
      <c r="AGA43" s="38"/>
      <c r="AGB43" s="38"/>
      <c r="AGC43" s="38"/>
      <c r="AGD43" s="38"/>
      <c r="AGE43" s="38"/>
      <c r="AGF43" s="38"/>
      <c r="AGG43" s="38"/>
      <c r="AGH43" s="38"/>
      <c r="AGI43" s="38"/>
      <c r="AGJ43" s="38"/>
      <c r="AGK43" s="38"/>
      <c r="AGL43" s="38"/>
      <c r="AGM43" s="38"/>
      <c r="AGN43" s="38"/>
      <c r="AGO43" s="38"/>
      <c r="AGP43" s="38"/>
      <c r="AGQ43" s="38"/>
      <c r="AGR43" s="38"/>
      <c r="AGS43" s="38"/>
      <c r="AGT43" s="38"/>
      <c r="AGU43" s="38"/>
      <c r="AGV43" s="38"/>
      <c r="AGW43" s="38"/>
      <c r="AGX43" s="38"/>
      <c r="AGY43" s="38"/>
      <c r="AGZ43" s="38"/>
      <c r="AHA43" s="38"/>
      <c r="AHB43" s="38"/>
      <c r="AHC43" s="38"/>
      <c r="AHD43" s="38"/>
      <c r="AHE43" s="38"/>
      <c r="AHF43" s="38"/>
      <c r="AHG43" s="38"/>
      <c r="AHH43" s="38"/>
      <c r="AHI43" s="38"/>
      <c r="AHJ43" s="38"/>
      <c r="AHK43" s="38"/>
      <c r="AHL43" s="38"/>
      <c r="AHM43" s="38"/>
      <c r="AHN43" s="38"/>
      <c r="AHO43" s="38"/>
      <c r="AHP43" s="38"/>
      <c r="AHQ43" s="38"/>
      <c r="AHR43" s="38"/>
      <c r="AHS43" s="38"/>
      <c r="AHT43" s="38"/>
      <c r="AHU43" s="38"/>
      <c r="AHV43" s="38"/>
    </row>
    <row r="44" spans="1:906" s="27" customFormat="1" x14ac:dyDescent="0.35">
      <c r="A44" s="83">
        <v>40</v>
      </c>
      <c r="B44" s="108" t="s">
        <v>79</v>
      </c>
      <c r="C44" s="109" t="s">
        <v>80</v>
      </c>
      <c r="D44" s="109" t="s">
        <v>81</v>
      </c>
      <c r="E44" s="125"/>
      <c r="F44" s="125"/>
      <c r="G44" s="125"/>
      <c r="H44" s="125"/>
      <c r="I44" s="37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8"/>
      <c r="FC44" s="38"/>
      <c r="FD44" s="38"/>
      <c r="FE44" s="38"/>
      <c r="FF44" s="38"/>
      <c r="FG44" s="38"/>
      <c r="FH44" s="38"/>
      <c r="FI44" s="38"/>
      <c r="FJ44" s="38"/>
      <c r="FK44" s="38"/>
      <c r="FL44" s="38"/>
      <c r="FM44" s="38"/>
      <c r="FN44" s="38"/>
      <c r="FO44" s="38"/>
      <c r="FP44" s="38"/>
      <c r="FQ44" s="38"/>
      <c r="FR44" s="38"/>
      <c r="FS44" s="38"/>
      <c r="FT44" s="38"/>
      <c r="FU44" s="38"/>
      <c r="FV44" s="38"/>
      <c r="FW44" s="38"/>
      <c r="FX44" s="38"/>
      <c r="FY44" s="38"/>
      <c r="FZ44" s="38"/>
      <c r="GA44" s="38"/>
      <c r="GB44" s="38"/>
      <c r="GC44" s="38"/>
      <c r="GD44" s="38"/>
      <c r="GE44" s="38"/>
      <c r="GF44" s="38"/>
      <c r="GG44" s="38"/>
      <c r="GH44" s="38"/>
      <c r="GI44" s="38"/>
      <c r="GJ44" s="38"/>
      <c r="GK44" s="38"/>
      <c r="GL44" s="38"/>
      <c r="GM44" s="38"/>
      <c r="GN44" s="38"/>
      <c r="GO44" s="38"/>
      <c r="GP44" s="38"/>
      <c r="GQ44" s="38"/>
      <c r="GR44" s="38"/>
      <c r="GS44" s="38"/>
      <c r="GT44" s="38"/>
      <c r="GU44" s="38"/>
      <c r="GV44" s="38"/>
      <c r="GW44" s="38"/>
      <c r="GX44" s="38"/>
      <c r="GY44" s="38"/>
      <c r="GZ44" s="38"/>
      <c r="HA44" s="38"/>
      <c r="HB44" s="38"/>
      <c r="HC44" s="38"/>
      <c r="HD44" s="38"/>
      <c r="HE44" s="38"/>
      <c r="HF44" s="38"/>
      <c r="HG44" s="38"/>
      <c r="HH44" s="38"/>
      <c r="HI44" s="38"/>
      <c r="HJ44" s="38"/>
      <c r="HK44" s="38"/>
      <c r="HL44" s="38"/>
      <c r="HM44" s="38"/>
      <c r="HN44" s="38"/>
      <c r="HO44" s="38"/>
      <c r="HP44" s="38"/>
      <c r="HQ44" s="38"/>
      <c r="HR44" s="38"/>
      <c r="HS44" s="38"/>
      <c r="HT44" s="38"/>
      <c r="HU44" s="38"/>
      <c r="HV44" s="38"/>
      <c r="HW44" s="38"/>
      <c r="HX44" s="38"/>
      <c r="HY44" s="38"/>
      <c r="HZ44" s="38"/>
      <c r="IA44" s="38"/>
      <c r="IB44" s="38"/>
      <c r="IC44" s="38"/>
      <c r="ID44" s="38"/>
      <c r="IE44" s="38"/>
      <c r="IF44" s="38"/>
      <c r="IG44" s="38"/>
      <c r="IH44" s="38"/>
      <c r="II44" s="38"/>
      <c r="IJ44" s="38"/>
      <c r="IK44" s="38"/>
      <c r="IL44" s="38"/>
      <c r="IM44" s="38"/>
      <c r="IN44" s="38"/>
      <c r="IO44" s="38"/>
      <c r="IP44" s="38"/>
      <c r="IQ44" s="38"/>
      <c r="IR44" s="38"/>
      <c r="IS44" s="38"/>
      <c r="IT44" s="38"/>
      <c r="IU44" s="38"/>
      <c r="IV44" s="38"/>
      <c r="IW44" s="38"/>
      <c r="IX44" s="38"/>
      <c r="IY44" s="38"/>
      <c r="IZ44" s="38"/>
      <c r="JA44" s="38"/>
      <c r="JB44" s="38"/>
      <c r="JC44" s="38"/>
      <c r="JD44" s="38"/>
      <c r="JE44" s="38"/>
      <c r="JF44" s="38"/>
      <c r="JG44" s="38"/>
      <c r="JH44" s="38"/>
      <c r="JI44" s="38"/>
      <c r="JJ44" s="38"/>
      <c r="JK44" s="38"/>
      <c r="JL44" s="38"/>
      <c r="JM44" s="38"/>
      <c r="JN44" s="38"/>
      <c r="JO44" s="38"/>
      <c r="JP44" s="38"/>
      <c r="JQ44" s="38"/>
      <c r="JR44" s="38"/>
      <c r="JS44" s="38"/>
      <c r="JT44" s="38"/>
      <c r="JU44" s="38"/>
      <c r="JV44" s="38"/>
      <c r="JW44" s="38"/>
      <c r="JX44" s="38"/>
      <c r="JY44" s="38"/>
      <c r="JZ44" s="38"/>
      <c r="KA44" s="38"/>
      <c r="KB44" s="38"/>
      <c r="KC44" s="38"/>
      <c r="KD44" s="38"/>
      <c r="KE44" s="38"/>
      <c r="KF44" s="38"/>
      <c r="KG44" s="38"/>
      <c r="KH44" s="38"/>
      <c r="KI44" s="38"/>
      <c r="KJ44" s="38"/>
      <c r="KK44" s="38"/>
      <c r="KL44" s="38"/>
      <c r="KM44" s="38"/>
      <c r="KN44" s="38"/>
      <c r="KO44" s="38"/>
      <c r="KP44" s="38"/>
      <c r="KQ44" s="38"/>
      <c r="KR44" s="38"/>
      <c r="KS44" s="38"/>
      <c r="KT44" s="38"/>
      <c r="KU44" s="38"/>
      <c r="KV44" s="38"/>
      <c r="KW44" s="38"/>
      <c r="KX44" s="38"/>
      <c r="KY44" s="38"/>
      <c r="KZ44" s="38"/>
      <c r="LA44" s="38"/>
      <c r="LB44" s="38"/>
      <c r="LC44" s="38"/>
      <c r="LD44" s="38"/>
      <c r="LE44" s="38"/>
      <c r="LF44" s="38"/>
      <c r="LG44" s="38"/>
      <c r="LH44" s="38"/>
      <c r="LI44" s="38"/>
      <c r="LJ44" s="38"/>
      <c r="LK44" s="38"/>
      <c r="LL44" s="38"/>
      <c r="LM44" s="38"/>
      <c r="LN44" s="38"/>
      <c r="LO44" s="38"/>
      <c r="LP44" s="38"/>
      <c r="LQ44" s="38"/>
      <c r="LR44" s="38"/>
      <c r="LS44" s="38"/>
      <c r="LT44" s="38"/>
      <c r="LU44" s="38"/>
      <c r="LV44" s="38"/>
      <c r="LW44" s="38"/>
      <c r="LX44" s="38"/>
      <c r="LY44" s="38"/>
      <c r="LZ44" s="38"/>
      <c r="MA44" s="38"/>
      <c r="MB44" s="38"/>
      <c r="MC44" s="38"/>
      <c r="MD44" s="38"/>
      <c r="ME44" s="38"/>
      <c r="MF44" s="38"/>
      <c r="MG44" s="38"/>
      <c r="MH44" s="38"/>
      <c r="MI44" s="38"/>
      <c r="MJ44" s="38"/>
      <c r="MK44" s="38"/>
      <c r="ML44" s="38"/>
      <c r="MM44" s="38"/>
      <c r="MN44" s="38"/>
      <c r="MO44" s="38"/>
      <c r="MP44" s="38"/>
      <c r="MQ44" s="38"/>
      <c r="MR44" s="38"/>
      <c r="MS44" s="38"/>
      <c r="MT44" s="38"/>
      <c r="MU44" s="38"/>
      <c r="MV44" s="38"/>
      <c r="MW44" s="38"/>
      <c r="MX44" s="38"/>
      <c r="MY44" s="38"/>
      <c r="MZ44" s="38"/>
      <c r="NA44" s="38"/>
      <c r="NB44" s="38"/>
      <c r="NC44" s="38"/>
      <c r="ND44" s="38"/>
      <c r="NE44" s="38"/>
      <c r="NF44" s="38"/>
      <c r="NG44" s="38"/>
      <c r="NH44" s="38"/>
      <c r="NI44" s="38"/>
      <c r="NJ44" s="38"/>
      <c r="NK44" s="38"/>
      <c r="NL44" s="38"/>
      <c r="NM44" s="38"/>
      <c r="NN44" s="38"/>
      <c r="NO44" s="38"/>
      <c r="NP44" s="38"/>
      <c r="NQ44" s="38"/>
      <c r="NR44" s="38"/>
      <c r="NS44" s="38"/>
      <c r="NT44" s="38"/>
      <c r="NU44" s="38"/>
      <c r="NV44" s="38"/>
      <c r="NW44" s="38"/>
      <c r="NX44" s="38"/>
      <c r="NY44" s="38"/>
      <c r="NZ44" s="38"/>
      <c r="OA44" s="38"/>
      <c r="OB44" s="38"/>
      <c r="OC44" s="38"/>
      <c r="OD44" s="38"/>
      <c r="OE44" s="38"/>
      <c r="OF44" s="38"/>
      <c r="OG44" s="38"/>
      <c r="OH44" s="38"/>
      <c r="OI44" s="38"/>
      <c r="OJ44" s="38"/>
      <c r="OK44" s="38"/>
      <c r="OL44" s="38"/>
      <c r="OM44" s="38"/>
      <c r="ON44" s="38"/>
      <c r="OO44" s="38"/>
      <c r="OP44" s="38"/>
      <c r="OQ44" s="38"/>
      <c r="OR44" s="38"/>
      <c r="OS44" s="38"/>
      <c r="OT44" s="38"/>
      <c r="OU44" s="38"/>
      <c r="OV44" s="38"/>
      <c r="OW44" s="38"/>
      <c r="OX44" s="38"/>
      <c r="OY44" s="38"/>
      <c r="OZ44" s="38"/>
      <c r="PA44" s="38"/>
      <c r="PB44" s="38"/>
      <c r="PC44" s="38"/>
      <c r="PD44" s="38"/>
      <c r="PE44" s="38"/>
      <c r="PF44" s="38"/>
      <c r="PG44" s="38"/>
      <c r="PH44" s="38"/>
      <c r="PI44" s="38"/>
      <c r="PJ44" s="38"/>
      <c r="PK44" s="38"/>
      <c r="PL44" s="38"/>
      <c r="PM44" s="38"/>
      <c r="PN44" s="38"/>
      <c r="PO44" s="38"/>
      <c r="PP44" s="38"/>
      <c r="PQ44" s="38"/>
      <c r="PR44" s="38"/>
      <c r="PS44" s="38"/>
      <c r="PT44" s="38"/>
      <c r="PU44" s="38"/>
      <c r="PV44" s="38"/>
      <c r="PW44" s="38"/>
      <c r="PX44" s="38"/>
      <c r="PY44" s="38"/>
      <c r="PZ44" s="38"/>
      <c r="QA44" s="38"/>
      <c r="QB44" s="38"/>
      <c r="QC44" s="38"/>
      <c r="QD44" s="38"/>
      <c r="QE44" s="38"/>
      <c r="QF44" s="38"/>
      <c r="QG44" s="38"/>
      <c r="QH44" s="38"/>
      <c r="QI44" s="38"/>
      <c r="QJ44" s="38"/>
      <c r="QK44" s="38"/>
      <c r="QL44" s="38"/>
      <c r="QM44" s="38"/>
      <c r="QN44" s="38"/>
      <c r="QO44" s="38"/>
      <c r="QP44" s="38"/>
      <c r="QQ44" s="38"/>
      <c r="QR44" s="38"/>
      <c r="QS44" s="38"/>
      <c r="QT44" s="38"/>
      <c r="QU44" s="38"/>
      <c r="QV44" s="38"/>
      <c r="QW44" s="38"/>
      <c r="QX44" s="38"/>
      <c r="QY44" s="38"/>
      <c r="QZ44" s="38"/>
      <c r="RA44" s="38"/>
      <c r="RB44" s="38"/>
      <c r="RC44" s="38"/>
      <c r="RD44" s="38"/>
      <c r="RE44" s="38"/>
      <c r="RF44" s="38"/>
      <c r="RG44" s="38"/>
      <c r="RH44" s="38"/>
      <c r="RI44" s="38"/>
      <c r="RJ44" s="38"/>
      <c r="RK44" s="38"/>
      <c r="RL44" s="38"/>
      <c r="RM44" s="38"/>
      <c r="RN44" s="38"/>
      <c r="RO44" s="38"/>
      <c r="RP44" s="38"/>
      <c r="RQ44" s="38"/>
      <c r="RR44" s="38"/>
      <c r="RS44" s="38"/>
      <c r="RT44" s="38"/>
      <c r="RU44" s="38"/>
      <c r="RV44" s="38"/>
      <c r="RW44" s="38"/>
      <c r="RX44" s="38"/>
      <c r="RY44" s="38"/>
      <c r="RZ44" s="38"/>
      <c r="SA44" s="38"/>
      <c r="SB44" s="38"/>
      <c r="SC44" s="38"/>
      <c r="SD44" s="38"/>
      <c r="SE44" s="38"/>
      <c r="SF44" s="38"/>
      <c r="SG44" s="38"/>
      <c r="SH44" s="38"/>
      <c r="SI44" s="38"/>
      <c r="SJ44" s="38"/>
      <c r="SK44" s="38"/>
      <c r="SL44" s="38"/>
      <c r="SM44" s="38"/>
      <c r="SN44" s="38"/>
      <c r="SO44" s="38"/>
      <c r="SP44" s="38"/>
      <c r="SQ44" s="38"/>
      <c r="SR44" s="38"/>
      <c r="SS44" s="38"/>
      <c r="ST44" s="38"/>
      <c r="SU44" s="38"/>
      <c r="SV44" s="38"/>
      <c r="SW44" s="38"/>
      <c r="SX44" s="38"/>
      <c r="SY44" s="38"/>
      <c r="SZ44" s="38"/>
      <c r="TA44" s="38"/>
      <c r="TB44" s="38"/>
      <c r="TC44" s="38"/>
      <c r="TD44" s="38"/>
      <c r="TE44" s="38"/>
      <c r="TF44" s="38"/>
      <c r="TG44" s="38"/>
      <c r="TH44" s="38"/>
      <c r="TI44" s="38"/>
      <c r="TJ44" s="38"/>
      <c r="TK44" s="38"/>
      <c r="TL44" s="38"/>
      <c r="TM44" s="38"/>
      <c r="TN44" s="38"/>
      <c r="TO44" s="38"/>
      <c r="TP44" s="38"/>
      <c r="TQ44" s="38"/>
      <c r="TR44" s="38"/>
      <c r="TS44" s="38"/>
      <c r="TT44" s="38"/>
      <c r="TU44" s="38"/>
      <c r="TV44" s="38"/>
      <c r="TW44" s="38"/>
      <c r="TX44" s="38"/>
      <c r="TY44" s="38"/>
      <c r="TZ44" s="38"/>
      <c r="UA44" s="38"/>
      <c r="UB44" s="38"/>
      <c r="UC44" s="38"/>
      <c r="UD44" s="38"/>
      <c r="UE44" s="38"/>
      <c r="UF44" s="38"/>
      <c r="UG44" s="38"/>
      <c r="UH44" s="38"/>
      <c r="UI44" s="38"/>
      <c r="UJ44" s="38"/>
      <c r="UK44" s="38"/>
      <c r="UL44" s="38"/>
      <c r="UM44" s="38"/>
      <c r="UN44" s="38"/>
      <c r="UO44" s="38"/>
      <c r="UP44" s="38"/>
      <c r="UQ44" s="38"/>
      <c r="UR44" s="38"/>
      <c r="US44" s="38"/>
      <c r="UT44" s="38"/>
      <c r="UU44" s="38"/>
      <c r="UV44" s="38"/>
      <c r="UW44" s="38"/>
      <c r="UX44" s="38"/>
      <c r="UY44" s="38"/>
      <c r="UZ44" s="38"/>
      <c r="VA44" s="38"/>
      <c r="VB44" s="38"/>
      <c r="VC44" s="38"/>
      <c r="VD44" s="38"/>
      <c r="VE44" s="38"/>
      <c r="VF44" s="38"/>
      <c r="VG44" s="38"/>
      <c r="VH44" s="38"/>
      <c r="VI44" s="38"/>
      <c r="VJ44" s="38"/>
      <c r="VK44" s="38"/>
      <c r="VL44" s="38"/>
      <c r="VM44" s="38"/>
      <c r="VN44" s="38"/>
      <c r="VO44" s="38"/>
      <c r="VP44" s="38"/>
      <c r="VQ44" s="38"/>
      <c r="VR44" s="38"/>
      <c r="VS44" s="38"/>
      <c r="VT44" s="38"/>
      <c r="VU44" s="38"/>
      <c r="VV44" s="38"/>
      <c r="VW44" s="38"/>
      <c r="VX44" s="38"/>
      <c r="VY44" s="38"/>
      <c r="VZ44" s="38"/>
      <c r="WA44" s="38"/>
      <c r="WB44" s="38"/>
      <c r="WC44" s="38"/>
      <c r="WD44" s="38"/>
      <c r="WE44" s="38"/>
      <c r="WF44" s="38"/>
      <c r="WG44" s="38"/>
      <c r="WH44" s="38"/>
      <c r="WI44" s="38"/>
      <c r="WJ44" s="38"/>
      <c r="WK44" s="38"/>
      <c r="WL44" s="38"/>
      <c r="WM44" s="38"/>
      <c r="WN44" s="38"/>
      <c r="WO44" s="38"/>
      <c r="WP44" s="38"/>
      <c r="WQ44" s="38"/>
      <c r="WR44" s="38"/>
      <c r="WS44" s="38"/>
      <c r="WT44" s="38"/>
      <c r="WU44" s="38"/>
      <c r="WV44" s="38"/>
      <c r="WW44" s="38"/>
      <c r="WX44" s="38"/>
      <c r="WY44" s="38"/>
      <c r="WZ44" s="38"/>
      <c r="XA44" s="38"/>
      <c r="XB44" s="38"/>
      <c r="XC44" s="38"/>
      <c r="XD44" s="38"/>
      <c r="XE44" s="38"/>
      <c r="XF44" s="38"/>
      <c r="XG44" s="38"/>
      <c r="XH44" s="38"/>
      <c r="XI44" s="38"/>
      <c r="XJ44" s="38"/>
      <c r="XK44" s="38"/>
      <c r="XL44" s="38"/>
      <c r="XM44" s="38"/>
      <c r="XN44" s="38"/>
      <c r="XO44" s="38"/>
      <c r="XP44" s="38"/>
      <c r="XQ44" s="38"/>
      <c r="XR44" s="38"/>
      <c r="XS44" s="38"/>
      <c r="XT44" s="38"/>
      <c r="XU44" s="38"/>
      <c r="XV44" s="38"/>
      <c r="XW44" s="38"/>
      <c r="XX44" s="38"/>
      <c r="XY44" s="38"/>
      <c r="XZ44" s="38"/>
      <c r="YA44" s="38"/>
      <c r="YB44" s="38"/>
      <c r="YC44" s="38"/>
      <c r="YD44" s="38"/>
      <c r="YE44" s="38"/>
      <c r="YF44" s="38"/>
      <c r="YG44" s="38"/>
      <c r="YH44" s="38"/>
      <c r="YI44" s="38"/>
      <c r="YJ44" s="38"/>
      <c r="YK44" s="38"/>
      <c r="YL44" s="38"/>
      <c r="YM44" s="38"/>
      <c r="YN44" s="38"/>
      <c r="YO44" s="38"/>
      <c r="YP44" s="38"/>
      <c r="YQ44" s="38"/>
      <c r="YR44" s="38"/>
      <c r="YS44" s="38"/>
      <c r="YT44" s="38"/>
      <c r="YU44" s="38"/>
      <c r="YV44" s="38"/>
      <c r="YW44" s="38"/>
      <c r="YX44" s="38"/>
      <c r="YY44" s="38"/>
      <c r="YZ44" s="38"/>
      <c r="ZA44" s="38"/>
      <c r="ZB44" s="38"/>
      <c r="ZC44" s="38"/>
      <c r="ZD44" s="38"/>
      <c r="ZE44" s="38"/>
      <c r="ZF44" s="38"/>
      <c r="ZG44" s="38"/>
      <c r="ZH44" s="38"/>
      <c r="ZI44" s="38"/>
      <c r="ZJ44" s="38"/>
      <c r="ZK44" s="38"/>
      <c r="ZL44" s="38"/>
      <c r="ZM44" s="38"/>
      <c r="ZN44" s="38"/>
      <c r="ZO44" s="38"/>
      <c r="ZP44" s="38"/>
      <c r="ZQ44" s="38"/>
      <c r="ZR44" s="38"/>
      <c r="ZS44" s="38"/>
      <c r="ZT44" s="38"/>
      <c r="ZU44" s="38"/>
      <c r="ZV44" s="38"/>
      <c r="ZW44" s="38"/>
      <c r="ZX44" s="38"/>
      <c r="ZY44" s="38"/>
      <c r="ZZ44" s="38"/>
      <c r="AAA44" s="38"/>
      <c r="AAB44" s="38"/>
      <c r="AAC44" s="38"/>
      <c r="AAD44" s="38"/>
      <c r="AAE44" s="38"/>
      <c r="AAF44" s="38"/>
      <c r="AAG44" s="38"/>
      <c r="AAH44" s="38"/>
      <c r="AAI44" s="38"/>
      <c r="AAJ44" s="38"/>
      <c r="AAK44" s="38"/>
      <c r="AAL44" s="38"/>
      <c r="AAM44" s="38"/>
      <c r="AAN44" s="38"/>
      <c r="AAO44" s="38"/>
      <c r="AAP44" s="38"/>
      <c r="AAQ44" s="38"/>
      <c r="AAR44" s="38"/>
      <c r="AAS44" s="38"/>
      <c r="AAT44" s="38"/>
      <c r="AAU44" s="38"/>
      <c r="AAV44" s="38"/>
      <c r="AAW44" s="38"/>
      <c r="AAX44" s="38"/>
      <c r="AAY44" s="38"/>
      <c r="AAZ44" s="38"/>
      <c r="ABA44" s="38"/>
      <c r="ABB44" s="38"/>
      <c r="ABC44" s="38"/>
      <c r="ABD44" s="38"/>
      <c r="ABE44" s="38"/>
      <c r="ABF44" s="38"/>
      <c r="ABG44" s="38"/>
      <c r="ABH44" s="38"/>
      <c r="ABI44" s="38"/>
      <c r="ABJ44" s="38"/>
      <c r="ABK44" s="38"/>
      <c r="ABL44" s="38"/>
      <c r="ABM44" s="38"/>
      <c r="ABN44" s="38"/>
      <c r="ABO44" s="38"/>
      <c r="ABP44" s="38"/>
      <c r="ABQ44" s="38"/>
      <c r="ABR44" s="38"/>
      <c r="ABS44" s="38"/>
      <c r="ABT44" s="38"/>
      <c r="ABU44" s="38"/>
      <c r="ABV44" s="38"/>
      <c r="ABW44" s="38"/>
      <c r="ABX44" s="38"/>
      <c r="ABY44" s="38"/>
      <c r="ABZ44" s="38"/>
      <c r="ACA44" s="38"/>
      <c r="ACB44" s="38"/>
      <c r="ACC44" s="38"/>
      <c r="ACD44" s="38"/>
      <c r="ACE44" s="38"/>
      <c r="ACF44" s="38"/>
      <c r="ACG44" s="38"/>
      <c r="ACH44" s="38"/>
      <c r="ACI44" s="38"/>
      <c r="ACJ44" s="38"/>
      <c r="ACK44" s="38"/>
      <c r="ACL44" s="38"/>
      <c r="ACM44" s="38"/>
      <c r="ACN44" s="38"/>
      <c r="ACO44" s="38"/>
      <c r="ACP44" s="38"/>
      <c r="ACQ44" s="38"/>
      <c r="ACR44" s="38"/>
      <c r="ACS44" s="38"/>
      <c r="ACT44" s="38"/>
      <c r="ACU44" s="38"/>
      <c r="ACV44" s="38"/>
      <c r="ACW44" s="38"/>
      <c r="ACX44" s="38"/>
      <c r="ACY44" s="38"/>
      <c r="ACZ44" s="38"/>
      <c r="ADA44" s="38"/>
      <c r="ADB44" s="38"/>
      <c r="ADC44" s="38"/>
      <c r="ADD44" s="38"/>
      <c r="ADE44" s="38"/>
      <c r="ADF44" s="38"/>
      <c r="ADG44" s="38"/>
      <c r="ADH44" s="38"/>
      <c r="ADI44" s="38"/>
      <c r="ADJ44" s="38"/>
      <c r="ADK44" s="38"/>
      <c r="ADL44" s="38"/>
      <c r="ADM44" s="38"/>
      <c r="ADN44" s="38"/>
      <c r="ADO44" s="38"/>
      <c r="ADP44" s="38"/>
      <c r="ADQ44" s="38"/>
      <c r="ADR44" s="38"/>
      <c r="ADS44" s="38"/>
      <c r="ADT44" s="38"/>
      <c r="ADU44" s="38"/>
      <c r="ADV44" s="38"/>
      <c r="ADW44" s="38"/>
      <c r="ADX44" s="38"/>
      <c r="ADY44" s="38"/>
      <c r="ADZ44" s="38"/>
      <c r="AEA44" s="38"/>
      <c r="AEB44" s="38"/>
      <c r="AEC44" s="38"/>
      <c r="AED44" s="38"/>
      <c r="AEE44" s="38"/>
      <c r="AEF44" s="38"/>
      <c r="AEG44" s="38"/>
      <c r="AEH44" s="38"/>
      <c r="AEI44" s="38"/>
      <c r="AEJ44" s="38"/>
      <c r="AEK44" s="38"/>
      <c r="AEL44" s="38"/>
      <c r="AEM44" s="38"/>
      <c r="AEN44" s="38"/>
      <c r="AEO44" s="38"/>
      <c r="AEP44" s="38"/>
      <c r="AEQ44" s="38"/>
      <c r="AER44" s="38"/>
      <c r="AES44" s="38"/>
      <c r="AET44" s="38"/>
      <c r="AEU44" s="38"/>
      <c r="AEV44" s="38"/>
      <c r="AEW44" s="38"/>
      <c r="AEX44" s="38"/>
      <c r="AEY44" s="38"/>
      <c r="AEZ44" s="38"/>
      <c r="AFA44" s="38"/>
      <c r="AFB44" s="38"/>
      <c r="AFC44" s="38"/>
      <c r="AFD44" s="38"/>
      <c r="AFE44" s="38"/>
      <c r="AFF44" s="38"/>
      <c r="AFG44" s="38"/>
      <c r="AFH44" s="38"/>
      <c r="AFI44" s="38"/>
      <c r="AFJ44" s="38"/>
      <c r="AFK44" s="38"/>
      <c r="AFL44" s="38"/>
      <c r="AFM44" s="38"/>
      <c r="AFN44" s="38"/>
      <c r="AFO44" s="38"/>
      <c r="AFP44" s="38"/>
      <c r="AFQ44" s="38"/>
      <c r="AFR44" s="38"/>
      <c r="AFS44" s="38"/>
      <c r="AFT44" s="38"/>
      <c r="AFU44" s="38"/>
      <c r="AFV44" s="38"/>
      <c r="AFW44" s="38"/>
      <c r="AFX44" s="38"/>
      <c r="AFY44" s="38"/>
      <c r="AFZ44" s="38"/>
      <c r="AGA44" s="38"/>
      <c r="AGB44" s="38"/>
      <c r="AGC44" s="38"/>
      <c r="AGD44" s="38"/>
      <c r="AGE44" s="38"/>
      <c r="AGF44" s="38"/>
      <c r="AGG44" s="38"/>
      <c r="AGH44" s="38"/>
      <c r="AGI44" s="38"/>
      <c r="AGJ44" s="38"/>
      <c r="AGK44" s="38"/>
      <c r="AGL44" s="38"/>
      <c r="AGM44" s="38"/>
      <c r="AGN44" s="38"/>
      <c r="AGO44" s="38"/>
      <c r="AGP44" s="38"/>
      <c r="AGQ44" s="38"/>
      <c r="AGR44" s="38"/>
      <c r="AGS44" s="38"/>
      <c r="AGT44" s="38"/>
      <c r="AGU44" s="38"/>
      <c r="AGV44" s="38"/>
      <c r="AGW44" s="38"/>
      <c r="AGX44" s="38"/>
      <c r="AGY44" s="38"/>
      <c r="AGZ44" s="38"/>
      <c r="AHA44" s="38"/>
      <c r="AHB44" s="38"/>
      <c r="AHC44" s="38"/>
      <c r="AHD44" s="38"/>
      <c r="AHE44" s="38"/>
      <c r="AHF44" s="38"/>
      <c r="AHG44" s="38"/>
      <c r="AHH44" s="38"/>
      <c r="AHI44" s="38"/>
      <c r="AHJ44" s="38"/>
      <c r="AHK44" s="38"/>
      <c r="AHL44" s="38"/>
      <c r="AHM44" s="38"/>
      <c r="AHN44" s="38"/>
      <c r="AHO44" s="38"/>
      <c r="AHP44" s="38"/>
      <c r="AHQ44" s="38"/>
      <c r="AHR44" s="38"/>
      <c r="AHS44" s="38"/>
      <c r="AHT44" s="38"/>
      <c r="AHU44" s="38"/>
      <c r="AHV44" s="38"/>
    </row>
    <row r="45" spans="1:906" s="27" customFormat="1" x14ac:dyDescent="0.35">
      <c r="A45" s="83">
        <v>41</v>
      </c>
      <c r="B45" s="108" t="s">
        <v>79</v>
      </c>
      <c r="C45" s="109" t="s">
        <v>286</v>
      </c>
      <c r="D45" s="109" t="s">
        <v>76</v>
      </c>
      <c r="E45" s="125">
        <v>28.05</v>
      </c>
      <c r="F45" s="125">
        <v>26.95</v>
      </c>
      <c r="G45" s="125">
        <v>25.95</v>
      </c>
      <c r="H45" s="125"/>
      <c r="I45" s="37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</row>
    <row r="46" spans="1:906" s="27" customFormat="1" x14ac:dyDescent="0.35">
      <c r="A46" s="83">
        <v>42</v>
      </c>
      <c r="B46" s="108" t="s">
        <v>79</v>
      </c>
      <c r="C46" s="109" t="s">
        <v>286</v>
      </c>
      <c r="D46" s="109" t="s">
        <v>83</v>
      </c>
      <c r="E46" s="125">
        <v>14.4</v>
      </c>
      <c r="F46" s="125">
        <v>12.99</v>
      </c>
      <c r="G46" s="125"/>
      <c r="H46" s="125"/>
      <c r="I46" s="37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</row>
    <row r="47" spans="1:906" s="27" customFormat="1" x14ac:dyDescent="0.35">
      <c r="A47" s="83">
        <v>43</v>
      </c>
      <c r="B47" s="108" t="s">
        <v>84</v>
      </c>
      <c r="C47" s="109" t="s">
        <v>85</v>
      </c>
      <c r="D47" s="109" t="s">
        <v>86</v>
      </c>
      <c r="E47" s="125"/>
      <c r="F47" s="125">
        <v>5.5</v>
      </c>
      <c r="G47" s="125">
        <v>5.35</v>
      </c>
      <c r="H47" s="125"/>
      <c r="I47" s="37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  <c r="EX47" s="38"/>
      <c r="EY47" s="38"/>
      <c r="EZ47" s="38"/>
      <c r="FA47" s="38"/>
      <c r="FB47" s="38"/>
      <c r="FC47" s="38"/>
      <c r="FD47" s="38"/>
      <c r="FE47" s="38"/>
      <c r="FF47" s="38"/>
      <c r="FG47" s="38"/>
      <c r="FH47" s="38"/>
      <c r="FI47" s="38"/>
      <c r="FJ47" s="38"/>
      <c r="FK47" s="38"/>
      <c r="FL47" s="38"/>
      <c r="FM47" s="38"/>
      <c r="FN47" s="38"/>
      <c r="FO47" s="38"/>
      <c r="FP47" s="38"/>
      <c r="FQ47" s="38"/>
      <c r="FR47" s="38"/>
      <c r="FS47" s="38"/>
      <c r="FT47" s="38"/>
      <c r="FU47" s="38"/>
      <c r="FV47" s="38"/>
      <c r="FW47" s="38"/>
      <c r="FX47" s="38"/>
      <c r="FY47" s="38"/>
      <c r="FZ47" s="38"/>
      <c r="GA47" s="38"/>
      <c r="GB47" s="38"/>
      <c r="GC47" s="38"/>
      <c r="GD47" s="38"/>
      <c r="GE47" s="38"/>
      <c r="GF47" s="38"/>
      <c r="GG47" s="38"/>
      <c r="GH47" s="38"/>
      <c r="GI47" s="38"/>
      <c r="GJ47" s="38"/>
      <c r="GK47" s="38"/>
      <c r="GL47" s="38"/>
      <c r="GM47" s="38"/>
      <c r="GN47" s="38"/>
      <c r="GO47" s="38"/>
      <c r="GP47" s="38"/>
      <c r="GQ47" s="38"/>
      <c r="GR47" s="38"/>
      <c r="GS47" s="38"/>
      <c r="GT47" s="38"/>
      <c r="GU47" s="38"/>
      <c r="GV47" s="38"/>
      <c r="GW47" s="38"/>
      <c r="GX47" s="38"/>
      <c r="GY47" s="38"/>
      <c r="GZ47" s="38"/>
      <c r="HA47" s="38"/>
      <c r="HB47" s="38"/>
      <c r="HC47" s="38"/>
      <c r="HD47" s="38"/>
      <c r="HE47" s="38"/>
      <c r="HF47" s="38"/>
      <c r="HG47" s="38"/>
      <c r="HH47" s="38"/>
      <c r="HI47" s="38"/>
      <c r="HJ47" s="38"/>
      <c r="HK47" s="38"/>
      <c r="HL47" s="38"/>
      <c r="HM47" s="38"/>
      <c r="HN47" s="38"/>
      <c r="HO47" s="38"/>
      <c r="HP47" s="38"/>
      <c r="HQ47" s="38"/>
      <c r="HR47" s="38"/>
      <c r="HS47" s="38"/>
      <c r="HT47" s="38"/>
      <c r="HU47" s="38"/>
      <c r="HV47" s="38"/>
      <c r="HW47" s="38"/>
      <c r="HX47" s="38"/>
      <c r="HY47" s="38"/>
      <c r="HZ47" s="38"/>
      <c r="IA47" s="38"/>
      <c r="IB47" s="38"/>
      <c r="IC47" s="38"/>
      <c r="ID47" s="38"/>
      <c r="IE47" s="38"/>
      <c r="IF47" s="38"/>
      <c r="IG47" s="38"/>
      <c r="IH47" s="38"/>
      <c r="II47" s="38"/>
      <c r="IJ47" s="38"/>
      <c r="IK47" s="38"/>
      <c r="IL47" s="38"/>
      <c r="IM47" s="38"/>
      <c r="IN47" s="38"/>
      <c r="IO47" s="38"/>
      <c r="IP47" s="38"/>
      <c r="IQ47" s="38"/>
      <c r="IR47" s="38"/>
      <c r="IS47" s="38"/>
      <c r="IT47" s="38"/>
      <c r="IU47" s="38"/>
      <c r="IV47" s="38"/>
      <c r="IW47" s="38"/>
      <c r="IX47" s="38"/>
      <c r="IY47" s="38"/>
      <c r="IZ47" s="38"/>
      <c r="JA47" s="38"/>
      <c r="JB47" s="38"/>
      <c r="JC47" s="38"/>
      <c r="JD47" s="38"/>
      <c r="JE47" s="38"/>
      <c r="JF47" s="38"/>
      <c r="JG47" s="38"/>
      <c r="JH47" s="38"/>
      <c r="JI47" s="38"/>
      <c r="JJ47" s="38"/>
      <c r="JK47" s="38"/>
      <c r="JL47" s="38"/>
      <c r="JM47" s="38"/>
      <c r="JN47" s="38"/>
      <c r="JO47" s="38"/>
      <c r="JP47" s="38"/>
      <c r="JQ47" s="38"/>
      <c r="JR47" s="38"/>
      <c r="JS47" s="38"/>
      <c r="JT47" s="38"/>
      <c r="JU47" s="38"/>
      <c r="JV47" s="38"/>
      <c r="JW47" s="38"/>
      <c r="JX47" s="38"/>
      <c r="JY47" s="38"/>
      <c r="JZ47" s="38"/>
      <c r="KA47" s="38"/>
      <c r="KB47" s="38"/>
      <c r="KC47" s="38"/>
      <c r="KD47" s="38"/>
      <c r="KE47" s="38"/>
      <c r="KF47" s="38"/>
      <c r="KG47" s="38"/>
      <c r="KH47" s="38"/>
      <c r="KI47" s="38"/>
      <c r="KJ47" s="38"/>
      <c r="KK47" s="38"/>
      <c r="KL47" s="38"/>
      <c r="KM47" s="38"/>
      <c r="KN47" s="38"/>
      <c r="KO47" s="38"/>
      <c r="KP47" s="38"/>
      <c r="KQ47" s="38"/>
      <c r="KR47" s="38"/>
      <c r="KS47" s="38"/>
      <c r="KT47" s="38"/>
      <c r="KU47" s="38"/>
      <c r="KV47" s="38"/>
      <c r="KW47" s="38"/>
      <c r="KX47" s="38"/>
      <c r="KY47" s="38"/>
      <c r="KZ47" s="38"/>
      <c r="LA47" s="38"/>
      <c r="LB47" s="38"/>
      <c r="LC47" s="38"/>
      <c r="LD47" s="38"/>
      <c r="LE47" s="38"/>
      <c r="LF47" s="38"/>
      <c r="LG47" s="38"/>
      <c r="LH47" s="38"/>
      <c r="LI47" s="38"/>
      <c r="LJ47" s="38"/>
      <c r="LK47" s="38"/>
      <c r="LL47" s="38"/>
      <c r="LM47" s="38"/>
      <c r="LN47" s="38"/>
      <c r="LO47" s="38"/>
      <c r="LP47" s="38"/>
      <c r="LQ47" s="38"/>
      <c r="LR47" s="38"/>
      <c r="LS47" s="38"/>
      <c r="LT47" s="38"/>
      <c r="LU47" s="38"/>
      <c r="LV47" s="38"/>
      <c r="LW47" s="38"/>
      <c r="LX47" s="38"/>
      <c r="LY47" s="38"/>
      <c r="LZ47" s="38"/>
      <c r="MA47" s="38"/>
      <c r="MB47" s="38"/>
      <c r="MC47" s="38"/>
      <c r="MD47" s="38"/>
      <c r="ME47" s="38"/>
      <c r="MF47" s="38"/>
      <c r="MG47" s="38"/>
      <c r="MH47" s="38"/>
      <c r="MI47" s="38"/>
      <c r="MJ47" s="38"/>
      <c r="MK47" s="38"/>
      <c r="ML47" s="38"/>
      <c r="MM47" s="38"/>
      <c r="MN47" s="38"/>
      <c r="MO47" s="38"/>
      <c r="MP47" s="38"/>
      <c r="MQ47" s="38"/>
      <c r="MR47" s="38"/>
      <c r="MS47" s="38"/>
      <c r="MT47" s="38"/>
      <c r="MU47" s="38"/>
      <c r="MV47" s="38"/>
      <c r="MW47" s="38"/>
      <c r="MX47" s="38"/>
      <c r="MY47" s="38"/>
      <c r="MZ47" s="38"/>
      <c r="NA47" s="38"/>
      <c r="NB47" s="38"/>
      <c r="NC47" s="38"/>
      <c r="ND47" s="38"/>
      <c r="NE47" s="38"/>
      <c r="NF47" s="38"/>
      <c r="NG47" s="38"/>
      <c r="NH47" s="38"/>
      <c r="NI47" s="38"/>
      <c r="NJ47" s="38"/>
      <c r="NK47" s="38"/>
      <c r="NL47" s="38"/>
      <c r="NM47" s="38"/>
      <c r="NN47" s="38"/>
      <c r="NO47" s="38"/>
      <c r="NP47" s="38"/>
      <c r="NQ47" s="38"/>
      <c r="NR47" s="38"/>
      <c r="NS47" s="38"/>
      <c r="NT47" s="38"/>
      <c r="NU47" s="38"/>
      <c r="NV47" s="38"/>
      <c r="NW47" s="38"/>
      <c r="NX47" s="38"/>
      <c r="NY47" s="38"/>
      <c r="NZ47" s="38"/>
      <c r="OA47" s="38"/>
      <c r="OB47" s="38"/>
      <c r="OC47" s="38"/>
      <c r="OD47" s="38"/>
      <c r="OE47" s="38"/>
      <c r="OF47" s="38"/>
      <c r="OG47" s="38"/>
      <c r="OH47" s="38"/>
      <c r="OI47" s="38"/>
      <c r="OJ47" s="38"/>
      <c r="OK47" s="38"/>
      <c r="OL47" s="38"/>
      <c r="OM47" s="38"/>
      <c r="ON47" s="38"/>
      <c r="OO47" s="38"/>
      <c r="OP47" s="38"/>
      <c r="OQ47" s="38"/>
      <c r="OR47" s="38"/>
      <c r="OS47" s="38"/>
      <c r="OT47" s="38"/>
      <c r="OU47" s="38"/>
      <c r="OV47" s="38"/>
      <c r="OW47" s="38"/>
      <c r="OX47" s="38"/>
      <c r="OY47" s="38"/>
      <c r="OZ47" s="38"/>
      <c r="PA47" s="38"/>
      <c r="PB47" s="38"/>
      <c r="PC47" s="38"/>
      <c r="PD47" s="38"/>
      <c r="PE47" s="38"/>
      <c r="PF47" s="38"/>
      <c r="PG47" s="38"/>
      <c r="PH47" s="38"/>
      <c r="PI47" s="38"/>
      <c r="PJ47" s="38"/>
      <c r="PK47" s="38"/>
      <c r="PL47" s="38"/>
      <c r="PM47" s="38"/>
      <c r="PN47" s="38"/>
      <c r="PO47" s="38"/>
      <c r="PP47" s="38"/>
      <c r="PQ47" s="38"/>
      <c r="PR47" s="38"/>
      <c r="PS47" s="38"/>
      <c r="PT47" s="38"/>
      <c r="PU47" s="38"/>
      <c r="PV47" s="38"/>
      <c r="PW47" s="38"/>
      <c r="PX47" s="38"/>
      <c r="PY47" s="38"/>
      <c r="PZ47" s="38"/>
      <c r="QA47" s="38"/>
      <c r="QB47" s="38"/>
      <c r="QC47" s="38"/>
      <c r="QD47" s="38"/>
      <c r="QE47" s="38"/>
      <c r="QF47" s="38"/>
      <c r="QG47" s="38"/>
      <c r="QH47" s="38"/>
      <c r="QI47" s="38"/>
      <c r="QJ47" s="38"/>
      <c r="QK47" s="38"/>
      <c r="QL47" s="38"/>
      <c r="QM47" s="38"/>
      <c r="QN47" s="38"/>
      <c r="QO47" s="38"/>
      <c r="QP47" s="38"/>
      <c r="QQ47" s="38"/>
      <c r="QR47" s="38"/>
      <c r="QS47" s="38"/>
      <c r="QT47" s="38"/>
      <c r="QU47" s="38"/>
      <c r="QV47" s="38"/>
      <c r="QW47" s="38"/>
      <c r="QX47" s="38"/>
      <c r="QY47" s="38"/>
      <c r="QZ47" s="38"/>
      <c r="RA47" s="38"/>
      <c r="RB47" s="38"/>
      <c r="RC47" s="38"/>
      <c r="RD47" s="38"/>
      <c r="RE47" s="38"/>
      <c r="RF47" s="38"/>
      <c r="RG47" s="38"/>
      <c r="RH47" s="38"/>
      <c r="RI47" s="38"/>
      <c r="RJ47" s="38"/>
      <c r="RK47" s="38"/>
      <c r="RL47" s="38"/>
      <c r="RM47" s="38"/>
      <c r="RN47" s="38"/>
      <c r="RO47" s="38"/>
      <c r="RP47" s="38"/>
      <c r="RQ47" s="38"/>
      <c r="RR47" s="38"/>
      <c r="RS47" s="38"/>
      <c r="RT47" s="38"/>
      <c r="RU47" s="38"/>
      <c r="RV47" s="38"/>
      <c r="RW47" s="38"/>
      <c r="RX47" s="38"/>
      <c r="RY47" s="38"/>
      <c r="RZ47" s="38"/>
      <c r="SA47" s="38"/>
      <c r="SB47" s="38"/>
      <c r="SC47" s="38"/>
      <c r="SD47" s="38"/>
      <c r="SE47" s="38"/>
      <c r="SF47" s="38"/>
      <c r="SG47" s="38"/>
      <c r="SH47" s="38"/>
      <c r="SI47" s="38"/>
      <c r="SJ47" s="38"/>
      <c r="SK47" s="38"/>
      <c r="SL47" s="38"/>
      <c r="SM47" s="38"/>
      <c r="SN47" s="38"/>
      <c r="SO47" s="38"/>
      <c r="SP47" s="38"/>
      <c r="SQ47" s="38"/>
      <c r="SR47" s="38"/>
      <c r="SS47" s="38"/>
      <c r="ST47" s="38"/>
      <c r="SU47" s="38"/>
      <c r="SV47" s="38"/>
      <c r="SW47" s="38"/>
      <c r="SX47" s="38"/>
      <c r="SY47" s="38"/>
      <c r="SZ47" s="38"/>
      <c r="TA47" s="38"/>
      <c r="TB47" s="38"/>
      <c r="TC47" s="38"/>
      <c r="TD47" s="38"/>
      <c r="TE47" s="38"/>
      <c r="TF47" s="38"/>
      <c r="TG47" s="38"/>
      <c r="TH47" s="38"/>
      <c r="TI47" s="38"/>
      <c r="TJ47" s="38"/>
      <c r="TK47" s="38"/>
      <c r="TL47" s="38"/>
      <c r="TM47" s="38"/>
      <c r="TN47" s="38"/>
      <c r="TO47" s="38"/>
      <c r="TP47" s="38"/>
      <c r="TQ47" s="38"/>
      <c r="TR47" s="38"/>
      <c r="TS47" s="38"/>
      <c r="TT47" s="38"/>
      <c r="TU47" s="38"/>
      <c r="TV47" s="38"/>
      <c r="TW47" s="38"/>
      <c r="TX47" s="38"/>
      <c r="TY47" s="38"/>
      <c r="TZ47" s="38"/>
      <c r="UA47" s="38"/>
      <c r="UB47" s="38"/>
      <c r="UC47" s="38"/>
      <c r="UD47" s="38"/>
      <c r="UE47" s="38"/>
      <c r="UF47" s="38"/>
      <c r="UG47" s="38"/>
      <c r="UH47" s="38"/>
      <c r="UI47" s="38"/>
      <c r="UJ47" s="38"/>
      <c r="UK47" s="38"/>
      <c r="UL47" s="38"/>
      <c r="UM47" s="38"/>
      <c r="UN47" s="38"/>
      <c r="UO47" s="38"/>
      <c r="UP47" s="38"/>
      <c r="UQ47" s="38"/>
      <c r="UR47" s="38"/>
      <c r="US47" s="38"/>
      <c r="UT47" s="38"/>
      <c r="UU47" s="38"/>
      <c r="UV47" s="38"/>
      <c r="UW47" s="38"/>
      <c r="UX47" s="38"/>
      <c r="UY47" s="38"/>
      <c r="UZ47" s="38"/>
      <c r="VA47" s="38"/>
      <c r="VB47" s="38"/>
      <c r="VC47" s="38"/>
      <c r="VD47" s="38"/>
      <c r="VE47" s="38"/>
      <c r="VF47" s="38"/>
      <c r="VG47" s="38"/>
      <c r="VH47" s="38"/>
      <c r="VI47" s="38"/>
      <c r="VJ47" s="38"/>
      <c r="VK47" s="38"/>
      <c r="VL47" s="38"/>
      <c r="VM47" s="38"/>
      <c r="VN47" s="38"/>
      <c r="VO47" s="38"/>
      <c r="VP47" s="38"/>
      <c r="VQ47" s="38"/>
      <c r="VR47" s="38"/>
      <c r="VS47" s="38"/>
      <c r="VT47" s="38"/>
      <c r="VU47" s="38"/>
      <c r="VV47" s="38"/>
      <c r="VW47" s="38"/>
      <c r="VX47" s="38"/>
      <c r="VY47" s="38"/>
      <c r="VZ47" s="38"/>
      <c r="WA47" s="38"/>
      <c r="WB47" s="38"/>
      <c r="WC47" s="38"/>
      <c r="WD47" s="38"/>
      <c r="WE47" s="38"/>
      <c r="WF47" s="38"/>
      <c r="WG47" s="38"/>
      <c r="WH47" s="38"/>
      <c r="WI47" s="38"/>
      <c r="WJ47" s="38"/>
      <c r="WK47" s="38"/>
      <c r="WL47" s="38"/>
      <c r="WM47" s="38"/>
      <c r="WN47" s="38"/>
      <c r="WO47" s="38"/>
      <c r="WP47" s="38"/>
      <c r="WQ47" s="38"/>
      <c r="WR47" s="38"/>
      <c r="WS47" s="38"/>
      <c r="WT47" s="38"/>
      <c r="WU47" s="38"/>
      <c r="WV47" s="38"/>
      <c r="WW47" s="38"/>
      <c r="WX47" s="38"/>
      <c r="WY47" s="38"/>
      <c r="WZ47" s="38"/>
      <c r="XA47" s="38"/>
      <c r="XB47" s="38"/>
      <c r="XC47" s="38"/>
      <c r="XD47" s="38"/>
      <c r="XE47" s="38"/>
      <c r="XF47" s="38"/>
      <c r="XG47" s="38"/>
      <c r="XH47" s="38"/>
      <c r="XI47" s="38"/>
      <c r="XJ47" s="38"/>
      <c r="XK47" s="38"/>
      <c r="XL47" s="38"/>
      <c r="XM47" s="38"/>
      <c r="XN47" s="38"/>
      <c r="XO47" s="38"/>
      <c r="XP47" s="38"/>
      <c r="XQ47" s="38"/>
      <c r="XR47" s="38"/>
      <c r="XS47" s="38"/>
      <c r="XT47" s="38"/>
      <c r="XU47" s="38"/>
      <c r="XV47" s="38"/>
      <c r="XW47" s="38"/>
      <c r="XX47" s="38"/>
      <c r="XY47" s="38"/>
      <c r="XZ47" s="38"/>
      <c r="YA47" s="38"/>
      <c r="YB47" s="38"/>
      <c r="YC47" s="38"/>
      <c r="YD47" s="38"/>
      <c r="YE47" s="38"/>
      <c r="YF47" s="38"/>
      <c r="YG47" s="38"/>
      <c r="YH47" s="38"/>
      <c r="YI47" s="38"/>
      <c r="YJ47" s="38"/>
      <c r="YK47" s="38"/>
      <c r="YL47" s="38"/>
      <c r="YM47" s="38"/>
      <c r="YN47" s="38"/>
      <c r="YO47" s="38"/>
      <c r="YP47" s="38"/>
      <c r="YQ47" s="38"/>
      <c r="YR47" s="38"/>
      <c r="YS47" s="38"/>
      <c r="YT47" s="38"/>
      <c r="YU47" s="38"/>
      <c r="YV47" s="38"/>
      <c r="YW47" s="38"/>
      <c r="YX47" s="38"/>
      <c r="YY47" s="38"/>
      <c r="YZ47" s="38"/>
      <c r="ZA47" s="38"/>
      <c r="ZB47" s="38"/>
      <c r="ZC47" s="38"/>
      <c r="ZD47" s="38"/>
      <c r="ZE47" s="38"/>
      <c r="ZF47" s="38"/>
      <c r="ZG47" s="38"/>
      <c r="ZH47" s="38"/>
      <c r="ZI47" s="38"/>
      <c r="ZJ47" s="38"/>
      <c r="ZK47" s="38"/>
      <c r="ZL47" s="38"/>
      <c r="ZM47" s="38"/>
      <c r="ZN47" s="38"/>
      <c r="ZO47" s="38"/>
      <c r="ZP47" s="38"/>
      <c r="ZQ47" s="38"/>
      <c r="ZR47" s="38"/>
      <c r="ZS47" s="38"/>
      <c r="ZT47" s="38"/>
      <c r="ZU47" s="38"/>
      <c r="ZV47" s="38"/>
      <c r="ZW47" s="38"/>
      <c r="ZX47" s="38"/>
      <c r="ZY47" s="38"/>
      <c r="ZZ47" s="38"/>
      <c r="AAA47" s="38"/>
      <c r="AAB47" s="38"/>
      <c r="AAC47" s="38"/>
      <c r="AAD47" s="38"/>
      <c r="AAE47" s="38"/>
      <c r="AAF47" s="38"/>
      <c r="AAG47" s="38"/>
      <c r="AAH47" s="38"/>
      <c r="AAI47" s="38"/>
      <c r="AAJ47" s="38"/>
      <c r="AAK47" s="38"/>
      <c r="AAL47" s="38"/>
      <c r="AAM47" s="38"/>
      <c r="AAN47" s="38"/>
      <c r="AAO47" s="38"/>
      <c r="AAP47" s="38"/>
      <c r="AAQ47" s="38"/>
      <c r="AAR47" s="38"/>
      <c r="AAS47" s="38"/>
      <c r="AAT47" s="38"/>
      <c r="AAU47" s="38"/>
      <c r="AAV47" s="38"/>
      <c r="AAW47" s="38"/>
      <c r="AAX47" s="38"/>
      <c r="AAY47" s="38"/>
      <c r="AAZ47" s="38"/>
      <c r="ABA47" s="38"/>
      <c r="ABB47" s="38"/>
      <c r="ABC47" s="38"/>
      <c r="ABD47" s="38"/>
      <c r="ABE47" s="38"/>
      <c r="ABF47" s="38"/>
      <c r="ABG47" s="38"/>
      <c r="ABH47" s="38"/>
      <c r="ABI47" s="38"/>
      <c r="ABJ47" s="38"/>
      <c r="ABK47" s="38"/>
      <c r="ABL47" s="38"/>
      <c r="ABM47" s="38"/>
      <c r="ABN47" s="38"/>
      <c r="ABO47" s="38"/>
      <c r="ABP47" s="38"/>
      <c r="ABQ47" s="38"/>
      <c r="ABR47" s="38"/>
      <c r="ABS47" s="38"/>
      <c r="ABT47" s="38"/>
      <c r="ABU47" s="38"/>
      <c r="ABV47" s="38"/>
      <c r="ABW47" s="38"/>
      <c r="ABX47" s="38"/>
      <c r="ABY47" s="38"/>
      <c r="ABZ47" s="38"/>
      <c r="ACA47" s="38"/>
      <c r="ACB47" s="38"/>
      <c r="ACC47" s="38"/>
      <c r="ACD47" s="38"/>
      <c r="ACE47" s="38"/>
      <c r="ACF47" s="38"/>
      <c r="ACG47" s="38"/>
      <c r="ACH47" s="38"/>
      <c r="ACI47" s="38"/>
      <c r="ACJ47" s="38"/>
      <c r="ACK47" s="38"/>
      <c r="ACL47" s="38"/>
      <c r="ACM47" s="38"/>
      <c r="ACN47" s="38"/>
      <c r="ACO47" s="38"/>
      <c r="ACP47" s="38"/>
      <c r="ACQ47" s="38"/>
      <c r="ACR47" s="38"/>
      <c r="ACS47" s="38"/>
      <c r="ACT47" s="38"/>
      <c r="ACU47" s="38"/>
      <c r="ACV47" s="38"/>
      <c r="ACW47" s="38"/>
      <c r="ACX47" s="38"/>
      <c r="ACY47" s="38"/>
      <c r="ACZ47" s="38"/>
      <c r="ADA47" s="38"/>
      <c r="ADB47" s="38"/>
      <c r="ADC47" s="38"/>
      <c r="ADD47" s="38"/>
      <c r="ADE47" s="38"/>
      <c r="ADF47" s="38"/>
      <c r="ADG47" s="38"/>
      <c r="ADH47" s="38"/>
      <c r="ADI47" s="38"/>
      <c r="ADJ47" s="38"/>
      <c r="ADK47" s="38"/>
      <c r="ADL47" s="38"/>
      <c r="ADM47" s="38"/>
      <c r="ADN47" s="38"/>
      <c r="ADO47" s="38"/>
      <c r="ADP47" s="38"/>
      <c r="ADQ47" s="38"/>
      <c r="ADR47" s="38"/>
      <c r="ADS47" s="38"/>
      <c r="ADT47" s="38"/>
      <c r="ADU47" s="38"/>
      <c r="ADV47" s="38"/>
      <c r="ADW47" s="38"/>
      <c r="ADX47" s="38"/>
      <c r="ADY47" s="38"/>
      <c r="ADZ47" s="38"/>
      <c r="AEA47" s="38"/>
      <c r="AEB47" s="38"/>
      <c r="AEC47" s="38"/>
      <c r="AED47" s="38"/>
      <c r="AEE47" s="38"/>
      <c r="AEF47" s="38"/>
      <c r="AEG47" s="38"/>
      <c r="AEH47" s="38"/>
      <c r="AEI47" s="38"/>
      <c r="AEJ47" s="38"/>
      <c r="AEK47" s="38"/>
      <c r="AEL47" s="38"/>
      <c r="AEM47" s="38"/>
      <c r="AEN47" s="38"/>
      <c r="AEO47" s="38"/>
      <c r="AEP47" s="38"/>
      <c r="AEQ47" s="38"/>
      <c r="AER47" s="38"/>
      <c r="AES47" s="38"/>
      <c r="AET47" s="38"/>
      <c r="AEU47" s="38"/>
      <c r="AEV47" s="38"/>
      <c r="AEW47" s="38"/>
      <c r="AEX47" s="38"/>
      <c r="AEY47" s="38"/>
      <c r="AEZ47" s="38"/>
      <c r="AFA47" s="38"/>
      <c r="AFB47" s="38"/>
      <c r="AFC47" s="38"/>
      <c r="AFD47" s="38"/>
      <c r="AFE47" s="38"/>
      <c r="AFF47" s="38"/>
      <c r="AFG47" s="38"/>
      <c r="AFH47" s="38"/>
      <c r="AFI47" s="38"/>
      <c r="AFJ47" s="38"/>
      <c r="AFK47" s="38"/>
      <c r="AFL47" s="38"/>
      <c r="AFM47" s="38"/>
      <c r="AFN47" s="38"/>
      <c r="AFO47" s="38"/>
      <c r="AFP47" s="38"/>
      <c r="AFQ47" s="38"/>
      <c r="AFR47" s="38"/>
      <c r="AFS47" s="38"/>
      <c r="AFT47" s="38"/>
      <c r="AFU47" s="38"/>
      <c r="AFV47" s="38"/>
      <c r="AFW47" s="38"/>
      <c r="AFX47" s="38"/>
      <c r="AFY47" s="38"/>
      <c r="AFZ47" s="38"/>
      <c r="AGA47" s="38"/>
      <c r="AGB47" s="38"/>
      <c r="AGC47" s="38"/>
      <c r="AGD47" s="38"/>
      <c r="AGE47" s="38"/>
      <c r="AGF47" s="38"/>
      <c r="AGG47" s="38"/>
      <c r="AGH47" s="38"/>
      <c r="AGI47" s="38"/>
      <c r="AGJ47" s="38"/>
      <c r="AGK47" s="38"/>
      <c r="AGL47" s="38"/>
      <c r="AGM47" s="38"/>
      <c r="AGN47" s="38"/>
      <c r="AGO47" s="38"/>
      <c r="AGP47" s="38"/>
      <c r="AGQ47" s="38"/>
      <c r="AGR47" s="38"/>
      <c r="AGS47" s="38"/>
      <c r="AGT47" s="38"/>
      <c r="AGU47" s="38"/>
      <c r="AGV47" s="38"/>
      <c r="AGW47" s="38"/>
      <c r="AGX47" s="38"/>
      <c r="AGY47" s="38"/>
      <c r="AGZ47" s="38"/>
      <c r="AHA47" s="38"/>
      <c r="AHB47" s="38"/>
      <c r="AHC47" s="38"/>
      <c r="AHD47" s="38"/>
      <c r="AHE47" s="38"/>
      <c r="AHF47" s="38"/>
      <c r="AHG47" s="38"/>
      <c r="AHH47" s="38"/>
      <c r="AHI47" s="38"/>
      <c r="AHJ47" s="38"/>
      <c r="AHK47" s="38"/>
      <c r="AHL47" s="38"/>
      <c r="AHM47" s="38"/>
      <c r="AHN47" s="38"/>
      <c r="AHO47" s="38"/>
      <c r="AHP47" s="38"/>
      <c r="AHQ47" s="38"/>
      <c r="AHR47" s="38"/>
      <c r="AHS47" s="38"/>
      <c r="AHT47" s="38"/>
      <c r="AHU47" s="38"/>
      <c r="AHV47" s="38"/>
    </row>
    <row r="48" spans="1:906" s="27" customFormat="1" x14ac:dyDescent="0.35">
      <c r="A48" s="83">
        <v>44</v>
      </c>
      <c r="B48" s="108" t="s">
        <v>87</v>
      </c>
      <c r="C48" s="109" t="s">
        <v>88</v>
      </c>
      <c r="D48" s="109" t="s">
        <v>89</v>
      </c>
      <c r="E48" s="125">
        <v>10.25</v>
      </c>
      <c r="F48" s="125">
        <v>8.5</v>
      </c>
      <c r="G48" s="125">
        <v>9.5</v>
      </c>
      <c r="H48" s="125">
        <v>9.9499999999999993</v>
      </c>
      <c r="I48" s="37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8"/>
      <c r="EQ48" s="38"/>
      <c r="ER48" s="38"/>
      <c r="ES48" s="38"/>
      <c r="ET48" s="38"/>
      <c r="EU48" s="38"/>
      <c r="EV48" s="38"/>
      <c r="EW48" s="38"/>
      <c r="EX48" s="38"/>
      <c r="EY48" s="38"/>
      <c r="EZ48" s="38"/>
      <c r="FA48" s="38"/>
      <c r="FB48" s="38"/>
      <c r="FC48" s="38"/>
      <c r="FD48" s="38"/>
      <c r="FE48" s="38"/>
      <c r="FF48" s="38"/>
      <c r="FG48" s="38"/>
      <c r="FH48" s="38"/>
      <c r="FI48" s="38"/>
      <c r="FJ48" s="38"/>
      <c r="FK48" s="38"/>
      <c r="FL48" s="38"/>
      <c r="FM48" s="38"/>
      <c r="FN48" s="38"/>
      <c r="FO48" s="38"/>
      <c r="FP48" s="38"/>
      <c r="FQ48" s="38"/>
      <c r="FR48" s="38"/>
      <c r="FS48" s="38"/>
      <c r="FT48" s="38"/>
      <c r="FU48" s="38"/>
      <c r="FV48" s="38"/>
      <c r="FW48" s="38"/>
      <c r="FX48" s="38"/>
      <c r="FY48" s="38"/>
      <c r="FZ48" s="38"/>
      <c r="GA48" s="38"/>
      <c r="GB48" s="38"/>
      <c r="GC48" s="38"/>
      <c r="GD48" s="38"/>
      <c r="GE48" s="38"/>
      <c r="GF48" s="38"/>
      <c r="GG48" s="38"/>
      <c r="GH48" s="38"/>
      <c r="GI48" s="38"/>
      <c r="GJ48" s="38"/>
      <c r="GK48" s="38"/>
      <c r="GL48" s="38"/>
      <c r="GM48" s="38"/>
      <c r="GN48" s="38"/>
      <c r="GO48" s="38"/>
      <c r="GP48" s="38"/>
      <c r="GQ48" s="38"/>
      <c r="GR48" s="38"/>
      <c r="GS48" s="38"/>
      <c r="GT48" s="38"/>
      <c r="GU48" s="38"/>
      <c r="GV48" s="38"/>
      <c r="GW48" s="38"/>
      <c r="GX48" s="38"/>
      <c r="GY48" s="38"/>
      <c r="GZ48" s="38"/>
      <c r="HA48" s="38"/>
      <c r="HB48" s="38"/>
      <c r="HC48" s="38"/>
      <c r="HD48" s="38"/>
      <c r="HE48" s="38"/>
      <c r="HF48" s="38"/>
      <c r="HG48" s="38"/>
      <c r="HH48" s="38"/>
      <c r="HI48" s="38"/>
      <c r="HJ48" s="38"/>
      <c r="HK48" s="38"/>
      <c r="HL48" s="38"/>
      <c r="HM48" s="38"/>
      <c r="HN48" s="38"/>
      <c r="HO48" s="38"/>
      <c r="HP48" s="38"/>
      <c r="HQ48" s="38"/>
      <c r="HR48" s="38"/>
      <c r="HS48" s="38"/>
      <c r="HT48" s="38"/>
      <c r="HU48" s="38"/>
      <c r="HV48" s="38"/>
      <c r="HW48" s="38"/>
      <c r="HX48" s="38"/>
      <c r="HY48" s="38"/>
      <c r="HZ48" s="38"/>
      <c r="IA48" s="38"/>
      <c r="IB48" s="38"/>
      <c r="IC48" s="38"/>
      <c r="ID48" s="38"/>
      <c r="IE48" s="38"/>
      <c r="IF48" s="38"/>
      <c r="IG48" s="38"/>
      <c r="IH48" s="38"/>
      <c r="II48" s="38"/>
      <c r="IJ48" s="38"/>
      <c r="IK48" s="38"/>
      <c r="IL48" s="38"/>
      <c r="IM48" s="38"/>
      <c r="IN48" s="38"/>
      <c r="IO48" s="38"/>
      <c r="IP48" s="38"/>
      <c r="IQ48" s="38"/>
      <c r="IR48" s="38"/>
      <c r="IS48" s="38"/>
      <c r="IT48" s="38"/>
      <c r="IU48" s="38"/>
      <c r="IV48" s="38"/>
      <c r="IW48" s="38"/>
      <c r="IX48" s="38"/>
      <c r="IY48" s="38"/>
      <c r="IZ48" s="38"/>
      <c r="JA48" s="38"/>
      <c r="JB48" s="38"/>
      <c r="JC48" s="38"/>
      <c r="JD48" s="38"/>
      <c r="JE48" s="38"/>
      <c r="JF48" s="38"/>
      <c r="JG48" s="38"/>
      <c r="JH48" s="38"/>
      <c r="JI48" s="38"/>
      <c r="JJ48" s="38"/>
      <c r="JK48" s="38"/>
      <c r="JL48" s="38"/>
      <c r="JM48" s="38"/>
      <c r="JN48" s="38"/>
      <c r="JO48" s="38"/>
      <c r="JP48" s="38"/>
      <c r="JQ48" s="38"/>
      <c r="JR48" s="38"/>
      <c r="JS48" s="38"/>
      <c r="JT48" s="38"/>
      <c r="JU48" s="38"/>
      <c r="JV48" s="38"/>
      <c r="JW48" s="38"/>
      <c r="JX48" s="38"/>
      <c r="JY48" s="38"/>
      <c r="JZ48" s="38"/>
      <c r="KA48" s="38"/>
      <c r="KB48" s="38"/>
      <c r="KC48" s="38"/>
      <c r="KD48" s="38"/>
      <c r="KE48" s="38"/>
      <c r="KF48" s="38"/>
      <c r="KG48" s="38"/>
      <c r="KH48" s="38"/>
      <c r="KI48" s="38"/>
      <c r="KJ48" s="38"/>
      <c r="KK48" s="38"/>
      <c r="KL48" s="38"/>
      <c r="KM48" s="38"/>
      <c r="KN48" s="38"/>
      <c r="KO48" s="38"/>
      <c r="KP48" s="38"/>
      <c r="KQ48" s="38"/>
      <c r="KR48" s="38"/>
      <c r="KS48" s="38"/>
      <c r="KT48" s="38"/>
      <c r="KU48" s="38"/>
      <c r="KV48" s="38"/>
      <c r="KW48" s="38"/>
      <c r="KX48" s="38"/>
      <c r="KY48" s="38"/>
      <c r="KZ48" s="38"/>
      <c r="LA48" s="38"/>
      <c r="LB48" s="38"/>
      <c r="LC48" s="38"/>
      <c r="LD48" s="38"/>
      <c r="LE48" s="38"/>
      <c r="LF48" s="38"/>
      <c r="LG48" s="38"/>
      <c r="LH48" s="38"/>
      <c r="LI48" s="38"/>
      <c r="LJ48" s="38"/>
      <c r="LK48" s="38"/>
      <c r="LL48" s="38"/>
      <c r="LM48" s="38"/>
      <c r="LN48" s="38"/>
      <c r="LO48" s="38"/>
      <c r="LP48" s="38"/>
      <c r="LQ48" s="38"/>
      <c r="LR48" s="38"/>
      <c r="LS48" s="38"/>
      <c r="LT48" s="38"/>
      <c r="LU48" s="38"/>
      <c r="LV48" s="38"/>
      <c r="LW48" s="38"/>
      <c r="LX48" s="38"/>
      <c r="LY48" s="38"/>
      <c r="LZ48" s="38"/>
      <c r="MA48" s="38"/>
      <c r="MB48" s="38"/>
      <c r="MC48" s="38"/>
      <c r="MD48" s="38"/>
      <c r="ME48" s="38"/>
      <c r="MF48" s="38"/>
      <c r="MG48" s="38"/>
      <c r="MH48" s="38"/>
      <c r="MI48" s="38"/>
      <c r="MJ48" s="38"/>
      <c r="MK48" s="38"/>
      <c r="ML48" s="38"/>
      <c r="MM48" s="38"/>
      <c r="MN48" s="38"/>
      <c r="MO48" s="38"/>
      <c r="MP48" s="38"/>
      <c r="MQ48" s="38"/>
      <c r="MR48" s="38"/>
      <c r="MS48" s="38"/>
      <c r="MT48" s="38"/>
      <c r="MU48" s="38"/>
      <c r="MV48" s="38"/>
      <c r="MW48" s="38"/>
      <c r="MX48" s="38"/>
      <c r="MY48" s="38"/>
      <c r="MZ48" s="38"/>
      <c r="NA48" s="38"/>
      <c r="NB48" s="38"/>
      <c r="NC48" s="38"/>
      <c r="ND48" s="38"/>
      <c r="NE48" s="38"/>
      <c r="NF48" s="38"/>
      <c r="NG48" s="38"/>
      <c r="NH48" s="38"/>
      <c r="NI48" s="38"/>
      <c r="NJ48" s="38"/>
      <c r="NK48" s="38"/>
      <c r="NL48" s="38"/>
      <c r="NM48" s="38"/>
      <c r="NN48" s="38"/>
      <c r="NO48" s="38"/>
      <c r="NP48" s="38"/>
      <c r="NQ48" s="38"/>
      <c r="NR48" s="38"/>
      <c r="NS48" s="38"/>
      <c r="NT48" s="38"/>
      <c r="NU48" s="38"/>
      <c r="NV48" s="38"/>
      <c r="NW48" s="38"/>
      <c r="NX48" s="38"/>
      <c r="NY48" s="38"/>
      <c r="NZ48" s="38"/>
      <c r="OA48" s="38"/>
      <c r="OB48" s="38"/>
      <c r="OC48" s="38"/>
      <c r="OD48" s="38"/>
      <c r="OE48" s="38"/>
      <c r="OF48" s="38"/>
      <c r="OG48" s="38"/>
      <c r="OH48" s="38"/>
      <c r="OI48" s="38"/>
      <c r="OJ48" s="38"/>
      <c r="OK48" s="38"/>
      <c r="OL48" s="38"/>
      <c r="OM48" s="38"/>
      <c r="ON48" s="38"/>
      <c r="OO48" s="38"/>
      <c r="OP48" s="38"/>
      <c r="OQ48" s="38"/>
      <c r="OR48" s="38"/>
      <c r="OS48" s="38"/>
      <c r="OT48" s="38"/>
      <c r="OU48" s="38"/>
      <c r="OV48" s="38"/>
      <c r="OW48" s="38"/>
      <c r="OX48" s="38"/>
      <c r="OY48" s="38"/>
      <c r="OZ48" s="38"/>
      <c r="PA48" s="38"/>
      <c r="PB48" s="38"/>
      <c r="PC48" s="38"/>
      <c r="PD48" s="38"/>
      <c r="PE48" s="38"/>
      <c r="PF48" s="38"/>
      <c r="PG48" s="38"/>
      <c r="PH48" s="38"/>
      <c r="PI48" s="38"/>
      <c r="PJ48" s="38"/>
      <c r="PK48" s="38"/>
      <c r="PL48" s="38"/>
      <c r="PM48" s="38"/>
      <c r="PN48" s="38"/>
      <c r="PO48" s="38"/>
      <c r="PP48" s="38"/>
      <c r="PQ48" s="38"/>
      <c r="PR48" s="38"/>
      <c r="PS48" s="38"/>
      <c r="PT48" s="38"/>
      <c r="PU48" s="38"/>
      <c r="PV48" s="38"/>
      <c r="PW48" s="38"/>
      <c r="PX48" s="38"/>
      <c r="PY48" s="38"/>
      <c r="PZ48" s="38"/>
      <c r="QA48" s="38"/>
      <c r="QB48" s="38"/>
      <c r="QC48" s="38"/>
      <c r="QD48" s="38"/>
      <c r="QE48" s="38"/>
      <c r="QF48" s="38"/>
      <c r="QG48" s="38"/>
      <c r="QH48" s="38"/>
      <c r="QI48" s="38"/>
      <c r="QJ48" s="38"/>
      <c r="QK48" s="38"/>
      <c r="QL48" s="38"/>
      <c r="QM48" s="38"/>
      <c r="QN48" s="38"/>
      <c r="QO48" s="38"/>
      <c r="QP48" s="38"/>
      <c r="QQ48" s="38"/>
      <c r="QR48" s="38"/>
      <c r="QS48" s="38"/>
      <c r="QT48" s="38"/>
      <c r="QU48" s="38"/>
      <c r="QV48" s="38"/>
      <c r="QW48" s="38"/>
      <c r="QX48" s="38"/>
      <c r="QY48" s="38"/>
      <c r="QZ48" s="38"/>
      <c r="RA48" s="38"/>
      <c r="RB48" s="38"/>
      <c r="RC48" s="38"/>
      <c r="RD48" s="38"/>
      <c r="RE48" s="38"/>
      <c r="RF48" s="38"/>
      <c r="RG48" s="38"/>
      <c r="RH48" s="38"/>
      <c r="RI48" s="38"/>
      <c r="RJ48" s="38"/>
      <c r="RK48" s="38"/>
      <c r="RL48" s="38"/>
      <c r="RM48" s="38"/>
      <c r="RN48" s="38"/>
      <c r="RO48" s="38"/>
      <c r="RP48" s="38"/>
      <c r="RQ48" s="38"/>
      <c r="RR48" s="38"/>
      <c r="RS48" s="38"/>
      <c r="RT48" s="38"/>
      <c r="RU48" s="38"/>
      <c r="RV48" s="38"/>
      <c r="RW48" s="38"/>
      <c r="RX48" s="38"/>
      <c r="RY48" s="38"/>
      <c r="RZ48" s="38"/>
      <c r="SA48" s="38"/>
      <c r="SB48" s="38"/>
      <c r="SC48" s="38"/>
      <c r="SD48" s="38"/>
      <c r="SE48" s="38"/>
      <c r="SF48" s="38"/>
      <c r="SG48" s="38"/>
      <c r="SH48" s="38"/>
      <c r="SI48" s="38"/>
      <c r="SJ48" s="38"/>
      <c r="SK48" s="38"/>
      <c r="SL48" s="38"/>
      <c r="SM48" s="38"/>
      <c r="SN48" s="38"/>
      <c r="SO48" s="38"/>
      <c r="SP48" s="38"/>
      <c r="SQ48" s="38"/>
      <c r="SR48" s="38"/>
      <c r="SS48" s="38"/>
      <c r="ST48" s="38"/>
      <c r="SU48" s="38"/>
      <c r="SV48" s="38"/>
      <c r="SW48" s="38"/>
      <c r="SX48" s="38"/>
      <c r="SY48" s="38"/>
      <c r="SZ48" s="38"/>
      <c r="TA48" s="38"/>
      <c r="TB48" s="38"/>
      <c r="TC48" s="38"/>
      <c r="TD48" s="38"/>
      <c r="TE48" s="38"/>
      <c r="TF48" s="38"/>
      <c r="TG48" s="38"/>
      <c r="TH48" s="38"/>
      <c r="TI48" s="38"/>
      <c r="TJ48" s="38"/>
      <c r="TK48" s="38"/>
      <c r="TL48" s="38"/>
      <c r="TM48" s="38"/>
      <c r="TN48" s="38"/>
      <c r="TO48" s="38"/>
      <c r="TP48" s="38"/>
      <c r="TQ48" s="38"/>
      <c r="TR48" s="38"/>
      <c r="TS48" s="38"/>
      <c r="TT48" s="38"/>
      <c r="TU48" s="38"/>
      <c r="TV48" s="38"/>
      <c r="TW48" s="38"/>
      <c r="TX48" s="38"/>
      <c r="TY48" s="38"/>
      <c r="TZ48" s="38"/>
      <c r="UA48" s="38"/>
      <c r="UB48" s="38"/>
      <c r="UC48" s="38"/>
      <c r="UD48" s="38"/>
      <c r="UE48" s="38"/>
      <c r="UF48" s="38"/>
      <c r="UG48" s="38"/>
      <c r="UH48" s="38"/>
      <c r="UI48" s="38"/>
      <c r="UJ48" s="38"/>
      <c r="UK48" s="38"/>
      <c r="UL48" s="38"/>
      <c r="UM48" s="38"/>
      <c r="UN48" s="38"/>
      <c r="UO48" s="38"/>
      <c r="UP48" s="38"/>
      <c r="UQ48" s="38"/>
      <c r="UR48" s="38"/>
      <c r="US48" s="38"/>
      <c r="UT48" s="38"/>
      <c r="UU48" s="38"/>
      <c r="UV48" s="38"/>
      <c r="UW48" s="38"/>
      <c r="UX48" s="38"/>
      <c r="UY48" s="38"/>
      <c r="UZ48" s="38"/>
      <c r="VA48" s="38"/>
      <c r="VB48" s="38"/>
      <c r="VC48" s="38"/>
      <c r="VD48" s="38"/>
      <c r="VE48" s="38"/>
      <c r="VF48" s="38"/>
      <c r="VG48" s="38"/>
      <c r="VH48" s="38"/>
      <c r="VI48" s="38"/>
      <c r="VJ48" s="38"/>
      <c r="VK48" s="38"/>
      <c r="VL48" s="38"/>
      <c r="VM48" s="38"/>
      <c r="VN48" s="38"/>
      <c r="VO48" s="38"/>
      <c r="VP48" s="38"/>
      <c r="VQ48" s="38"/>
      <c r="VR48" s="38"/>
      <c r="VS48" s="38"/>
      <c r="VT48" s="38"/>
      <c r="VU48" s="38"/>
      <c r="VV48" s="38"/>
      <c r="VW48" s="38"/>
      <c r="VX48" s="38"/>
      <c r="VY48" s="38"/>
      <c r="VZ48" s="38"/>
      <c r="WA48" s="38"/>
      <c r="WB48" s="38"/>
      <c r="WC48" s="38"/>
      <c r="WD48" s="38"/>
      <c r="WE48" s="38"/>
      <c r="WF48" s="38"/>
      <c r="WG48" s="38"/>
      <c r="WH48" s="38"/>
      <c r="WI48" s="38"/>
      <c r="WJ48" s="38"/>
      <c r="WK48" s="38"/>
      <c r="WL48" s="38"/>
      <c r="WM48" s="38"/>
      <c r="WN48" s="38"/>
      <c r="WO48" s="38"/>
      <c r="WP48" s="38"/>
      <c r="WQ48" s="38"/>
      <c r="WR48" s="38"/>
      <c r="WS48" s="38"/>
      <c r="WT48" s="38"/>
      <c r="WU48" s="38"/>
      <c r="WV48" s="38"/>
      <c r="WW48" s="38"/>
      <c r="WX48" s="38"/>
      <c r="WY48" s="38"/>
      <c r="WZ48" s="38"/>
      <c r="XA48" s="38"/>
      <c r="XB48" s="38"/>
      <c r="XC48" s="38"/>
      <c r="XD48" s="38"/>
      <c r="XE48" s="38"/>
      <c r="XF48" s="38"/>
      <c r="XG48" s="38"/>
      <c r="XH48" s="38"/>
      <c r="XI48" s="38"/>
      <c r="XJ48" s="38"/>
      <c r="XK48" s="38"/>
      <c r="XL48" s="38"/>
      <c r="XM48" s="38"/>
      <c r="XN48" s="38"/>
      <c r="XO48" s="38"/>
      <c r="XP48" s="38"/>
      <c r="XQ48" s="38"/>
      <c r="XR48" s="38"/>
      <c r="XS48" s="38"/>
      <c r="XT48" s="38"/>
      <c r="XU48" s="38"/>
      <c r="XV48" s="38"/>
      <c r="XW48" s="38"/>
      <c r="XX48" s="38"/>
      <c r="XY48" s="38"/>
      <c r="XZ48" s="38"/>
      <c r="YA48" s="38"/>
      <c r="YB48" s="38"/>
      <c r="YC48" s="38"/>
      <c r="YD48" s="38"/>
      <c r="YE48" s="38"/>
      <c r="YF48" s="38"/>
      <c r="YG48" s="38"/>
      <c r="YH48" s="38"/>
      <c r="YI48" s="38"/>
      <c r="YJ48" s="38"/>
      <c r="YK48" s="38"/>
      <c r="YL48" s="38"/>
      <c r="YM48" s="38"/>
      <c r="YN48" s="38"/>
      <c r="YO48" s="38"/>
      <c r="YP48" s="38"/>
      <c r="YQ48" s="38"/>
      <c r="YR48" s="38"/>
      <c r="YS48" s="38"/>
      <c r="YT48" s="38"/>
      <c r="YU48" s="38"/>
      <c r="YV48" s="38"/>
      <c r="YW48" s="38"/>
      <c r="YX48" s="38"/>
      <c r="YY48" s="38"/>
      <c r="YZ48" s="38"/>
      <c r="ZA48" s="38"/>
      <c r="ZB48" s="38"/>
      <c r="ZC48" s="38"/>
      <c r="ZD48" s="38"/>
      <c r="ZE48" s="38"/>
      <c r="ZF48" s="38"/>
      <c r="ZG48" s="38"/>
      <c r="ZH48" s="38"/>
      <c r="ZI48" s="38"/>
      <c r="ZJ48" s="38"/>
      <c r="ZK48" s="38"/>
      <c r="ZL48" s="38"/>
      <c r="ZM48" s="38"/>
      <c r="ZN48" s="38"/>
      <c r="ZO48" s="38"/>
      <c r="ZP48" s="38"/>
      <c r="ZQ48" s="38"/>
      <c r="ZR48" s="38"/>
      <c r="ZS48" s="38"/>
      <c r="ZT48" s="38"/>
      <c r="ZU48" s="38"/>
      <c r="ZV48" s="38"/>
      <c r="ZW48" s="38"/>
      <c r="ZX48" s="38"/>
      <c r="ZY48" s="38"/>
      <c r="ZZ48" s="38"/>
      <c r="AAA48" s="38"/>
      <c r="AAB48" s="38"/>
      <c r="AAC48" s="38"/>
      <c r="AAD48" s="38"/>
      <c r="AAE48" s="38"/>
      <c r="AAF48" s="38"/>
      <c r="AAG48" s="38"/>
      <c r="AAH48" s="38"/>
      <c r="AAI48" s="38"/>
      <c r="AAJ48" s="38"/>
      <c r="AAK48" s="38"/>
      <c r="AAL48" s="38"/>
      <c r="AAM48" s="38"/>
      <c r="AAN48" s="38"/>
      <c r="AAO48" s="38"/>
      <c r="AAP48" s="38"/>
      <c r="AAQ48" s="38"/>
      <c r="AAR48" s="38"/>
      <c r="AAS48" s="38"/>
      <c r="AAT48" s="38"/>
      <c r="AAU48" s="38"/>
      <c r="AAV48" s="38"/>
      <c r="AAW48" s="38"/>
      <c r="AAX48" s="38"/>
      <c r="AAY48" s="38"/>
      <c r="AAZ48" s="38"/>
      <c r="ABA48" s="38"/>
      <c r="ABB48" s="38"/>
      <c r="ABC48" s="38"/>
      <c r="ABD48" s="38"/>
      <c r="ABE48" s="38"/>
      <c r="ABF48" s="38"/>
      <c r="ABG48" s="38"/>
      <c r="ABH48" s="38"/>
      <c r="ABI48" s="38"/>
      <c r="ABJ48" s="38"/>
      <c r="ABK48" s="38"/>
      <c r="ABL48" s="38"/>
      <c r="ABM48" s="38"/>
      <c r="ABN48" s="38"/>
      <c r="ABO48" s="38"/>
      <c r="ABP48" s="38"/>
      <c r="ABQ48" s="38"/>
      <c r="ABR48" s="38"/>
      <c r="ABS48" s="38"/>
      <c r="ABT48" s="38"/>
      <c r="ABU48" s="38"/>
      <c r="ABV48" s="38"/>
      <c r="ABW48" s="38"/>
      <c r="ABX48" s="38"/>
      <c r="ABY48" s="38"/>
      <c r="ABZ48" s="38"/>
      <c r="ACA48" s="38"/>
      <c r="ACB48" s="38"/>
      <c r="ACC48" s="38"/>
      <c r="ACD48" s="38"/>
      <c r="ACE48" s="38"/>
      <c r="ACF48" s="38"/>
      <c r="ACG48" s="38"/>
      <c r="ACH48" s="38"/>
      <c r="ACI48" s="38"/>
      <c r="ACJ48" s="38"/>
      <c r="ACK48" s="38"/>
      <c r="ACL48" s="38"/>
      <c r="ACM48" s="38"/>
      <c r="ACN48" s="38"/>
      <c r="ACO48" s="38"/>
      <c r="ACP48" s="38"/>
      <c r="ACQ48" s="38"/>
      <c r="ACR48" s="38"/>
      <c r="ACS48" s="38"/>
      <c r="ACT48" s="38"/>
      <c r="ACU48" s="38"/>
      <c r="ACV48" s="38"/>
      <c r="ACW48" s="38"/>
      <c r="ACX48" s="38"/>
      <c r="ACY48" s="38"/>
      <c r="ACZ48" s="38"/>
      <c r="ADA48" s="38"/>
      <c r="ADB48" s="38"/>
      <c r="ADC48" s="38"/>
      <c r="ADD48" s="38"/>
      <c r="ADE48" s="38"/>
      <c r="ADF48" s="38"/>
      <c r="ADG48" s="38"/>
      <c r="ADH48" s="38"/>
      <c r="ADI48" s="38"/>
      <c r="ADJ48" s="38"/>
      <c r="ADK48" s="38"/>
      <c r="ADL48" s="38"/>
      <c r="ADM48" s="38"/>
      <c r="ADN48" s="38"/>
      <c r="ADO48" s="38"/>
      <c r="ADP48" s="38"/>
      <c r="ADQ48" s="38"/>
      <c r="ADR48" s="38"/>
      <c r="ADS48" s="38"/>
      <c r="ADT48" s="38"/>
      <c r="ADU48" s="38"/>
      <c r="ADV48" s="38"/>
      <c r="ADW48" s="38"/>
      <c r="ADX48" s="38"/>
      <c r="ADY48" s="38"/>
      <c r="ADZ48" s="38"/>
      <c r="AEA48" s="38"/>
      <c r="AEB48" s="38"/>
      <c r="AEC48" s="38"/>
      <c r="AED48" s="38"/>
      <c r="AEE48" s="38"/>
      <c r="AEF48" s="38"/>
      <c r="AEG48" s="38"/>
      <c r="AEH48" s="38"/>
      <c r="AEI48" s="38"/>
      <c r="AEJ48" s="38"/>
      <c r="AEK48" s="38"/>
      <c r="AEL48" s="38"/>
      <c r="AEM48" s="38"/>
      <c r="AEN48" s="38"/>
      <c r="AEO48" s="38"/>
      <c r="AEP48" s="38"/>
      <c r="AEQ48" s="38"/>
      <c r="AER48" s="38"/>
      <c r="AES48" s="38"/>
      <c r="AET48" s="38"/>
      <c r="AEU48" s="38"/>
      <c r="AEV48" s="38"/>
      <c r="AEW48" s="38"/>
      <c r="AEX48" s="38"/>
      <c r="AEY48" s="38"/>
      <c r="AEZ48" s="38"/>
      <c r="AFA48" s="38"/>
      <c r="AFB48" s="38"/>
      <c r="AFC48" s="38"/>
      <c r="AFD48" s="38"/>
      <c r="AFE48" s="38"/>
      <c r="AFF48" s="38"/>
      <c r="AFG48" s="38"/>
      <c r="AFH48" s="38"/>
      <c r="AFI48" s="38"/>
      <c r="AFJ48" s="38"/>
      <c r="AFK48" s="38"/>
      <c r="AFL48" s="38"/>
      <c r="AFM48" s="38"/>
      <c r="AFN48" s="38"/>
      <c r="AFO48" s="38"/>
      <c r="AFP48" s="38"/>
      <c r="AFQ48" s="38"/>
      <c r="AFR48" s="38"/>
      <c r="AFS48" s="38"/>
      <c r="AFT48" s="38"/>
      <c r="AFU48" s="38"/>
      <c r="AFV48" s="38"/>
      <c r="AFW48" s="38"/>
      <c r="AFX48" s="38"/>
      <c r="AFY48" s="38"/>
      <c r="AFZ48" s="38"/>
      <c r="AGA48" s="38"/>
      <c r="AGB48" s="38"/>
      <c r="AGC48" s="38"/>
      <c r="AGD48" s="38"/>
      <c r="AGE48" s="38"/>
      <c r="AGF48" s="38"/>
      <c r="AGG48" s="38"/>
      <c r="AGH48" s="38"/>
      <c r="AGI48" s="38"/>
      <c r="AGJ48" s="38"/>
      <c r="AGK48" s="38"/>
      <c r="AGL48" s="38"/>
      <c r="AGM48" s="38"/>
      <c r="AGN48" s="38"/>
      <c r="AGO48" s="38"/>
      <c r="AGP48" s="38"/>
      <c r="AGQ48" s="38"/>
      <c r="AGR48" s="38"/>
      <c r="AGS48" s="38"/>
      <c r="AGT48" s="38"/>
      <c r="AGU48" s="38"/>
      <c r="AGV48" s="38"/>
      <c r="AGW48" s="38"/>
      <c r="AGX48" s="38"/>
      <c r="AGY48" s="38"/>
      <c r="AGZ48" s="38"/>
      <c r="AHA48" s="38"/>
      <c r="AHB48" s="38"/>
      <c r="AHC48" s="38"/>
      <c r="AHD48" s="38"/>
      <c r="AHE48" s="38"/>
      <c r="AHF48" s="38"/>
      <c r="AHG48" s="38"/>
      <c r="AHH48" s="38"/>
      <c r="AHI48" s="38"/>
      <c r="AHJ48" s="38"/>
      <c r="AHK48" s="38"/>
      <c r="AHL48" s="38"/>
      <c r="AHM48" s="38"/>
      <c r="AHN48" s="38"/>
      <c r="AHO48" s="38"/>
      <c r="AHP48" s="38"/>
      <c r="AHQ48" s="38"/>
      <c r="AHR48" s="38"/>
      <c r="AHS48" s="38"/>
      <c r="AHT48" s="38"/>
      <c r="AHU48" s="38"/>
      <c r="AHV48" s="38"/>
    </row>
    <row r="49" spans="1:906" s="27" customFormat="1" x14ac:dyDescent="0.35">
      <c r="A49" s="83">
        <v>45</v>
      </c>
      <c r="B49" s="108" t="s">
        <v>90</v>
      </c>
      <c r="C49" s="109" t="s">
        <v>91</v>
      </c>
      <c r="D49" s="109" t="s">
        <v>15</v>
      </c>
      <c r="E49" s="125">
        <v>8.1</v>
      </c>
      <c r="F49" s="125"/>
      <c r="G49" s="125">
        <v>7.5</v>
      </c>
      <c r="H49" s="125">
        <v>9</v>
      </c>
      <c r="I49" s="37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</row>
    <row r="50" spans="1:906" s="27" customFormat="1" x14ac:dyDescent="0.35">
      <c r="A50" s="83">
        <v>46</v>
      </c>
      <c r="B50" s="108" t="s">
        <v>92</v>
      </c>
      <c r="C50" s="109" t="s">
        <v>93</v>
      </c>
      <c r="D50" s="109" t="s">
        <v>94</v>
      </c>
      <c r="E50" s="125">
        <v>14.5</v>
      </c>
      <c r="F50" s="125">
        <v>14.5</v>
      </c>
      <c r="G50" s="125">
        <v>14.5</v>
      </c>
      <c r="H50" s="125">
        <v>14.5</v>
      </c>
      <c r="I50" s="37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</row>
    <row r="51" spans="1:906" s="27" customFormat="1" x14ac:dyDescent="0.35">
      <c r="A51" s="83">
        <v>47</v>
      </c>
      <c r="B51" s="108" t="s">
        <v>95</v>
      </c>
      <c r="C51" s="109"/>
      <c r="D51" s="109" t="s">
        <v>15</v>
      </c>
      <c r="E51" s="125"/>
      <c r="F51" s="125">
        <v>4.99</v>
      </c>
      <c r="G51" s="125">
        <v>4.5</v>
      </c>
      <c r="H51" s="125"/>
      <c r="I51" s="37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</row>
    <row r="52" spans="1:906" s="27" customFormat="1" x14ac:dyDescent="0.35">
      <c r="A52" s="83">
        <v>48</v>
      </c>
      <c r="B52" s="108" t="s">
        <v>95</v>
      </c>
      <c r="C52" s="109"/>
      <c r="D52" s="109" t="s">
        <v>59</v>
      </c>
      <c r="E52" s="125"/>
      <c r="F52" s="125"/>
      <c r="G52" s="125"/>
      <c r="H52" s="125"/>
      <c r="I52" s="37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  <c r="EH52" s="38"/>
      <c r="EI52" s="38"/>
      <c r="EJ52" s="38"/>
      <c r="EK52" s="38"/>
      <c r="EL52" s="38"/>
      <c r="EM52" s="38"/>
      <c r="EN52" s="38"/>
      <c r="EO52" s="38"/>
      <c r="EP52" s="38"/>
      <c r="EQ52" s="38"/>
      <c r="ER52" s="38"/>
      <c r="ES52" s="38"/>
      <c r="ET52" s="38"/>
      <c r="EU52" s="38"/>
      <c r="EV52" s="38"/>
      <c r="EW52" s="38"/>
      <c r="EX52" s="38"/>
      <c r="EY52" s="38"/>
      <c r="EZ52" s="38"/>
      <c r="FA52" s="38"/>
      <c r="FB52" s="38"/>
      <c r="FC52" s="38"/>
      <c r="FD52" s="38"/>
      <c r="FE52" s="38"/>
      <c r="FF52" s="38"/>
      <c r="FG52" s="38"/>
      <c r="FH52" s="38"/>
      <c r="FI52" s="38"/>
      <c r="FJ52" s="38"/>
      <c r="FK52" s="38"/>
      <c r="FL52" s="38"/>
      <c r="FM52" s="38"/>
      <c r="FN52" s="38"/>
      <c r="FO52" s="38"/>
      <c r="FP52" s="38"/>
      <c r="FQ52" s="38"/>
      <c r="FR52" s="38"/>
      <c r="FS52" s="38"/>
      <c r="FT52" s="38"/>
      <c r="FU52" s="38"/>
      <c r="FV52" s="38"/>
      <c r="FW52" s="38"/>
      <c r="FX52" s="38"/>
      <c r="FY52" s="38"/>
      <c r="FZ52" s="38"/>
      <c r="GA52" s="38"/>
      <c r="GB52" s="38"/>
      <c r="GC52" s="38"/>
      <c r="GD52" s="38"/>
      <c r="GE52" s="38"/>
      <c r="GF52" s="38"/>
      <c r="GG52" s="38"/>
      <c r="GH52" s="38"/>
      <c r="GI52" s="38"/>
      <c r="GJ52" s="38"/>
      <c r="GK52" s="38"/>
      <c r="GL52" s="38"/>
      <c r="GM52" s="38"/>
      <c r="GN52" s="38"/>
      <c r="GO52" s="38"/>
      <c r="GP52" s="38"/>
      <c r="GQ52" s="38"/>
      <c r="GR52" s="38"/>
      <c r="GS52" s="38"/>
      <c r="GT52" s="38"/>
      <c r="GU52" s="38"/>
      <c r="GV52" s="38"/>
      <c r="GW52" s="38"/>
      <c r="GX52" s="38"/>
      <c r="GY52" s="38"/>
      <c r="GZ52" s="38"/>
      <c r="HA52" s="38"/>
      <c r="HB52" s="38"/>
      <c r="HC52" s="38"/>
      <c r="HD52" s="38"/>
      <c r="HE52" s="38"/>
      <c r="HF52" s="38"/>
      <c r="HG52" s="38"/>
      <c r="HH52" s="38"/>
      <c r="HI52" s="38"/>
      <c r="HJ52" s="38"/>
      <c r="HK52" s="38"/>
      <c r="HL52" s="38"/>
      <c r="HM52" s="38"/>
      <c r="HN52" s="38"/>
      <c r="HO52" s="38"/>
      <c r="HP52" s="38"/>
      <c r="HQ52" s="38"/>
      <c r="HR52" s="38"/>
      <c r="HS52" s="38"/>
      <c r="HT52" s="38"/>
      <c r="HU52" s="38"/>
      <c r="HV52" s="38"/>
      <c r="HW52" s="38"/>
      <c r="HX52" s="38"/>
      <c r="HY52" s="38"/>
      <c r="HZ52" s="38"/>
      <c r="IA52" s="38"/>
      <c r="IB52" s="38"/>
      <c r="IC52" s="38"/>
      <c r="ID52" s="38"/>
      <c r="IE52" s="38"/>
      <c r="IF52" s="38"/>
      <c r="IG52" s="38"/>
      <c r="IH52" s="38"/>
      <c r="II52" s="38"/>
      <c r="IJ52" s="38"/>
      <c r="IK52" s="38"/>
      <c r="IL52" s="38"/>
      <c r="IM52" s="38"/>
      <c r="IN52" s="38"/>
      <c r="IO52" s="38"/>
      <c r="IP52" s="38"/>
      <c r="IQ52" s="38"/>
      <c r="IR52" s="38"/>
      <c r="IS52" s="38"/>
      <c r="IT52" s="38"/>
      <c r="IU52" s="38"/>
      <c r="IV52" s="38"/>
      <c r="IW52" s="38"/>
      <c r="IX52" s="38"/>
      <c r="IY52" s="38"/>
      <c r="IZ52" s="38"/>
      <c r="JA52" s="38"/>
      <c r="JB52" s="38"/>
      <c r="JC52" s="38"/>
      <c r="JD52" s="38"/>
      <c r="JE52" s="38"/>
      <c r="JF52" s="38"/>
      <c r="JG52" s="38"/>
      <c r="JH52" s="38"/>
      <c r="JI52" s="38"/>
      <c r="JJ52" s="38"/>
      <c r="JK52" s="38"/>
      <c r="JL52" s="38"/>
      <c r="JM52" s="38"/>
      <c r="JN52" s="38"/>
      <c r="JO52" s="38"/>
      <c r="JP52" s="38"/>
      <c r="JQ52" s="38"/>
      <c r="JR52" s="38"/>
      <c r="JS52" s="38"/>
      <c r="JT52" s="38"/>
      <c r="JU52" s="38"/>
      <c r="JV52" s="38"/>
      <c r="JW52" s="38"/>
      <c r="JX52" s="38"/>
      <c r="JY52" s="38"/>
      <c r="JZ52" s="38"/>
      <c r="KA52" s="38"/>
      <c r="KB52" s="38"/>
      <c r="KC52" s="38"/>
      <c r="KD52" s="38"/>
      <c r="KE52" s="38"/>
      <c r="KF52" s="38"/>
      <c r="KG52" s="38"/>
      <c r="KH52" s="38"/>
      <c r="KI52" s="38"/>
      <c r="KJ52" s="38"/>
      <c r="KK52" s="38"/>
      <c r="KL52" s="38"/>
      <c r="KM52" s="38"/>
      <c r="KN52" s="38"/>
      <c r="KO52" s="38"/>
      <c r="KP52" s="38"/>
      <c r="KQ52" s="38"/>
      <c r="KR52" s="38"/>
      <c r="KS52" s="38"/>
      <c r="KT52" s="38"/>
      <c r="KU52" s="38"/>
      <c r="KV52" s="38"/>
      <c r="KW52" s="38"/>
      <c r="KX52" s="38"/>
      <c r="KY52" s="38"/>
      <c r="KZ52" s="38"/>
      <c r="LA52" s="38"/>
      <c r="LB52" s="38"/>
      <c r="LC52" s="38"/>
      <c r="LD52" s="38"/>
      <c r="LE52" s="38"/>
      <c r="LF52" s="38"/>
      <c r="LG52" s="38"/>
      <c r="LH52" s="38"/>
      <c r="LI52" s="38"/>
      <c r="LJ52" s="38"/>
      <c r="LK52" s="38"/>
      <c r="LL52" s="38"/>
      <c r="LM52" s="38"/>
      <c r="LN52" s="38"/>
      <c r="LO52" s="38"/>
      <c r="LP52" s="38"/>
      <c r="LQ52" s="38"/>
      <c r="LR52" s="38"/>
      <c r="LS52" s="38"/>
      <c r="LT52" s="38"/>
      <c r="LU52" s="38"/>
      <c r="LV52" s="38"/>
      <c r="LW52" s="38"/>
      <c r="LX52" s="38"/>
      <c r="LY52" s="38"/>
      <c r="LZ52" s="38"/>
      <c r="MA52" s="38"/>
      <c r="MB52" s="38"/>
      <c r="MC52" s="38"/>
      <c r="MD52" s="38"/>
      <c r="ME52" s="38"/>
      <c r="MF52" s="38"/>
      <c r="MG52" s="38"/>
      <c r="MH52" s="38"/>
      <c r="MI52" s="38"/>
      <c r="MJ52" s="38"/>
      <c r="MK52" s="38"/>
      <c r="ML52" s="38"/>
      <c r="MM52" s="38"/>
      <c r="MN52" s="38"/>
      <c r="MO52" s="38"/>
      <c r="MP52" s="38"/>
      <c r="MQ52" s="38"/>
      <c r="MR52" s="38"/>
      <c r="MS52" s="38"/>
      <c r="MT52" s="38"/>
      <c r="MU52" s="38"/>
      <c r="MV52" s="38"/>
      <c r="MW52" s="38"/>
      <c r="MX52" s="38"/>
      <c r="MY52" s="38"/>
      <c r="MZ52" s="38"/>
      <c r="NA52" s="38"/>
      <c r="NB52" s="38"/>
      <c r="NC52" s="38"/>
      <c r="ND52" s="38"/>
      <c r="NE52" s="38"/>
      <c r="NF52" s="38"/>
      <c r="NG52" s="38"/>
      <c r="NH52" s="38"/>
      <c r="NI52" s="38"/>
      <c r="NJ52" s="38"/>
      <c r="NK52" s="38"/>
      <c r="NL52" s="38"/>
      <c r="NM52" s="38"/>
      <c r="NN52" s="38"/>
      <c r="NO52" s="38"/>
      <c r="NP52" s="38"/>
      <c r="NQ52" s="38"/>
      <c r="NR52" s="38"/>
      <c r="NS52" s="38"/>
      <c r="NT52" s="38"/>
      <c r="NU52" s="38"/>
      <c r="NV52" s="38"/>
      <c r="NW52" s="38"/>
      <c r="NX52" s="38"/>
      <c r="NY52" s="38"/>
      <c r="NZ52" s="38"/>
      <c r="OA52" s="38"/>
      <c r="OB52" s="38"/>
      <c r="OC52" s="38"/>
      <c r="OD52" s="38"/>
      <c r="OE52" s="38"/>
      <c r="OF52" s="38"/>
      <c r="OG52" s="38"/>
      <c r="OH52" s="38"/>
      <c r="OI52" s="38"/>
      <c r="OJ52" s="38"/>
      <c r="OK52" s="38"/>
      <c r="OL52" s="38"/>
      <c r="OM52" s="38"/>
      <c r="ON52" s="38"/>
      <c r="OO52" s="38"/>
      <c r="OP52" s="38"/>
      <c r="OQ52" s="38"/>
      <c r="OR52" s="38"/>
      <c r="OS52" s="38"/>
      <c r="OT52" s="38"/>
      <c r="OU52" s="38"/>
      <c r="OV52" s="38"/>
      <c r="OW52" s="38"/>
      <c r="OX52" s="38"/>
      <c r="OY52" s="38"/>
      <c r="OZ52" s="38"/>
      <c r="PA52" s="38"/>
      <c r="PB52" s="38"/>
      <c r="PC52" s="38"/>
      <c r="PD52" s="38"/>
      <c r="PE52" s="38"/>
      <c r="PF52" s="38"/>
      <c r="PG52" s="38"/>
      <c r="PH52" s="38"/>
      <c r="PI52" s="38"/>
      <c r="PJ52" s="38"/>
      <c r="PK52" s="38"/>
      <c r="PL52" s="38"/>
      <c r="PM52" s="38"/>
      <c r="PN52" s="38"/>
      <c r="PO52" s="38"/>
      <c r="PP52" s="38"/>
      <c r="PQ52" s="38"/>
      <c r="PR52" s="38"/>
      <c r="PS52" s="38"/>
      <c r="PT52" s="38"/>
      <c r="PU52" s="38"/>
      <c r="PV52" s="38"/>
      <c r="PW52" s="38"/>
      <c r="PX52" s="38"/>
      <c r="PY52" s="38"/>
      <c r="PZ52" s="38"/>
      <c r="QA52" s="38"/>
      <c r="QB52" s="38"/>
      <c r="QC52" s="38"/>
      <c r="QD52" s="38"/>
      <c r="QE52" s="38"/>
      <c r="QF52" s="38"/>
      <c r="QG52" s="38"/>
      <c r="QH52" s="38"/>
      <c r="QI52" s="38"/>
      <c r="QJ52" s="38"/>
      <c r="QK52" s="38"/>
      <c r="QL52" s="38"/>
      <c r="QM52" s="38"/>
      <c r="QN52" s="38"/>
      <c r="QO52" s="38"/>
      <c r="QP52" s="38"/>
      <c r="QQ52" s="38"/>
      <c r="QR52" s="38"/>
      <c r="QS52" s="38"/>
      <c r="QT52" s="38"/>
      <c r="QU52" s="38"/>
      <c r="QV52" s="38"/>
      <c r="QW52" s="38"/>
      <c r="QX52" s="38"/>
      <c r="QY52" s="38"/>
      <c r="QZ52" s="38"/>
      <c r="RA52" s="38"/>
      <c r="RB52" s="38"/>
      <c r="RC52" s="38"/>
      <c r="RD52" s="38"/>
      <c r="RE52" s="38"/>
      <c r="RF52" s="38"/>
      <c r="RG52" s="38"/>
      <c r="RH52" s="38"/>
      <c r="RI52" s="38"/>
      <c r="RJ52" s="38"/>
      <c r="RK52" s="38"/>
      <c r="RL52" s="38"/>
      <c r="RM52" s="38"/>
      <c r="RN52" s="38"/>
      <c r="RO52" s="38"/>
      <c r="RP52" s="38"/>
      <c r="RQ52" s="38"/>
      <c r="RR52" s="38"/>
      <c r="RS52" s="38"/>
      <c r="RT52" s="38"/>
      <c r="RU52" s="38"/>
      <c r="RV52" s="38"/>
      <c r="RW52" s="38"/>
      <c r="RX52" s="38"/>
      <c r="RY52" s="38"/>
      <c r="RZ52" s="38"/>
      <c r="SA52" s="38"/>
      <c r="SB52" s="38"/>
      <c r="SC52" s="38"/>
      <c r="SD52" s="38"/>
      <c r="SE52" s="38"/>
      <c r="SF52" s="38"/>
      <c r="SG52" s="38"/>
      <c r="SH52" s="38"/>
      <c r="SI52" s="38"/>
      <c r="SJ52" s="38"/>
      <c r="SK52" s="38"/>
      <c r="SL52" s="38"/>
      <c r="SM52" s="38"/>
      <c r="SN52" s="38"/>
      <c r="SO52" s="38"/>
      <c r="SP52" s="38"/>
      <c r="SQ52" s="38"/>
      <c r="SR52" s="38"/>
      <c r="SS52" s="38"/>
      <c r="ST52" s="38"/>
      <c r="SU52" s="38"/>
      <c r="SV52" s="38"/>
      <c r="SW52" s="38"/>
      <c r="SX52" s="38"/>
      <c r="SY52" s="38"/>
      <c r="SZ52" s="38"/>
      <c r="TA52" s="38"/>
      <c r="TB52" s="38"/>
      <c r="TC52" s="38"/>
      <c r="TD52" s="38"/>
      <c r="TE52" s="38"/>
      <c r="TF52" s="38"/>
      <c r="TG52" s="38"/>
      <c r="TH52" s="38"/>
      <c r="TI52" s="38"/>
      <c r="TJ52" s="38"/>
      <c r="TK52" s="38"/>
      <c r="TL52" s="38"/>
      <c r="TM52" s="38"/>
      <c r="TN52" s="38"/>
      <c r="TO52" s="38"/>
      <c r="TP52" s="38"/>
      <c r="TQ52" s="38"/>
      <c r="TR52" s="38"/>
      <c r="TS52" s="38"/>
      <c r="TT52" s="38"/>
      <c r="TU52" s="38"/>
      <c r="TV52" s="38"/>
      <c r="TW52" s="38"/>
      <c r="TX52" s="38"/>
      <c r="TY52" s="38"/>
      <c r="TZ52" s="38"/>
      <c r="UA52" s="38"/>
      <c r="UB52" s="38"/>
      <c r="UC52" s="38"/>
      <c r="UD52" s="38"/>
      <c r="UE52" s="38"/>
      <c r="UF52" s="38"/>
      <c r="UG52" s="38"/>
      <c r="UH52" s="38"/>
      <c r="UI52" s="38"/>
      <c r="UJ52" s="38"/>
      <c r="UK52" s="38"/>
      <c r="UL52" s="38"/>
      <c r="UM52" s="38"/>
      <c r="UN52" s="38"/>
      <c r="UO52" s="38"/>
      <c r="UP52" s="38"/>
      <c r="UQ52" s="38"/>
      <c r="UR52" s="38"/>
      <c r="US52" s="38"/>
      <c r="UT52" s="38"/>
      <c r="UU52" s="38"/>
      <c r="UV52" s="38"/>
      <c r="UW52" s="38"/>
      <c r="UX52" s="38"/>
      <c r="UY52" s="38"/>
      <c r="UZ52" s="38"/>
      <c r="VA52" s="38"/>
      <c r="VB52" s="38"/>
      <c r="VC52" s="38"/>
      <c r="VD52" s="38"/>
      <c r="VE52" s="38"/>
      <c r="VF52" s="38"/>
      <c r="VG52" s="38"/>
      <c r="VH52" s="38"/>
      <c r="VI52" s="38"/>
      <c r="VJ52" s="38"/>
      <c r="VK52" s="38"/>
      <c r="VL52" s="38"/>
      <c r="VM52" s="38"/>
      <c r="VN52" s="38"/>
      <c r="VO52" s="38"/>
      <c r="VP52" s="38"/>
      <c r="VQ52" s="38"/>
      <c r="VR52" s="38"/>
      <c r="VS52" s="38"/>
      <c r="VT52" s="38"/>
      <c r="VU52" s="38"/>
      <c r="VV52" s="38"/>
      <c r="VW52" s="38"/>
      <c r="VX52" s="38"/>
      <c r="VY52" s="38"/>
      <c r="VZ52" s="38"/>
      <c r="WA52" s="38"/>
      <c r="WB52" s="38"/>
      <c r="WC52" s="38"/>
      <c r="WD52" s="38"/>
      <c r="WE52" s="38"/>
      <c r="WF52" s="38"/>
      <c r="WG52" s="38"/>
      <c r="WH52" s="38"/>
      <c r="WI52" s="38"/>
      <c r="WJ52" s="38"/>
      <c r="WK52" s="38"/>
      <c r="WL52" s="38"/>
      <c r="WM52" s="38"/>
      <c r="WN52" s="38"/>
      <c r="WO52" s="38"/>
      <c r="WP52" s="38"/>
      <c r="WQ52" s="38"/>
      <c r="WR52" s="38"/>
      <c r="WS52" s="38"/>
      <c r="WT52" s="38"/>
      <c r="WU52" s="38"/>
      <c r="WV52" s="38"/>
      <c r="WW52" s="38"/>
      <c r="WX52" s="38"/>
      <c r="WY52" s="38"/>
      <c r="WZ52" s="38"/>
      <c r="XA52" s="38"/>
      <c r="XB52" s="38"/>
      <c r="XC52" s="38"/>
      <c r="XD52" s="38"/>
      <c r="XE52" s="38"/>
      <c r="XF52" s="38"/>
      <c r="XG52" s="38"/>
      <c r="XH52" s="38"/>
      <c r="XI52" s="38"/>
      <c r="XJ52" s="38"/>
      <c r="XK52" s="38"/>
      <c r="XL52" s="38"/>
      <c r="XM52" s="38"/>
      <c r="XN52" s="38"/>
      <c r="XO52" s="38"/>
      <c r="XP52" s="38"/>
      <c r="XQ52" s="38"/>
      <c r="XR52" s="38"/>
      <c r="XS52" s="38"/>
      <c r="XT52" s="38"/>
      <c r="XU52" s="38"/>
      <c r="XV52" s="38"/>
      <c r="XW52" s="38"/>
      <c r="XX52" s="38"/>
      <c r="XY52" s="38"/>
      <c r="XZ52" s="38"/>
      <c r="YA52" s="38"/>
      <c r="YB52" s="38"/>
      <c r="YC52" s="38"/>
      <c r="YD52" s="38"/>
      <c r="YE52" s="38"/>
      <c r="YF52" s="38"/>
      <c r="YG52" s="38"/>
      <c r="YH52" s="38"/>
      <c r="YI52" s="38"/>
      <c r="YJ52" s="38"/>
      <c r="YK52" s="38"/>
      <c r="YL52" s="38"/>
      <c r="YM52" s="38"/>
      <c r="YN52" s="38"/>
      <c r="YO52" s="38"/>
      <c r="YP52" s="38"/>
      <c r="YQ52" s="38"/>
      <c r="YR52" s="38"/>
      <c r="YS52" s="38"/>
      <c r="YT52" s="38"/>
      <c r="YU52" s="38"/>
      <c r="YV52" s="38"/>
      <c r="YW52" s="38"/>
      <c r="YX52" s="38"/>
      <c r="YY52" s="38"/>
      <c r="YZ52" s="38"/>
      <c r="ZA52" s="38"/>
      <c r="ZB52" s="38"/>
      <c r="ZC52" s="38"/>
      <c r="ZD52" s="38"/>
      <c r="ZE52" s="38"/>
      <c r="ZF52" s="38"/>
      <c r="ZG52" s="38"/>
      <c r="ZH52" s="38"/>
      <c r="ZI52" s="38"/>
      <c r="ZJ52" s="38"/>
      <c r="ZK52" s="38"/>
      <c r="ZL52" s="38"/>
      <c r="ZM52" s="38"/>
      <c r="ZN52" s="38"/>
      <c r="ZO52" s="38"/>
      <c r="ZP52" s="38"/>
      <c r="ZQ52" s="38"/>
      <c r="ZR52" s="38"/>
      <c r="ZS52" s="38"/>
      <c r="ZT52" s="38"/>
      <c r="ZU52" s="38"/>
      <c r="ZV52" s="38"/>
      <c r="ZW52" s="38"/>
      <c r="ZX52" s="38"/>
      <c r="ZY52" s="38"/>
      <c r="ZZ52" s="38"/>
      <c r="AAA52" s="38"/>
      <c r="AAB52" s="38"/>
      <c r="AAC52" s="38"/>
      <c r="AAD52" s="38"/>
      <c r="AAE52" s="38"/>
      <c r="AAF52" s="38"/>
      <c r="AAG52" s="38"/>
      <c r="AAH52" s="38"/>
      <c r="AAI52" s="38"/>
      <c r="AAJ52" s="38"/>
      <c r="AAK52" s="38"/>
      <c r="AAL52" s="38"/>
      <c r="AAM52" s="38"/>
      <c r="AAN52" s="38"/>
      <c r="AAO52" s="38"/>
      <c r="AAP52" s="38"/>
      <c r="AAQ52" s="38"/>
      <c r="AAR52" s="38"/>
      <c r="AAS52" s="38"/>
      <c r="AAT52" s="38"/>
      <c r="AAU52" s="38"/>
      <c r="AAV52" s="38"/>
      <c r="AAW52" s="38"/>
      <c r="AAX52" s="38"/>
      <c r="AAY52" s="38"/>
      <c r="AAZ52" s="38"/>
      <c r="ABA52" s="38"/>
      <c r="ABB52" s="38"/>
      <c r="ABC52" s="38"/>
      <c r="ABD52" s="38"/>
      <c r="ABE52" s="38"/>
      <c r="ABF52" s="38"/>
      <c r="ABG52" s="38"/>
      <c r="ABH52" s="38"/>
      <c r="ABI52" s="38"/>
      <c r="ABJ52" s="38"/>
      <c r="ABK52" s="38"/>
      <c r="ABL52" s="38"/>
      <c r="ABM52" s="38"/>
      <c r="ABN52" s="38"/>
      <c r="ABO52" s="38"/>
      <c r="ABP52" s="38"/>
      <c r="ABQ52" s="38"/>
      <c r="ABR52" s="38"/>
      <c r="ABS52" s="38"/>
      <c r="ABT52" s="38"/>
      <c r="ABU52" s="38"/>
      <c r="ABV52" s="38"/>
      <c r="ABW52" s="38"/>
      <c r="ABX52" s="38"/>
      <c r="ABY52" s="38"/>
      <c r="ABZ52" s="38"/>
      <c r="ACA52" s="38"/>
      <c r="ACB52" s="38"/>
      <c r="ACC52" s="38"/>
      <c r="ACD52" s="38"/>
      <c r="ACE52" s="38"/>
      <c r="ACF52" s="38"/>
      <c r="ACG52" s="38"/>
      <c r="ACH52" s="38"/>
      <c r="ACI52" s="38"/>
      <c r="ACJ52" s="38"/>
      <c r="ACK52" s="38"/>
      <c r="ACL52" s="38"/>
      <c r="ACM52" s="38"/>
      <c r="ACN52" s="38"/>
      <c r="ACO52" s="38"/>
      <c r="ACP52" s="38"/>
      <c r="ACQ52" s="38"/>
      <c r="ACR52" s="38"/>
      <c r="ACS52" s="38"/>
      <c r="ACT52" s="38"/>
      <c r="ACU52" s="38"/>
      <c r="ACV52" s="38"/>
      <c r="ACW52" s="38"/>
      <c r="ACX52" s="38"/>
      <c r="ACY52" s="38"/>
      <c r="ACZ52" s="38"/>
      <c r="ADA52" s="38"/>
      <c r="ADB52" s="38"/>
      <c r="ADC52" s="38"/>
      <c r="ADD52" s="38"/>
      <c r="ADE52" s="38"/>
      <c r="ADF52" s="38"/>
      <c r="ADG52" s="38"/>
      <c r="ADH52" s="38"/>
      <c r="ADI52" s="38"/>
      <c r="ADJ52" s="38"/>
      <c r="ADK52" s="38"/>
      <c r="ADL52" s="38"/>
      <c r="ADM52" s="38"/>
      <c r="ADN52" s="38"/>
      <c r="ADO52" s="38"/>
      <c r="ADP52" s="38"/>
      <c r="ADQ52" s="38"/>
      <c r="ADR52" s="38"/>
      <c r="ADS52" s="38"/>
      <c r="ADT52" s="38"/>
      <c r="ADU52" s="38"/>
      <c r="ADV52" s="38"/>
      <c r="ADW52" s="38"/>
      <c r="ADX52" s="38"/>
      <c r="ADY52" s="38"/>
      <c r="ADZ52" s="38"/>
      <c r="AEA52" s="38"/>
      <c r="AEB52" s="38"/>
      <c r="AEC52" s="38"/>
      <c r="AED52" s="38"/>
      <c r="AEE52" s="38"/>
      <c r="AEF52" s="38"/>
      <c r="AEG52" s="38"/>
      <c r="AEH52" s="38"/>
      <c r="AEI52" s="38"/>
      <c r="AEJ52" s="38"/>
      <c r="AEK52" s="38"/>
      <c r="AEL52" s="38"/>
      <c r="AEM52" s="38"/>
      <c r="AEN52" s="38"/>
      <c r="AEO52" s="38"/>
      <c r="AEP52" s="38"/>
      <c r="AEQ52" s="38"/>
      <c r="AER52" s="38"/>
      <c r="AES52" s="38"/>
      <c r="AET52" s="38"/>
      <c r="AEU52" s="38"/>
      <c r="AEV52" s="38"/>
      <c r="AEW52" s="38"/>
      <c r="AEX52" s="38"/>
      <c r="AEY52" s="38"/>
      <c r="AEZ52" s="38"/>
      <c r="AFA52" s="38"/>
      <c r="AFB52" s="38"/>
      <c r="AFC52" s="38"/>
      <c r="AFD52" s="38"/>
      <c r="AFE52" s="38"/>
      <c r="AFF52" s="38"/>
      <c r="AFG52" s="38"/>
      <c r="AFH52" s="38"/>
      <c r="AFI52" s="38"/>
      <c r="AFJ52" s="38"/>
      <c r="AFK52" s="38"/>
      <c r="AFL52" s="38"/>
      <c r="AFM52" s="38"/>
      <c r="AFN52" s="38"/>
      <c r="AFO52" s="38"/>
      <c r="AFP52" s="38"/>
      <c r="AFQ52" s="38"/>
      <c r="AFR52" s="38"/>
      <c r="AFS52" s="38"/>
      <c r="AFT52" s="38"/>
      <c r="AFU52" s="38"/>
      <c r="AFV52" s="38"/>
      <c r="AFW52" s="38"/>
      <c r="AFX52" s="38"/>
      <c r="AFY52" s="38"/>
      <c r="AFZ52" s="38"/>
      <c r="AGA52" s="38"/>
      <c r="AGB52" s="38"/>
      <c r="AGC52" s="38"/>
      <c r="AGD52" s="38"/>
      <c r="AGE52" s="38"/>
      <c r="AGF52" s="38"/>
      <c r="AGG52" s="38"/>
      <c r="AGH52" s="38"/>
      <c r="AGI52" s="38"/>
      <c r="AGJ52" s="38"/>
      <c r="AGK52" s="38"/>
      <c r="AGL52" s="38"/>
      <c r="AGM52" s="38"/>
      <c r="AGN52" s="38"/>
      <c r="AGO52" s="38"/>
      <c r="AGP52" s="38"/>
      <c r="AGQ52" s="38"/>
      <c r="AGR52" s="38"/>
      <c r="AGS52" s="38"/>
      <c r="AGT52" s="38"/>
      <c r="AGU52" s="38"/>
      <c r="AGV52" s="38"/>
      <c r="AGW52" s="38"/>
      <c r="AGX52" s="38"/>
      <c r="AGY52" s="38"/>
      <c r="AGZ52" s="38"/>
      <c r="AHA52" s="38"/>
      <c r="AHB52" s="38"/>
      <c r="AHC52" s="38"/>
      <c r="AHD52" s="38"/>
      <c r="AHE52" s="38"/>
      <c r="AHF52" s="38"/>
      <c r="AHG52" s="38"/>
      <c r="AHH52" s="38"/>
      <c r="AHI52" s="38"/>
      <c r="AHJ52" s="38"/>
      <c r="AHK52" s="38"/>
      <c r="AHL52" s="38"/>
      <c r="AHM52" s="38"/>
      <c r="AHN52" s="38"/>
      <c r="AHO52" s="38"/>
      <c r="AHP52" s="38"/>
      <c r="AHQ52" s="38"/>
      <c r="AHR52" s="38"/>
      <c r="AHS52" s="38"/>
      <c r="AHT52" s="38"/>
      <c r="AHU52" s="38"/>
      <c r="AHV52" s="38"/>
    </row>
    <row r="53" spans="1:906" s="27" customFormat="1" x14ac:dyDescent="0.35">
      <c r="A53" s="83">
        <v>49</v>
      </c>
      <c r="B53" s="108" t="s">
        <v>96</v>
      </c>
      <c r="C53" s="109" t="s">
        <v>97</v>
      </c>
      <c r="D53" s="109" t="s">
        <v>15</v>
      </c>
      <c r="E53" s="125"/>
      <c r="F53" s="125">
        <v>6.99</v>
      </c>
      <c r="G53" s="125">
        <v>8.9499999999999993</v>
      </c>
      <c r="H53" s="125"/>
      <c r="I53" s="37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</row>
    <row r="54" spans="1:906" s="27" customFormat="1" x14ac:dyDescent="0.35">
      <c r="A54" s="83">
        <v>50</v>
      </c>
      <c r="B54" s="108" t="s">
        <v>96</v>
      </c>
      <c r="C54" s="109"/>
      <c r="D54" s="109" t="s">
        <v>59</v>
      </c>
      <c r="E54" s="125"/>
      <c r="F54" s="125"/>
      <c r="G54" s="125"/>
      <c r="H54" s="125"/>
      <c r="I54" s="37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</row>
    <row r="55" spans="1:906" s="27" customFormat="1" x14ac:dyDescent="0.35">
      <c r="A55" s="83">
        <v>51</v>
      </c>
      <c r="B55" s="108" t="s">
        <v>98</v>
      </c>
      <c r="C55" s="109"/>
      <c r="D55" s="109" t="s">
        <v>15</v>
      </c>
      <c r="E55" s="125"/>
      <c r="F55" s="125">
        <v>8.99</v>
      </c>
      <c r="G55" s="125">
        <v>9.9499999999999993</v>
      </c>
      <c r="H55" s="125"/>
      <c r="I55" s="37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</row>
    <row r="56" spans="1:906" s="27" customFormat="1" x14ac:dyDescent="0.35">
      <c r="A56" s="83">
        <v>52</v>
      </c>
      <c r="B56" s="108" t="s">
        <v>98</v>
      </c>
      <c r="C56" s="109"/>
      <c r="D56" s="109" t="s">
        <v>59</v>
      </c>
      <c r="E56" s="125"/>
      <c r="F56" s="125"/>
      <c r="G56" s="125"/>
      <c r="H56" s="125"/>
      <c r="I56" s="37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8"/>
      <c r="EQ56" s="38"/>
      <c r="ER56" s="38"/>
      <c r="ES56" s="38"/>
      <c r="ET56" s="38"/>
      <c r="EU56" s="38"/>
      <c r="EV56" s="38"/>
      <c r="EW56" s="38"/>
      <c r="EX56" s="38"/>
      <c r="EY56" s="38"/>
      <c r="EZ56" s="38"/>
      <c r="FA56" s="38"/>
      <c r="FB56" s="38"/>
      <c r="FC56" s="38"/>
      <c r="FD56" s="38"/>
      <c r="FE56" s="38"/>
      <c r="FF56" s="38"/>
      <c r="FG56" s="38"/>
      <c r="FH56" s="38"/>
      <c r="FI56" s="38"/>
      <c r="FJ56" s="38"/>
      <c r="FK56" s="38"/>
      <c r="FL56" s="38"/>
      <c r="FM56" s="38"/>
      <c r="FN56" s="38"/>
      <c r="FO56" s="38"/>
      <c r="FP56" s="38"/>
      <c r="FQ56" s="38"/>
      <c r="FR56" s="38"/>
      <c r="FS56" s="38"/>
      <c r="FT56" s="38"/>
      <c r="FU56" s="38"/>
      <c r="FV56" s="38"/>
      <c r="FW56" s="38"/>
      <c r="FX56" s="38"/>
      <c r="FY56" s="38"/>
      <c r="FZ56" s="38"/>
      <c r="GA56" s="38"/>
      <c r="GB56" s="38"/>
      <c r="GC56" s="38"/>
      <c r="GD56" s="38"/>
      <c r="GE56" s="38"/>
      <c r="GF56" s="38"/>
      <c r="GG56" s="38"/>
      <c r="GH56" s="38"/>
      <c r="GI56" s="38"/>
      <c r="GJ56" s="38"/>
      <c r="GK56" s="38"/>
      <c r="GL56" s="38"/>
      <c r="GM56" s="38"/>
      <c r="GN56" s="38"/>
      <c r="GO56" s="38"/>
      <c r="GP56" s="38"/>
      <c r="GQ56" s="38"/>
      <c r="GR56" s="38"/>
      <c r="GS56" s="38"/>
      <c r="GT56" s="38"/>
      <c r="GU56" s="38"/>
      <c r="GV56" s="38"/>
      <c r="GW56" s="38"/>
      <c r="GX56" s="38"/>
      <c r="GY56" s="38"/>
      <c r="GZ56" s="38"/>
      <c r="HA56" s="38"/>
      <c r="HB56" s="38"/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38"/>
      <c r="HN56" s="38"/>
      <c r="HO56" s="38"/>
      <c r="HP56" s="38"/>
      <c r="HQ56" s="38"/>
      <c r="HR56" s="38"/>
      <c r="HS56" s="38"/>
      <c r="HT56" s="38"/>
      <c r="HU56" s="38"/>
      <c r="HV56" s="38"/>
      <c r="HW56" s="38"/>
      <c r="HX56" s="38"/>
      <c r="HY56" s="38"/>
      <c r="HZ56" s="38"/>
      <c r="IA56" s="38"/>
      <c r="IB56" s="38"/>
      <c r="IC56" s="38"/>
      <c r="ID56" s="38"/>
      <c r="IE56" s="38"/>
      <c r="IF56" s="38"/>
      <c r="IG56" s="38"/>
      <c r="IH56" s="38"/>
      <c r="II56" s="38"/>
      <c r="IJ56" s="38"/>
      <c r="IK56" s="38"/>
      <c r="IL56" s="38"/>
      <c r="IM56" s="38"/>
      <c r="IN56" s="38"/>
      <c r="IO56" s="38"/>
      <c r="IP56" s="38"/>
      <c r="IQ56" s="38"/>
      <c r="IR56" s="38"/>
      <c r="IS56" s="38"/>
      <c r="IT56" s="38"/>
      <c r="IU56" s="38"/>
      <c r="IV56" s="38"/>
      <c r="IW56" s="38"/>
      <c r="IX56" s="38"/>
      <c r="IY56" s="38"/>
      <c r="IZ56" s="38"/>
      <c r="JA56" s="38"/>
      <c r="JB56" s="38"/>
      <c r="JC56" s="38"/>
      <c r="JD56" s="38"/>
      <c r="JE56" s="38"/>
      <c r="JF56" s="38"/>
      <c r="JG56" s="38"/>
      <c r="JH56" s="38"/>
      <c r="JI56" s="38"/>
      <c r="JJ56" s="38"/>
      <c r="JK56" s="38"/>
      <c r="JL56" s="38"/>
      <c r="JM56" s="38"/>
      <c r="JN56" s="38"/>
      <c r="JO56" s="38"/>
      <c r="JP56" s="38"/>
      <c r="JQ56" s="38"/>
      <c r="JR56" s="38"/>
      <c r="JS56" s="38"/>
      <c r="JT56" s="38"/>
      <c r="JU56" s="38"/>
      <c r="JV56" s="38"/>
      <c r="JW56" s="38"/>
      <c r="JX56" s="38"/>
      <c r="JY56" s="38"/>
      <c r="JZ56" s="38"/>
      <c r="KA56" s="38"/>
      <c r="KB56" s="38"/>
      <c r="KC56" s="38"/>
      <c r="KD56" s="38"/>
      <c r="KE56" s="38"/>
      <c r="KF56" s="38"/>
      <c r="KG56" s="38"/>
      <c r="KH56" s="38"/>
      <c r="KI56" s="38"/>
      <c r="KJ56" s="38"/>
      <c r="KK56" s="38"/>
      <c r="KL56" s="38"/>
      <c r="KM56" s="38"/>
      <c r="KN56" s="38"/>
      <c r="KO56" s="38"/>
      <c r="KP56" s="38"/>
      <c r="KQ56" s="38"/>
      <c r="KR56" s="38"/>
      <c r="KS56" s="38"/>
      <c r="KT56" s="38"/>
      <c r="KU56" s="38"/>
      <c r="KV56" s="38"/>
      <c r="KW56" s="38"/>
      <c r="KX56" s="38"/>
      <c r="KY56" s="38"/>
      <c r="KZ56" s="38"/>
      <c r="LA56" s="38"/>
      <c r="LB56" s="38"/>
      <c r="LC56" s="38"/>
      <c r="LD56" s="38"/>
      <c r="LE56" s="38"/>
      <c r="LF56" s="38"/>
      <c r="LG56" s="38"/>
      <c r="LH56" s="38"/>
      <c r="LI56" s="38"/>
      <c r="LJ56" s="38"/>
      <c r="LK56" s="38"/>
      <c r="LL56" s="38"/>
      <c r="LM56" s="38"/>
      <c r="LN56" s="38"/>
      <c r="LO56" s="38"/>
      <c r="LP56" s="38"/>
      <c r="LQ56" s="38"/>
      <c r="LR56" s="38"/>
      <c r="LS56" s="38"/>
      <c r="LT56" s="38"/>
      <c r="LU56" s="38"/>
      <c r="LV56" s="38"/>
      <c r="LW56" s="38"/>
      <c r="LX56" s="38"/>
      <c r="LY56" s="38"/>
      <c r="LZ56" s="38"/>
      <c r="MA56" s="38"/>
      <c r="MB56" s="38"/>
      <c r="MC56" s="38"/>
      <c r="MD56" s="38"/>
      <c r="ME56" s="38"/>
      <c r="MF56" s="38"/>
      <c r="MG56" s="38"/>
      <c r="MH56" s="38"/>
      <c r="MI56" s="38"/>
      <c r="MJ56" s="38"/>
      <c r="MK56" s="38"/>
      <c r="ML56" s="38"/>
      <c r="MM56" s="38"/>
      <c r="MN56" s="38"/>
      <c r="MO56" s="38"/>
      <c r="MP56" s="38"/>
      <c r="MQ56" s="38"/>
      <c r="MR56" s="38"/>
      <c r="MS56" s="38"/>
      <c r="MT56" s="38"/>
      <c r="MU56" s="38"/>
      <c r="MV56" s="38"/>
      <c r="MW56" s="38"/>
      <c r="MX56" s="38"/>
      <c r="MY56" s="38"/>
      <c r="MZ56" s="38"/>
      <c r="NA56" s="38"/>
      <c r="NB56" s="38"/>
      <c r="NC56" s="38"/>
      <c r="ND56" s="38"/>
      <c r="NE56" s="38"/>
      <c r="NF56" s="38"/>
      <c r="NG56" s="38"/>
      <c r="NH56" s="38"/>
      <c r="NI56" s="38"/>
      <c r="NJ56" s="38"/>
      <c r="NK56" s="38"/>
      <c r="NL56" s="38"/>
      <c r="NM56" s="38"/>
      <c r="NN56" s="38"/>
      <c r="NO56" s="38"/>
      <c r="NP56" s="38"/>
      <c r="NQ56" s="38"/>
      <c r="NR56" s="38"/>
      <c r="NS56" s="38"/>
      <c r="NT56" s="38"/>
      <c r="NU56" s="38"/>
      <c r="NV56" s="38"/>
      <c r="NW56" s="38"/>
      <c r="NX56" s="38"/>
      <c r="NY56" s="38"/>
      <c r="NZ56" s="38"/>
      <c r="OA56" s="38"/>
      <c r="OB56" s="38"/>
      <c r="OC56" s="38"/>
      <c r="OD56" s="38"/>
      <c r="OE56" s="38"/>
      <c r="OF56" s="38"/>
      <c r="OG56" s="38"/>
      <c r="OH56" s="38"/>
      <c r="OI56" s="38"/>
      <c r="OJ56" s="38"/>
      <c r="OK56" s="38"/>
      <c r="OL56" s="38"/>
      <c r="OM56" s="38"/>
      <c r="ON56" s="38"/>
      <c r="OO56" s="38"/>
      <c r="OP56" s="38"/>
      <c r="OQ56" s="38"/>
      <c r="OR56" s="38"/>
      <c r="OS56" s="38"/>
      <c r="OT56" s="38"/>
      <c r="OU56" s="38"/>
      <c r="OV56" s="38"/>
      <c r="OW56" s="38"/>
      <c r="OX56" s="38"/>
      <c r="OY56" s="38"/>
      <c r="OZ56" s="38"/>
      <c r="PA56" s="38"/>
      <c r="PB56" s="38"/>
      <c r="PC56" s="38"/>
      <c r="PD56" s="38"/>
      <c r="PE56" s="38"/>
      <c r="PF56" s="38"/>
      <c r="PG56" s="38"/>
      <c r="PH56" s="38"/>
      <c r="PI56" s="38"/>
      <c r="PJ56" s="38"/>
      <c r="PK56" s="38"/>
      <c r="PL56" s="38"/>
      <c r="PM56" s="38"/>
      <c r="PN56" s="38"/>
      <c r="PO56" s="38"/>
      <c r="PP56" s="38"/>
      <c r="PQ56" s="38"/>
      <c r="PR56" s="38"/>
      <c r="PS56" s="38"/>
      <c r="PT56" s="38"/>
      <c r="PU56" s="38"/>
      <c r="PV56" s="38"/>
      <c r="PW56" s="38"/>
      <c r="PX56" s="38"/>
      <c r="PY56" s="38"/>
      <c r="PZ56" s="38"/>
      <c r="QA56" s="38"/>
      <c r="QB56" s="38"/>
      <c r="QC56" s="38"/>
      <c r="QD56" s="38"/>
      <c r="QE56" s="38"/>
      <c r="QF56" s="38"/>
      <c r="QG56" s="38"/>
      <c r="QH56" s="38"/>
      <c r="QI56" s="38"/>
      <c r="QJ56" s="38"/>
      <c r="QK56" s="38"/>
      <c r="QL56" s="38"/>
      <c r="QM56" s="38"/>
      <c r="QN56" s="38"/>
      <c r="QO56" s="38"/>
      <c r="QP56" s="38"/>
      <c r="QQ56" s="38"/>
      <c r="QR56" s="38"/>
      <c r="QS56" s="38"/>
      <c r="QT56" s="38"/>
      <c r="QU56" s="38"/>
      <c r="QV56" s="38"/>
      <c r="QW56" s="38"/>
      <c r="QX56" s="38"/>
      <c r="QY56" s="38"/>
      <c r="QZ56" s="38"/>
      <c r="RA56" s="38"/>
      <c r="RB56" s="38"/>
      <c r="RC56" s="38"/>
      <c r="RD56" s="38"/>
      <c r="RE56" s="38"/>
      <c r="RF56" s="38"/>
      <c r="RG56" s="38"/>
      <c r="RH56" s="38"/>
      <c r="RI56" s="38"/>
      <c r="RJ56" s="38"/>
      <c r="RK56" s="38"/>
      <c r="RL56" s="38"/>
      <c r="RM56" s="38"/>
      <c r="RN56" s="38"/>
      <c r="RO56" s="38"/>
      <c r="RP56" s="38"/>
      <c r="RQ56" s="38"/>
      <c r="RR56" s="38"/>
      <c r="RS56" s="38"/>
      <c r="RT56" s="38"/>
      <c r="RU56" s="38"/>
      <c r="RV56" s="38"/>
      <c r="RW56" s="38"/>
      <c r="RX56" s="38"/>
      <c r="RY56" s="38"/>
      <c r="RZ56" s="38"/>
      <c r="SA56" s="38"/>
      <c r="SB56" s="38"/>
      <c r="SC56" s="38"/>
      <c r="SD56" s="38"/>
      <c r="SE56" s="38"/>
      <c r="SF56" s="38"/>
      <c r="SG56" s="38"/>
      <c r="SH56" s="38"/>
      <c r="SI56" s="38"/>
      <c r="SJ56" s="38"/>
      <c r="SK56" s="38"/>
      <c r="SL56" s="38"/>
      <c r="SM56" s="38"/>
      <c r="SN56" s="38"/>
      <c r="SO56" s="38"/>
      <c r="SP56" s="38"/>
      <c r="SQ56" s="38"/>
      <c r="SR56" s="38"/>
      <c r="SS56" s="38"/>
      <c r="ST56" s="38"/>
      <c r="SU56" s="38"/>
      <c r="SV56" s="38"/>
      <c r="SW56" s="38"/>
      <c r="SX56" s="38"/>
      <c r="SY56" s="38"/>
      <c r="SZ56" s="38"/>
      <c r="TA56" s="38"/>
      <c r="TB56" s="38"/>
      <c r="TC56" s="38"/>
      <c r="TD56" s="38"/>
      <c r="TE56" s="38"/>
      <c r="TF56" s="38"/>
      <c r="TG56" s="38"/>
      <c r="TH56" s="38"/>
      <c r="TI56" s="38"/>
      <c r="TJ56" s="38"/>
      <c r="TK56" s="38"/>
      <c r="TL56" s="38"/>
      <c r="TM56" s="38"/>
      <c r="TN56" s="38"/>
      <c r="TO56" s="38"/>
      <c r="TP56" s="38"/>
      <c r="TQ56" s="38"/>
      <c r="TR56" s="38"/>
      <c r="TS56" s="38"/>
      <c r="TT56" s="38"/>
      <c r="TU56" s="38"/>
      <c r="TV56" s="38"/>
      <c r="TW56" s="38"/>
      <c r="TX56" s="38"/>
      <c r="TY56" s="38"/>
      <c r="TZ56" s="38"/>
      <c r="UA56" s="38"/>
      <c r="UB56" s="38"/>
      <c r="UC56" s="38"/>
      <c r="UD56" s="38"/>
      <c r="UE56" s="38"/>
      <c r="UF56" s="38"/>
      <c r="UG56" s="38"/>
      <c r="UH56" s="38"/>
      <c r="UI56" s="38"/>
      <c r="UJ56" s="38"/>
      <c r="UK56" s="38"/>
      <c r="UL56" s="38"/>
      <c r="UM56" s="38"/>
      <c r="UN56" s="38"/>
      <c r="UO56" s="38"/>
      <c r="UP56" s="38"/>
      <c r="UQ56" s="38"/>
      <c r="UR56" s="38"/>
      <c r="US56" s="38"/>
      <c r="UT56" s="38"/>
      <c r="UU56" s="38"/>
      <c r="UV56" s="38"/>
      <c r="UW56" s="38"/>
      <c r="UX56" s="38"/>
      <c r="UY56" s="38"/>
      <c r="UZ56" s="38"/>
      <c r="VA56" s="38"/>
      <c r="VB56" s="38"/>
      <c r="VC56" s="38"/>
      <c r="VD56" s="38"/>
      <c r="VE56" s="38"/>
      <c r="VF56" s="38"/>
      <c r="VG56" s="38"/>
      <c r="VH56" s="38"/>
      <c r="VI56" s="38"/>
      <c r="VJ56" s="38"/>
      <c r="VK56" s="38"/>
      <c r="VL56" s="38"/>
      <c r="VM56" s="38"/>
      <c r="VN56" s="38"/>
      <c r="VO56" s="38"/>
      <c r="VP56" s="38"/>
      <c r="VQ56" s="38"/>
      <c r="VR56" s="38"/>
      <c r="VS56" s="38"/>
      <c r="VT56" s="38"/>
      <c r="VU56" s="38"/>
      <c r="VV56" s="38"/>
      <c r="VW56" s="38"/>
      <c r="VX56" s="38"/>
      <c r="VY56" s="38"/>
      <c r="VZ56" s="38"/>
      <c r="WA56" s="38"/>
      <c r="WB56" s="38"/>
      <c r="WC56" s="38"/>
      <c r="WD56" s="38"/>
      <c r="WE56" s="38"/>
      <c r="WF56" s="38"/>
      <c r="WG56" s="38"/>
      <c r="WH56" s="38"/>
      <c r="WI56" s="38"/>
      <c r="WJ56" s="38"/>
      <c r="WK56" s="38"/>
      <c r="WL56" s="38"/>
      <c r="WM56" s="38"/>
      <c r="WN56" s="38"/>
      <c r="WO56" s="38"/>
      <c r="WP56" s="38"/>
      <c r="WQ56" s="38"/>
      <c r="WR56" s="38"/>
      <c r="WS56" s="38"/>
      <c r="WT56" s="38"/>
      <c r="WU56" s="38"/>
      <c r="WV56" s="38"/>
      <c r="WW56" s="38"/>
      <c r="WX56" s="38"/>
      <c r="WY56" s="38"/>
      <c r="WZ56" s="38"/>
      <c r="XA56" s="38"/>
      <c r="XB56" s="38"/>
      <c r="XC56" s="38"/>
      <c r="XD56" s="38"/>
      <c r="XE56" s="38"/>
      <c r="XF56" s="38"/>
      <c r="XG56" s="38"/>
      <c r="XH56" s="38"/>
      <c r="XI56" s="38"/>
      <c r="XJ56" s="38"/>
      <c r="XK56" s="38"/>
      <c r="XL56" s="38"/>
      <c r="XM56" s="38"/>
      <c r="XN56" s="38"/>
      <c r="XO56" s="38"/>
      <c r="XP56" s="38"/>
      <c r="XQ56" s="38"/>
      <c r="XR56" s="38"/>
      <c r="XS56" s="38"/>
      <c r="XT56" s="38"/>
      <c r="XU56" s="38"/>
      <c r="XV56" s="38"/>
      <c r="XW56" s="38"/>
      <c r="XX56" s="38"/>
      <c r="XY56" s="38"/>
      <c r="XZ56" s="38"/>
      <c r="YA56" s="38"/>
      <c r="YB56" s="38"/>
      <c r="YC56" s="38"/>
      <c r="YD56" s="38"/>
      <c r="YE56" s="38"/>
      <c r="YF56" s="38"/>
      <c r="YG56" s="38"/>
      <c r="YH56" s="38"/>
      <c r="YI56" s="38"/>
      <c r="YJ56" s="38"/>
      <c r="YK56" s="38"/>
      <c r="YL56" s="38"/>
      <c r="YM56" s="38"/>
      <c r="YN56" s="38"/>
      <c r="YO56" s="38"/>
      <c r="YP56" s="38"/>
      <c r="YQ56" s="38"/>
      <c r="YR56" s="38"/>
      <c r="YS56" s="38"/>
      <c r="YT56" s="38"/>
      <c r="YU56" s="38"/>
      <c r="YV56" s="38"/>
      <c r="YW56" s="38"/>
      <c r="YX56" s="38"/>
      <c r="YY56" s="38"/>
      <c r="YZ56" s="38"/>
      <c r="ZA56" s="38"/>
      <c r="ZB56" s="38"/>
      <c r="ZC56" s="38"/>
      <c r="ZD56" s="38"/>
      <c r="ZE56" s="38"/>
      <c r="ZF56" s="38"/>
      <c r="ZG56" s="38"/>
      <c r="ZH56" s="38"/>
      <c r="ZI56" s="38"/>
      <c r="ZJ56" s="38"/>
      <c r="ZK56" s="38"/>
      <c r="ZL56" s="38"/>
      <c r="ZM56" s="38"/>
      <c r="ZN56" s="38"/>
      <c r="ZO56" s="38"/>
      <c r="ZP56" s="38"/>
      <c r="ZQ56" s="38"/>
      <c r="ZR56" s="38"/>
      <c r="ZS56" s="38"/>
      <c r="ZT56" s="38"/>
      <c r="ZU56" s="38"/>
      <c r="ZV56" s="38"/>
      <c r="ZW56" s="38"/>
      <c r="ZX56" s="38"/>
      <c r="ZY56" s="38"/>
      <c r="ZZ56" s="38"/>
      <c r="AAA56" s="38"/>
      <c r="AAB56" s="38"/>
      <c r="AAC56" s="38"/>
      <c r="AAD56" s="38"/>
      <c r="AAE56" s="38"/>
      <c r="AAF56" s="38"/>
      <c r="AAG56" s="38"/>
      <c r="AAH56" s="38"/>
      <c r="AAI56" s="38"/>
      <c r="AAJ56" s="38"/>
      <c r="AAK56" s="38"/>
      <c r="AAL56" s="38"/>
      <c r="AAM56" s="38"/>
      <c r="AAN56" s="38"/>
      <c r="AAO56" s="38"/>
      <c r="AAP56" s="38"/>
      <c r="AAQ56" s="38"/>
      <c r="AAR56" s="38"/>
      <c r="AAS56" s="38"/>
      <c r="AAT56" s="38"/>
      <c r="AAU56" s="38"/>
      <c r="AAV56" s="38"/>
      <c r="AAW56" s="38"/>
      <c r="AAX56" s="38"/>
      <c r="AAY56" s="38"/>
      <c r="AAZ56" s="38"/>
      <c r="ABA56" s="38"/>
      <c r="ABB56" s="38"/>
      <c r="ABC56" s="38"/>
      <c r="ABD56" s="38"/>
      <c r="ABE56" s="38"/>
      <c r="ABF56" s="38"/>
      <c r="ABG56" s="38"/>
      <c r="ABH56" s="38"/>
      <c r="ABI56" s="38"/>
      <c r="ABJ56" s="38"/>
      <c r="ABK56" s="38"/>
      <c r="ABL56" s="38"/>
      <c r="ABM56" s="38"/>
      <c r="ABN56" s="38"/>
      <c r="ABO56" s="38"/>
      <c r="ABP56" s="38"/>
      <c r="ABQ56" s="38"/>
      <c r="ABR56" s="38"/>
      <c r="ABS56" s="38"/>
      <c r="ABT56" s="38"/>
      <c r="ABU56" s="38"/>
      <c r="ABV56" s="38"/>
      <c r="ABW56" s="38"/>
      <c r="ABX56" s="38"/>
      <c r="ABY56" s="38"/>
      <c r="ABZ56" s="38"/>
      <c r="ACA56" s="38"/>
      <c r="ACB56" s="38"/>
      <c r="ACC56" s="38"/>
      <c r="ACD56" s="38"/>
      <c r="ACE56" s="38"/>
      <c r="ACF56" s="38"/>
      <c r="ACG56" s="38"/>
      <c r="ACH56" s="38"/>
      <c r="ACI56" s="38"/>
      <c r="ACJ56" s="38"/>
      <c r="ACK56" s="38"/>
      <c r="ACL56" s="38"/>
      <c r="ACM56" s="38"/>
      <c r="ACN56" s="38"/>
      <c r="ACO56" s="38"/>
      <c r="ACP56" s="38"/>
      <c r="ACQ56" s="38"/>
      <c r="ACR56" s="38"/>
      <c r="ACS56" s="38"/>
      <c r="ACT56" s="38"/>
      <c r="ACU56" s="38"/>
      <c r="ACV56" s="38"/>
      <c r="ACW56" s="38"/>
      <c r="ACX56" s="38"/>
      <c r="ACY56" s="38"/>
      <c r="ACZ56" s="38"/>
      <c r="ADA56" s="38"/>
      <c r="ADB56" s="38"/>
      <c r="ADC56" s="38"/>
      <c r="ADD56" s="38"/>
      <c r="ADE56" s="38"/>
      <c r="ADF56" s="38"/>
      <c r="ADG56" s="38"/>
      <c r="ADH56" s="38"/>
      <c r="ADI56" s="38"/>
      <c r="ADJ56" s="38"/>
      <c r="ADK56" s="38"/>
      <c r="ADL56" s="38"/>
      <c r="ADM56" s="38"/>
      <c r="ADN56" s="38"/>
      <c r="ADO56" s="38"/>
      <c r="ADP56" s="38"/>
      <c r="ADQ56" s="38"/>
      <c r="ADR56" s="38"/>
      <c r="ADS56" s="38"/>
      <c r="ADT56" s="38"/>
      <c r="ADU56" s="38"/>
      <c r="ADV56" s="38"/>
      <c r="ADW56" s="38"/>
      <c r="ADX56" s="38"/>
      <c r="ADY56" s="38"/>
      <c r="ADZ56" s="38"/>
      <c r="AEA56" s="38"/>
      <c r="AEB56" s="38"/>
      <c r="AEC56" s="38"/>
      <c r="AED56" s="38"/>
      <c r="AEE56" s="38"/>
      <c r="AEF56" s="38"/>
      <c r="AEG56" s="38"/>
      <c r="AEH56" s="38"/>
      <c r="AEI56" s="38"/>
      <c r="AEJ56" s="38"/>
      <c r="AEK56" s="38"/>
      <c r="AEL56" s="38"/>
      <c r="AEM56" s="38"/>
      <c r="AEN56" s="38"/>
      <c r="AEO56" s="38"/>
      <c r="AEP56" s="38"/>
      <c r="AEQ56" s="38"/>
      <c r="AER56" s="38"/>
      <c r="AES56" s="38"/>
      <c r="AET56" s="38"/>
      <c r="AEU56" s="38"/>
      <c r="AEV56" s="38"/>
      <c r="AEW56" s="38"/>
      <c r="AEX56" s="38"/>
      <c r="AEY56" s="38"/>
      <c r="AEZ56" s="38"/>
      <c r="AFA56" s="38"/>
      <c r="AFB56" s="38"/>
      <c r="AFC56" s="38"/>
      <c r="AFD56" s="38"/>
      <c r="AFE56" s="38"/>
      <c r="AFF56" s="38"/>
      <c r="AFG56" s="38"/>
      <c r="AFH56" s="38"/>
      <c r="AFI56" s="38"/>
      <c r="AFJ56" s="38"/>
      <c r="AFK56" s="38"/>
      <c r="AFL56" s="38"/>
      <c r="AFM56" s="38"/>
      <c r="AFN56" s="38"/>
      <c r="AFO56" s="38"/>
      <c r="AFP56" s="38"/>
      <c r="AFQ56" s="38"/>
      <c r="AFR56" s="38"/>
      <c r="AFS56" s="38"/>
      <c r="AFT56" s="38"/>
      <c r="AFU56" s="38"/>
      <c r="AFV56" s="38"/>
      <c r="AFW56" s="38"/>
      <c r="AFX56" s="38"/>
      <c r="AFY56" s="38"/>
      <c r="AFZ56" s="38"/>
      <c r="AGA56" s="38"/>
      <c r="AGB56" s="38"/>
      <c r="AGC56" s="38"/>
      <c r="AGD56" s="38"/>
      <c r="AGE56" s="38"/>
      <c r="AGF56" s="38"/>
      <c r="AGG56" s="38"/>
      <c r="AGH56" s="38"/>
      <c r="AGI56" s="38"/>
      <c r="AGJ56" s="38"/>
      <c r="AGK56" s="38"/>
      <c r="AGL56" s="38"/>
      <c r="AGM56" s="38"/>
      <c r="AGN56" s="38"/>
      <c r="AGO56" s="38"/>
      <c r="AGP56" s="38"/>
      <c r="AGQ56" s="38"/>
      <c r="AGR56" s="38"/>
      <c r="AGS56" s="38"/>
      <c r="AGT56" s="38"/>
      <c r="AGU56" s="38"/>
      <c r="AGV56" s="38"/>
      <c r="AGW56" s="38"/>
      <c r="AGX56" s="38"/>
      <c r="AGY56" s="38"/>
      <c r="AGZ56" s="38"/>
      <c r="AHA56" s="38"/>
      <c r="AHB56" s="38"/>
      <c r="AHC56" s="38"/>
      <c r="AHD56" s="38"/>
      <c r="AHE56" s="38"/>
      <c r="AHF56" s="38"/>
      <c r="AHG56" s="38"/>
      <c r="AHH56" s="38"/>
      <c r="AHI56" s="38"/>
      <c r="AHJ56" s="38"/>
      <c r="AHK56" s="38"/>
      <c r="AHL56" s="38"/>
      <c r="AHM56" s="38"/>
      <c r="AHN56" s="38"/>
      <c r="AHO56" s="38"/>
      <c r="AHP56" s="38"/>
      <c r="AHQ56" s="38"/>
      <c r="AHR56" s="38"/>
      <c r="AHS56" s="38"/>
      <c r="AHT56" s="38"/>
      <c r="AHU56" s="38"/>
      <c r="AHV56" s="38"/>
    </row>
    <row r="57" spans="1:906" s="27" customFormat="1" x14ac:dyDescent="0.35">
      <c r="A57" s="83">
        <v>53</v>
      </c>
      <c r="B57" s="108" t="s">
        <v>99</v>
      </c>
      <c r="C57" s="109" t="s">
        <v>47</v>
      </c>
      <c r="D57" s="109" t="s">
        <v>15</v>
      </c>
      <c r="E57" s="125"/>
      <c r="F57" s="125">
        <v>9.9499999999999993</v>
      </c>
      <c r="G57" s="125"/>
      <c r="H57" s="125"/>
      <c r="I57" s="37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</row>
    <row r="58" spans="1:906" s="27" customFormat="1" x14ac:dyDescent="0.35">
      <c r="A58" s="83">
        <v>54</v>
      </c>
      <c r="B58" s="108" t="s">
        <v>99</v>
      </c>
      <c r="C58" s="109"/>
      <c r="D58" s="109" t="s">
        <v>59</v>
      </c>
      <c r="E58" s="125"/>
      <c r="F58" s="125"/>
      <c r="G58" s="125"/>
      <c r="H58" s="125"/>
      <c r="I58" s="37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  <c r="EX58" s="38"/>
      <c r="EY58" s="38"/>
      <c r="EZ58" s="38"/>
      <c r="FA58" s="38"/>
      <c r="FB58" s="38"/>
      <c r="FC58" s="38"/>
      <c r="FD58" s="38"/>
      <c r="FE58" s="38"/>
      <c r="FF58" s="38"/>
      <c r="FG58" s="38"/>
      <c r="FH58" s="38"/>
      <c r="FI58" s="38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  <c r="HI58" s="38"/>
      <c r="HJ58" s="38"/>
      <c r="HK58" s="38"/>
      <c r="HL58" s="38"/>
      <c r="HM58" s="38"/>
      <c r="HN58" s="38"/>
      <c r="HO58" s="38"/>
      <c r="HP58" s="38"/>
      <c r="HQ58" s="38"/>
      <c r="HR58" s="38"/>
      <c r="HS58" s="38"/>
      <c r="HT58" s="38"/>
      <c r="HU58" s="38"/>
      <c r="HV58" s="38"/>
      <c r="HW58" s="38"/>
      <c r="HX58" s="38"/>
      <c r="HY58" s="38"/>
      <c r="HZ58" s="38"/>
      <c r="IA58" s="38"/>
      <c r="IB58" s="38"/>
      <c r="IC58" s="38"/>
      <c r="ID58" s="38"/>
      <c r="IE58" s="38"/>
      <c r="IF58" s="38"/>
      <c r="IG58" s="38"/>
      <c r="IH58" s="38"/>
      <c r="II58" s="38"/>
      <c r="IJ58" s="38"/>
      <c r="IK58" s="38"/>
      <c r="IL58" s="38"/>
      <c r="IM58" s="38"/>
      <c r="IN58" s="38"/>
      <c r="IO58" s="38"/>
      <c r="IP58" s="38"/>
      <c r="IQ58" s="38"/>
      <c r="IR58" s="38"/>
      <c r="IS58" s="38"/>
      <c r="IT58" s="38"/>
      <c r="IU58" s="38"/>
      <c r="IV58" s="38"/>
      <c r="IW58" s="38"/>
      <c r="IX58" s="38"/>
      <c r="IY58" s="38"/>
      <c r="IZ58" s="38"/>
      <c r="JA58" s="38"/>
      <c r="JB58" s="38"/>
      <c r="JC58" s="38"/>
      <c r="JD58" s="38"/>
      <c r="JE58" s="38"/>
      <c r="JF58" s="38"/>
      <c r="JG58" s="38"/>
      <c r="JH58" s="38"/>
      <c r="JI58" s="38"/>
      <c r="JJ58" s="38"/>
      <c r="JK58" s="38"/>
      <c r="JL58" s="38"/>
      <c r="JM58" s="38"/>
      <c r="JN58" s="38"/>
      <c r="JO58" s="38"/>
      <c r="JP58" s="38"/>
      <c r="JQ58" s="38"/>
      <c r="JR58" s="38"/>
      <c r="JS58" s="38"/>
      <c r="JT58" s="38"/>
      <c r="JU58" s="38"/>
      <c r="JV58" s="38"/>
      <c r="JW58" s="38"/>
      <c r="JX58" s="38"/>
      <c r="JY58" s="38"/>
      <c r="JZ58" s="38"/>
      <c r="KA58" s="38"/>
      <c r="KB58" s="38"/>
      <c r="KC58" s="38"/>
      <c r="KD58" s="38"/>
      <c r="KE58" s="38"/>
      <c r="KF58" s="38"/>
      <c r="KG58" s="38"/>
      <c r="KH58" s="38"/>
      <c r="KI58" s="38"/>
      <c r="KJ58" s="38"/>
      <c r="KK58" s="38"/>
      <c r="KL58" s="38"/>
      <c r="KM58" s="38"/>
      <c r="KN58" s="38"/>
      <c r="KO58" s="38"/>
      <c r="KP58" s="38"/>
      <c r="KQ58" s="38"/>
      <c r="KR58" s="38"/>
      <c r="KS58" s="38"/>
      <c r="KT58" s="38"/>
      <c r="KU58" s="38"/>
      <c r="KV58" s="38"/>
      <c r="KW58" s="38"/>
      <c r="KX58" s="38"/>
      <c r="KY58" s="38"/>
      <c r="KZ58" s="38"/>
      <c r="LA58" s="38"/>
      <c r="LB58" s="38"/>
      <c r="LC58" s="38"/>
      <c r="LD58" s="38"/>
      <c r="LE58" s="38"/>
      <c r="LF58" s="38"/>
      <c r="LG58" s="38"/>
      <c r="LH58" s="38"/>
      <c r="LI58" s="38"/>
      <c r="LJ58" s="38"/>
      <c r="LK58" s="38"/>
      <c r="LL58" s="38"/>
      <c r="LM58" s="38"/>
      <c r="LN58" s="38"/>
      <c r="LO58" s="38"/>
      <c r="LP58" s="38"/>
      <c r="LQ58" s="38"/>
      <c r="LR58" s="38"/>
      <c r="LS58" s="38"/>
      <c r="LT58" s="38"/>
      <c r="LU58" s="38"/>
      <c r="LV58" s="38"/>
      <c r="LW58" s="38"/>
      <c r="LX58" s="38"/>
      <c r="LY58" s="38"/>
      <c r="LZ58" s="38"/>
      <c r="MA58" s="38"/>
      <c r="MB58" s="38"/>
      <c r="MC58" s="38"/>
      <c r="MD58" s="38"/>
      <c r="ME58" s="38"/>
      <c r="MF58" s="38"/>
      <c r="MG58" s="38"/>
      <c r="MH58" s="38"/>
      <c r="MI58" s="38"/>
      <c r="MJ58" s="38"/>
      <c r="MK58" s="38"/>
      <c r="ML58" s="38"/>
      <c r="MM58" s="38"/>
      <c r="MN58" s="38"/>
      <c r="MO58" s="38"/>
      <c r="MP58" s="38"/>
      <c r="MQ58" s="38"/>
      <c r="MR58" s="38"/>
      <c r="MS58" s="38"/>
      <c r="MT58" s="38"/>
      <c r="MU58" s="38"/>
      <c r="MV58" s="38"/>
      <c r="MW58" s="38"/>
      <c r="MX58" s="38"/>
      <c r="MY58" s="38"/>
      <c r="MZ58" s="38"/>
      <c r="NA58" s="38"/>
      <c r="NB58" s="38"/>
      <c r="NC58" s="38"/>
      <c r="ND58" s="38"/>
      <c r="NE58" s="38"/>
      <c r="NF58" s="38"/>
      <c r="NG58" s="38"/>
      <c r="NH58" s="38"/>
      <c r="NI58" s="38"/>
      <c r="NJ58" s="38"/>
      <c r="NK58" s="38"/>
      <c r="NL58" s="38"/>
      <c r="NM58" s="38"/>
      <c r="NN58" s="38"/>
      <c r="NO58" s="38"/>
      <c r="NP58" s="38"/>
      <c r="NQ58" s="38"/>
      <c r="NR58" s="38"/>
      <c r="NS58" s="38"/>
      <c r="NT58" s="38"/>
      <c r="NU58" s="38"/>
      <c r="NV58" s="38"/>
      <c r="NW58" s="38"/>
      <c r="NX58" s="38"/>
      <c r="NY58" s="38"/>
      <c r="NZ58" s="38"/>
      <c r="OA58" s="38"/>
      <c r="OB58" s="38"/>
      <c r="OC58" s="38"/>
      <c r="OD58" s="38"/>
      <c r="OE58" s="38"/>
      <c r="OF58" s="38"/>
      <c r="OG58" s="38"/>
      <c r="OH58" s="38"/>
      <c r="OI58" s="38"/>
      <c r="OJ58" s="38"/>
      <c r="OK58" s="38"/>
      <c r="OL58" s="38"/>
      <c r="OM58" s="38"/>
      <c r="ON58" s="38"/>
      <c r="OO58" s="38"/>
      <c r="OP58" s="38"/>
      <c r="OQ58" s="38"/>
      <c r="OR58" s="38"/>
      <c r="OS58" s="38"/>
      <c r="OT58" s="38"/>
      <c r="OU58" s="38"/>
      <c r="OV58" s="38"/>
      <c r="OW58" s="38"/>
      <c r="OX58" s="38"/>
      <c r="OY58" s="38"/>
      <c r="OZ58" s="38"/>
      <c r="PA58" s="38"/>
      <c r="PB58" s="38"/>
      <c r="PC58" s="38"/>
      <c r="PD58" s="38"/>
      <c r="PE58" s="38"/>
      <c r="PF58" s="38"/>
      <c r="PG58" s="38"/>
      <c r="PH58" s="38"/>
      <c r="PI58" s="38"/>
      <c r="PJ58" s="38"/>
      <c r="PK58" s="38"/>
      <c r="PL58" s="38"/>
      <c r="PM58" s="38"/>
      <c r="PN58" s="38"/>
      <c r="PO58" s="38"/>
      <c r="PP58" s="38"/>
      <c r="PQ58" s="38"/>
      <c r="PR58" s="38"/>
      <c r="PS58" s="38"/>
      <c r="PT58" s="38"/>
      <c r="PU58" s="38"/>
      <c r="PV58" s="38"/>
      <c r="PW58" s="38"/>
      <c r="PX58" s="38"/>
      <c r="PY58" s="38"/>
      <c r="PZ58" s="38"/>
      <c r="QA58" s="38"/>
      <c r="QB58" s="38"/>
      <c r="QC58" s="38"/>
      <c r="QD58" s="38"/>
      <c r="QE58" s="38"/>
      <c r="QF58" s="38"/>
      <c r="QG58" s="38"/>
      <c r="QH58" s="38"/>
      <c r="QI58" s="38"/>
      <c r="QJ58" s="38"/>
      <c r="QK58" s="38"/>
      <c r="QL58" s="38"/>
      <c r="QM58" s="38"/>
      <c r="QN58" s="38"/>
      <c r="QO58" s="38"/>
      <c r="QP58" s="38"/>
      <c r="QQ58" s="38"/>
      <c r="QR58" s="38"/>
      <c r="QS58" s="38"/>
      <c r="QT58" s="38"/>
      <c r="QU58" s="38"/>
      <c r="QV58" s="38"/>
      <c r="QW58" s="38"/>
      <c r="QX58" s="38"/>
      <c r="QY58" s="38"/>
      <c r="QZ58" s="38"/>
      <c r="RA58" s="38"/>
      <c r="RB58" s="38"/>
      <c r="RC58" s="38"/>
      <c r="RD58" s="38"/>
      <c r="RE58" s="38"/>
      <c r="RF58" s="38"/>
      <c r="RG58" s="38"/>
      <c r="RH58" s="38"/>
      <c r="RI58" s="38"/>
      <c r="RJ58" s="38"/>
      <c r="RK58" s="38"/>
      <c r="RL58" s="38"/>
      <c r="RM58" s="38"/>
      <c r="RN58" s="38"/>
      <c r="RO58" s="38"/>
      <c r="RP58" s="38"/>
      <c r="RQ58" s="38"/>
      <c r="RR58" s="38"/>
      <c r="RS58" s="38"/>
      <c r="RT58" s="38"/>
      <c r="RU58" s="38"/>
      <c r="RV58" s="38"/>
      <c r="RW58" s="38"/>
      <c r="RX58" s="38"/>
      <c r="RY58" s="38"/>
      <c r="RZ58" s="38"/>
      <c r="SA58" s="38"/>
      <c r="SB58" s="38"/>
      <c r="SC58" s="38"/>
      <c r="SD58" s="38"/>
      <c r="SE58" s="38"/>
      <c r="SF58" s="38"/>
      <c r="SG58" s="38"/>
      <c r="SH58" s="38"/>
      <c r="SI58" s="38"/>
      <c r="SJ58" s="38"/>
      <c r="SK58" s="38"/>
      <c r="SL58" s="38"/>
      <c r="SM58" s="38"/>
      <c r="SN58" s="38"/>
      <c r="SO58" s="38"/>
      <c r="SP58" s="38"/>
      <c r="SQ58" s="38"/>
      <c r="SR58" s="38"/>
      <c r="SS58" s="38"/>
      <c r="ST58" s="38"/>
      <c r="SU58" s="38"/>
      <c r="SV58" s="38"/>
      <c r="SW58" s="38"/>
      <c r="SX58" s="38"/>
      <c r="SY58" s="38"/>
      <c r="SZ58" s="38"/>
      <c r="TA58" s="38"/>
      <c r="TB58" s="38"/>
      <c r="TC58" s="38"/>
      <c r="TD58" s="38"/>
      <c r="TE58" s="38"/>
      <c r="TF58" s="38"/>
      <c r="TG58" s="38"/>
      <c r="TH58" s="38"/>
      <c r="TI58" s="38"/>
      <c r="TJ58" s="38"/>
      <c r="TK58" s="38"/>
      <c r="TL58" s="38"/>
      <c r="TM58" s="38"/>
      <c r="TN58" s="38"/>
      <c r="TO58" s="38"/>
      <c r="TP58" s="38"/>
      <c r="TQ58" s="38"/>
      <c r="TR58" s="38"/>
      <c r="TS58" s="38"/>
      <c r="TT58" s="38"/>
      <c r="TU58" s="38"/>
      <c r="TV58" s="38"/>
      <c r="TW58" s="38"/>
      <c r="TX58" s="38"/>
      <c r="TY58" s="38"/>
      <c r="TZ58" s="38"/>
      <c r="UA58" s="38"/>
      <c r="UB58" s="38"/>
      <c r="UC58" s="38"/>
      <c r="UD58" s="38"/>
      <c r="UE58" s="38"/>
      <c r="UF58" s="38"/>
      <c r="UG58" s="38"/>
      <c r="UH58" s="38"/>
      <c r="UI58" s="38"/>
      <c r="UJ58" s="38"/>
      <c r="UK58" s="38"/>
      <c r="UL58" s="38"/>
      <c r="UM58" s="38"/>
      <c r="UN58" s="38"/>
      <c r="UO58" s="38"/>
      <c r="UP58" s="38"/>
      <c r="UQ58" s="38"/>
      <c r="UR58" s="38"/>
      <c r="US58" s="38"/>
      <c r="UT58" s="38"/>
      <c r="UU58" s="38"/>
      <c r="UV58" s="38"/>
      <c r="UW58" s="38"/>
      <c r="UX58" s="38"/>
      <c r="UY58" s="38"/>
      <c r="UZ58" s="38"/>
      <c r="VA58" s="38"/>
      <c r="VB58" s="38"/>
      <c r="VC58" s="38"/>
      <c r="VD58" s="38"/>
      <c r="VE58" s="38"/>
      <c r="VF58" s="38"/>
      <c r="VG58" s="38"/>
      <c r="VH58" s="38"/>
      <c r="VI58" s="38"/>
      <c r="VJ58" s="38"/>
      <c r="VK58" s="38"/>
      <c r="VL58" s="38"/>
      <c r="VM58" s="38"/>
      <c r="VN58" s="38"/>
      <c r="VO58" s="38"/>
      <c r="VP58" s="38"/>
      <c r="VQ58" s="38"/>
      <c r="VR58" s="38"/>
      <c r="VS58" s="38"/>
      <c r="VT58" s="38"/>
      <c r="VU58" s="38"/>
      <c r="VV58" s="38"/>
      <c r="VW58" s="38"/>
      <c r="VX58" s="38"/>
      <c r="VY58" s="38"/>
      <c r="VZ58" s="38"/>
      <c r="WA58" s="38"/>
      <c r="WB58" s="38"/>
      <c r="WC58" s="38"/>
      <c r="WD58" s="38"/>
      <c r="WE58" s="38"/>
      <c r="WF58" s="38"/>
      <c r="WG58" s="38"/>
      <c r="WH58" s="38"/>
      <c r="WI58" s="38"/>
      <c r="WJ58" s="38"/>
      <c r="WK58" s="38"/>
      <c r="WL58" s="38"/>
      <c r="WM58" s="38"/>
      <c r="WN58" s="38"/>
      <c r="WO58" s="38"/>
      <c r="WP58" s="38"/>
      <c r="WQ58" s="38"/>
      <c r="WR58" s="38"/>
      <c r="WS58" s="38"/>
      <c r="WT58" s="38"/>
      <c r="WU58" s="38"/>
      <c r="WV58" s="38"/>
      <c r="WW58" s="38"/>
      <c r="WX58" s="38"/>
      <c r="WY58" s="38"/>
      <c r="WZ58" s="38"/>
      <c r="XA58" s="38"/>
      <c r="XB58" s="38"/>
      <c r="XC58" s="38"/>
      <c r="XD58" s="38"/>
      <c r="XE58" s="38"/>
      <c r="XF58" s="38"/>
      <c r="XG58" s="38"/>
      <c r="XH58" s="38"/>
      <c r="XI58" s="38"/>
      <c r="XJ58" s="38"/>
      <c r="XK58" s="38"/>
      <c r="XL58" s="38"/>
      <c r="XM58" s="38"/>
      <c r="XN58" s="38"/>
      <c r="XO58" s="38"/>
      <c r="XP58" s="38"/>
      <c r="XQ58" s="38"/>
      <c r="XR58" s="38"/>
      <c r="XS58" s="38"/>
      <c r="XT58" s="38"/>
      <c r="XU58" s="38"/>
      <c r="XV58" s="38"/>
      <c r="XW58" s="38"/>
      <c r="XX58" s="38"/>
      <c r="XY58" s="38"/>
      <c r="XZ58" s="38"/>
      <c r="YA58" s="38"/>
      <c r="YB58" s="38"/>
      <c r="YC58" s="38"/>
      <c r="YD58" s="38"/>
      <c r="YE58" s="38"/>
      <c r="YF58" s="38"/>
      <c r="YG58" s="38"/>
      <c r="YH58" s="38"/>
      <c r="YI58" s="38"/>
      <c r="YJ58" s="38"/>
      <c r="YK58" s="38"/>
      <c r="YL58" s="38"/>
      <c r="YM58" s="38"/>
      <c r="YN58" s="38"/>
      <c r="YO58" s="38"/>
      <c r="YP58" s="38"/>
      <c r="YQ58" s="38"/>
      <c r="YR58" s="38"/>
      <c r="YS58" s="38"/>
      <c r="YT58" s="38"/>
      <c r="YU58" s="38"/>
      <c r="YV58" s="38"/>
      <c r="YW58" s="38"/>
      <c r="YX58" s="38"/>
      <c r="YY58" s="38"/>
      <c r="YZ58" s="38"/>
      <c r="ZA58" s="38"/>
      <c r="ZB58" s="38"/>
      <c r="ZC58" s="38"/>
      <c r="ZD58" s="38"/>
      <c r="ZE58" s="38"/>
      <c r="ZF58" s="38"/>
      <c r="ZG58" s="38"/>
      <c r="ZH58" s="38"/>
      <c r="ZI58" s="38"/>
      <c r="ZJ58" s="38"/>
      <c r="ZK58" s="38"/>
      <c r="ZL58" s="38"/>
      <c r="ZM58" s="38"/>
      <c r="ZN58" s="38"/>
      <c r="ZO58" s="38"/>
      <c r="ZP58" s="38"/>
      <c r="ZQ58" s="38"/>
      <c r="ZR58" s="38"/>
      <c r="ZS58" s="38"/>
      <c r="ZT58" s="38"/>
      <c r="ZU58" s="38"/>
      <c r="ZV58" s="38"/>
      <c r="ZW58" s="38"/>
      <c r="ZX58" s="38"/>
      <c r="ZY58" s="38"/>
      <c r="ZZ58" s="38"/>
      <c r="AAA58" s="38"/>
      <c r="AAB58" s="38"/>
      <c r="AAC58" s="38"/>
      <c r="AAD58" s="38"/>
      <c r="AAE58" s="38"/>
      <c r="AAF58" s="38"/>
      <c r="AAG58" s="38"/>
      <c r="AAH58" s="38"/>
      <c r="AAI58" s="38"/>
      <c r="AAJ58" s="38"/>
      <c r="AAK58" s="38"/>
      <c r="AAL58" s="38"/>
      <c r="AAM58" s="38"/>
      <c r="AAN58" s="38"/>
      <c r="AAO58" s="38"/>
      <c r="AAP58" s="38"/>
      <c r="AAQ58" s="38"/>
      <c r="AAR58" s="38"/>
      <c r="AAS58" s="38"/>
      <c r="AAT58" s="38"/>
      <c r="AAU58" s="38"/>
      <c r="AAV58" s="38"/>
      <c r="AAW58" s="38"/>
      <c r="AAX58" s="38"/>
      <c r="AAY58" s="38"/>
      <c r="AAZ58" s="38"/>
      <c r="ABA58" s="38"/>
      <c r="ABB58" s="38"/>
      <c r="ABC58" s="38"/>
      <c r="ABD58" s="38"/>
      <c r="ABE58" s="38"/>
      <c r="ABF58" s="38"/>
      <c r="ABG58" s="38"/>
      <c r="ABH58" s="38"/>
      <c r="ABI58" s="38"/>
      <c r="ABJ58" s="38"/>
      <c r="ABK58" s="38"/>
      <c r="ABL58" s="38"/>
      <c r="ABM58" s="38"/>
      <c r="ABN58" s="38"/>
      <c r="ABO58" s="38"/>
      <c r="ABP58" s="38"/>
      <c r="ABQ58" s="38"/>
      <c r="ABR58" s="38"/>
      <c r="ABS58" s="38"/>
      <c r="ABT58" s="38"/>
      <c r="ABU58" s="38"/>
      <c r="ABV58" s="38"/>
      <c r="ABW58" s="38"/>
      <c r="ABX58" s="38"/>
      <c r="ABY58" s="38"/>
      <c r="ABZ58" s="38"/>
      <c r="ACA58" s="38"/>
      <c r="ACB58" s="38"/>
      <c r="ACC58" s="38"/>
      <c r="ACD58" s="38"/>
      <c r="ACE58" s="38"/>
      <c r="ACF58" s="38"/>
      <c r="ACG58" s="38"/>
      <c r="ACH58" s="38"/>
      <c r="ACI58" s="38"/>
      <c r="ACJ58" s="38"/>
      <c r="ACK58" s="38"/>
      <c r="ACL58" s="38"/>
      <c r="ACM58" s="38"/>
      <c r="ACN58" s="38"/>
      <c r="ACO58" s="38"/>
      <c r="ACP58" s="38"/>
      <c r="ACQ58" s="38"/>
      <c r="ACR58" s="38"/>
      <c r="ACS58" s="38"/>
      <c r="ACT58" s="38"/>
      <c r="ACU58" s="38"/>
      <c r="ACV58" s="38"/>
      <c r="ACW58" s="38"/>
      <c r="ACX58" s="38"/>
      <c r="ACY58" s="38"/>
      <c r="ACZ58" s="38"/>
      <c r="ADA58" s="38"/>
      <c r="ADB58" s="38"/>
      <c r="ADC58" s="38"/>
      <c r="ADD58" s="38"/>
      <c r="ADE58" s="38"/>
      <c r="ADF58" s="38"/>
      <c r="ADG58" s="38"/>
      <c r="ADH58" s="38"/>
      <c r="ADI58" s="38"/>
      <c r="ADJ58" s="38"/>
      <c r="ADK58" s="38"/>
      <c r="ADL58" s="38"/>
      <c r="ADM58" s="38"/>
      <c r="ADN58" s="38"/>
      <c r="ADO58" s="38"/>
      <c r="ADP58" s="38"/>
      <c r="ADQ58" s="38"/>
      <c r="ADR58" s="38"/>
      <c r="ADS58" s="38"/>
      <c r="ADT58" s="38"/>
      <c r="ADU58" s="38"/>
      <c r="ADV58" s="38"/>
      <c r="ADW58" s="38"/>
      <c r="ADX58" s="38"/>
      <c r="ADY58" s="38"/>
      <c r="ADZ58" s="38"/>
      <c r="AEA58" s="38"/>
      <c r="AEB58" s="38"/>
      <c r="AEC58" s="38"/>
      <c r="AED58" s="38"/>
      <c r="AEE58" s="38"/>
      <c r="AEF58" s="38"/>
      <c r="AEG58" s="38"/>
      <c r="AEH58" s="38"/>
      <c r="AEI58" s="38"/>
      <c r="AEJ58" s="38"/>
      <c r="AEK58" s="38"/>
      <c r="AEL58" s="38"/>
      <c r="AEM58" s="38"/>
      <c r="AEN58" s="38"/>
      <c r="AEO58" s="38"/>
      <c r="AEP58" s="38"/>
      <c r="AEQ58" s="38"/>
      <c r="AER58" s="38"/>
      <c r="AES58" s="38"/>
      <c r="AET58" s="38"/>
      <c r="AEU58" s="38"/>
      <c r="AEV58" s="38"/>
      <c r="AEW58" s="38"/>
      <c r="AEX58" s="38"/>
      <c r="AEY58" s="38"/>
      <c r="AEZ58" s="38"/>
      <c r="AFA58" s="38"/>
      <c r="AFB58" s="38"/>
      <c r="AFC58" s="38"/>
      <c r="AFD58" s="38"/>
      <c r="AFE58" s="38"/>
      <c r="AFF58" s="38"/>
      <c r="AFG58" s="38"/>
      <c r="AFH58" s="38"/>
      <c r="AFI58" s="38"/>
      <c r="AFJ58" s="38"/>
      <c r="AFK58" s="38"/>
      <c r="AFL58" s="38"/>
      <c r="AFM58" s="38"/>
      <c r="AFN58" s="38"/>
      <c r="AFO58" s="38"/>
      <c r="AFP58" s="38"/>
      <c r="AFQ58" s="38"/>
      <c r="AFR58" s="38"/>
      <c r="AFS58" s="38"/>
      <c r="AFT58" s="38"/>
      <c r="AFU58" s="38"/>
      <c r="AFV58" s="38"/>
      <c r="AFW58" s="38"/>
      <c r="AFX58" s="38"/>
      <c r="AFY58" s="38"/>
      <c r="AFZ58" s="38"/>
      <c r="AGA58" s="38"/>
      <c r="AGB58" s="38"/>
      <c r="AGC58" s="38"/>
      <c r="AGD58" s="38"/>
      <c r="AGE58" s="38"/>
      <c r="AGF58" s="38"/>
      <c r="AGG58" s="38"/>
      <c r="AGH58" s="38"/>
      <c r="AGI58" s="38"/>
      <c r="AGJ58" s="38"/>
      <c r="AGK58" s="38"/>
      <c r="AGL58" s="38"/>
      <c r="AGM58" s="38"/>
      <c r="AGN58" s="38"/>
      <c r="AGO58" s="38"/>
      <c r="AGP58" s="38"/>
      <c r="AGQ58" s="38"/>
      <c r="AGR58" s="38"/>
      <c r="AGS58" s="38"/>
      <c r="AGT58" s="38"/>
      <c r="AGU58" s="38"/>
      <c r="AGV58" s="38"/>
      <c r="AGW58" s="38"/>
      <c r="AGX58" s="38"/>
      <c r="AGY58" s="38"/>
      <c r="AGZ58" s="38"/>
      <c r="AHA58" s="38"/>
      <c r="AHB58" s="38"/>
      <c r="AHC58" s="38"/>
      <c r="AHD58" s="38"/>
      <c r="AHE58" s="38"/>
      <c r="AHF58" s="38"/>
      <c r="AHG58" s="38"/>
      <c r="AHH58" s="38"/>
      <c r="AHI58" s="38"/>
      <c r="AHJ58" s="38"/>
      <c r="AHK58" s="38"/>
      <c r="AHL58" s="38"/>
      <c r="AHM58" s="38"/>
      <c r="AHN58" s="38"/>
      <c r="AHO58" s="38"/>
      <c r="AHP58" s="38"/>
      <c r="AHQ58" s="38"/>
      <c r="AHR58" s="38"/>
      <c r="AHS58" s="38"/>
      <c r="AHT58" s="38"/>
      <c r="AHU58" s="38"/>
      <c r="AHV58" s="38"/>
    </row>
    <row r="59" spans="1:906" s="27" customFormat="1" x14ac:dyDescent="0.35">
      <c r="A59" s="83">
        <v>55</v>
      </c>
      <c r="B59" s="108" t="s">
        <v>100</v>
      </c>
      <c r="C59" s="109"/>
      <c r="D59" s="109" t="s">
        <v>15</v>
      </c>
      <c r="E59" s="125"/>
      <c r="F59" s="125">
        <v>6.95</v>
      </c>
      <c r="G59" s="125">
        <v>7.75</v>
      </c>
      <c r="H59" s="125"/>
      <c r="I59" s="37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  <c r="FK59" s="38"/>
      <c r="FL59" s="38"/>
      <c r="FM59" s="38"/>
      <c r="FN59" s="38"/>
      <c r="FO59" s="38"/>
      <c r="FP59" s="38"/>
      <c r="FQ59" s="38"/>
      <c r="FR59" s="38"/>
      <c r="FS59" s="38"/>
      <c r="FT59" s="38"/>
      <c r="FU59" s="38"/>
      <c r="FV59" s="38"/>
      <c r="FW59" s="38"/>
      <c r="FX59" s="38"/>
      <c r="FY59" s="38"/>
      <c r="FZ59" s="38"/>
      <c r="GA59" s="38"/>
      <c r="GB59" s="38"/>
      <c r="GC59" s="38"/>
      <c r="GD59" s="38"/>
      <c r="GE59" s="38"/>
      <c r="GF59" s="38"/>
      <c r="GG59" s="38"/>
      <c r="GH59" s="38"/>
      <c r="GI59" s="38"/>
      <c r="GJ59" s="38"/>
      <c r="GK59" s="38"/>
      <c r="GL59" s="38"/>
      <c r="GM59" s="38"/>
      <c r="GN59" s="38"/>
      <c r="GO59" s="38"/>
      <c r="GP59" s="38"/>
      <c r="GQ59" s="38"/>
      <c r="GR59" s="38"/>
      <c r="GS59" s="38"/>
      <c r="GT59" s="38"/>
      <c r="GU59" s="38"/>
      <c r="GV59" s="38"/>
      <c r="GW59" s="38"/>
      <c r="GX59" s="38"/>
      <c r="GY59" s="38"/>
      <c r="GZ59" s="38"/>
      <c r="HA59" s="38"/>
      <c r="HB59" s="38"/>
      <c r="HC59" s="38"/>
      <c r="HD59" s="38"/>
      <c r="HE59" s="38"/>
      <c r="HF59" s="38"/>
      <c r="HG59" s="38"/>
      <c r="HH59" s="38"/>
      <c r="HI59" s="38"/>
      <c r="HJ59" s="38"/>
      <c r="HK59" s="38"/>
      <c r="HL59" s="38"/>
      <c r="HM59" s="38"/>
      <c r="HN59" s="38"/>
      <c r="HO59" s="38"/>
      <c r="HP59" s="38"/>
      <c r="HQ59" s="38"/>
      <c r="HR59" s="38"/>
      <c r="HS59" s="38"/>
      <c r="HT59" s="38"/>
      <c r="HU59" s="38"/>
      <c r="HV59" s="38"/>
      <c r="HW59" s="38"/>
      <c r="HX59" s="38"/>
      <c r="HY59" s="38"/>
      <c r="HZ59" s="38"/>
      <c r="IA59" s="38"/>
      <c r="IB59" s="38"/>
      <c r="IC59" s="38"/>
      <c r="ID59" s="38"/>
      <c r="IE59" s="38"/>
      <c r="IF59" s="38"/>
      <c r="IG59" s="38"/>
      <c r="IH59" s="38"/>
      <c r="II59" s="38"/>
      <c r="IJ59" s="38"/>
      <c r="IK59" s="38"/>
      <c r="IL59" s="38"/>
      <c r="IM59" s="38"/>
      <c r="IN59" s="38"/>
      <c r="IO59" s="38"/>
      <c r="IP59" s="38"/>
      <c r="IQ59" s="38"/>
      <c r="IR59" s="38"/>
      <c r="IS59" s="38"/>
      <c r="IT59" s="38"/>
      <c r="IU59" s="38"/>
      <c r="IV59" s="38"/>
      <c r="IW59" s="38"/>
      <c r="IX59" s="38"/>
      <c r="IY59" s="38"/>
      <c r="IZ59" s="38"/>
      <c r="JA59" s="38"/>
      <c r="JB59" s="38"/>
      <c r="JC59" s="38"/>
      <c r="JD59" s="38"/>
      <c r="JE59" s="38"/>
      <c r="JF59" s="38"/>
      <c r="JG59" s="38"/>
      <c r="JH59" s="38"/>
      <c r="JI59" s="38"/>
      <c r="JJ59" s="38"/>
      <c r="JK59" s="38"/>
      <c r="JL59" s="38"/>
      <c r="JM59" s="38"/>
      <c r="JN59" s="38"/>
      <c r="JO59" s="38"/>
      <c r="JP59" s="38"/>
      <c r="JQ59" s="38"/>
      <c r="JR59" s="38"/>
      <c r="JS59" s="38"/>
      <c r="JT59" s="38"/>
      <c r="JU59" s="38"/>
      <c r="JV59" s="38"/>
      <c r="JW59" s="38"/>
      <c r="JX59" s="38"/>
      <c r="JY59" s="38"/>
      <c r="JZ59" s="38"/>
      <c r="KA59" s="38"/>
      <c r="KB59" s="38"/>
      <c r="KC59" s="38"/>
      <c r="KD59" s="38"/>
      <c r="KE59" s="38"/>
      <c r="KF59" s="38"/>
      <c r="KG59" s="38"/>
      <c r="KH59" s="38"/>
      <c r="KI59" s="38"/>
      <c r="KJ59" s="38"/>
      <c r="KK59" s="38"/>
      <c r="KL59" s="38"/>
      <c r="KM59" s="38"/>
      <c r="KN59" s="38"/>
      <c r="KO59" s="38"/>
      <c r="KP59" s="38"/>
      <c r="KQ59" s="38"/>
      <c r="KR59" s="38"/>
      <c r="KS59" s="38"/>
      <c r="KT59" s="38"/>
      <c r="KU59" s="38"/>
      <c r="KV59" s="38"/>
      <c r="KW59" s="38"/>
      <c r="KX59" s="38"/>
      <c r="KY59" s="38"/>
      <c r="KZ59" s="38"/>
      <c r="LA59" s="38"/>
      <c r="LB59" s="38"/>
      <c r="LC59" s="38"/>
      <c r="LD59" s="38"/>
      <c r="LE59" s="38"/>
      <c r="LF59" s="38"/>
      <c r="LG59" s="38"/>
      <c r="LH59" s="38"/>
      <c r="LI59" s="38"/>
      <c r="LJ59" s="38"/>
      <c r="LK59" s="38"/>
      <c r="LL59" s="38"/>
      <c r="LM59" s="38"/>
      <c r="LN59" s="38"/>
      <c r="LO59" s="38"/>
      <c r="LP59" s="38"/>
      <c r="LQ59" s="38"/>
      <c r="LR59" s="38"/>
      <c r="LS59" s="38"/>
      <c r="LT59" s="38"/>
      <c r="LU59" s="38"/>
      <c r="LV59" s="38"/>
      <c r="LW59" s="38"/>
      <c r="LX59" s="38"/>
      <c r="LY59" s="38"/>
      <c r="LZ59" s="38"/>
      <c r="MA59" s="38"/>
      <c r="MB59" s="38"/>
      <c r="MC59" s="38"/>
      <c r="MD59" s="38"/>
      <c r="ME59" s="38"/>
      <c r="MF59" s="38"/>
      <c r="MG59" s="38"/>
      <c r="MH59" s="38"/>
      <c r="MI59" s="38"/>
      <c r="MJ59" s="38"/>
      <c r="MK59" s="38"/>
      <c r="ML59" s="38"/>
      <c r="MM59" s="38"/>
      <c r="MN59" s="38"/>
      <c r="MO59" s="38"/>
      <c r="MP59" s="38"/>
      <c r="MQ59" s="38"/>
      <c r="MR59" s="38"/>
      <c r="MS59" s="38"/>
      <c r="MT59" s="38"/>
      <c r="MU59" s="38"/>
      <c r="MV59" s="38"/>
      <c r="MW59" s="38"/>
      <c r="MX59" s="38"/>
      <c r="MY59" s="38"/>
      <c r="MZ59" s="38"/>
      <c r="NA59" s="38"/>
      <c r="NB59" s="38"/>
      <c r="NC59" s="38"/>
      <c r="ND59" s="38"/>
      <c r="NE59" s="38"/>
      <c r="NF59" s="38"/>
      <c r="NG59" s="38"/>
      <c r="NH59" s="38"/>
      <c r="NI59" s="38"/>
      <c r="NJ59" s="38"/>
      <c r="NK59" s="38"/>
      <c r="NL59" s="38"/>
      <c r="NM59" s="38"/>
      <c r="NN59" s="38"/>
      <c r="NO59" s="38"/>
      <c r="NP59" s="38"/>
      <c r="NQ59" s="38"/>
      <c r="NR59" s="38"/>
      <c r="NS59" s="38"/>
      <c r="NT59" s="38"/>
      <c r="NU59" s="38"/>
      <c r="NV59" s="38"/>
      <c r="NW59" s="38"/>
      <c r="NX59" s="38"/>
      <c r="NY59" s="38"/>
      <c r="NZ59" s="38"/>
      <c r="OA59" s="38"/>
      <c r="OB59" s="38"/>
      <c r="OC59" s="38"/>
      <c r="OD59" s="38"/>
      <c r="OE59" s="38"/>
      <c r="OF59" s="38"/>
      <c r="OG59" s="38"/>
      <c r="OH59" s="38"/>
      <c r="OI59" s="38"/>
      <c r="OJ59" s="38"/>
      <c r="OK59" s="38"/>
      <c r="OL59" s="38"/>
      <c r="OM59" s="38"/>
      <c r="ON59" s="38"/>
      <c r="OO59" s="38"/>
      <c r="OP59" s="38"/>
      <c r="OQ59" s="38"/>
      <c r="OR59" s="38"/>
      <c r="OS59" s="38"/>
      <c r="OT59" s="38"/>
      <c r="OU59" s="38"/>
      <c r="OV59" s="38"/>
      <c r="OW59" s="38"/>
      <c r="OX59" s="38"/>
      <c r="OY59" s="38"/>
      <c r="OZ59" s="38"/>
      <c r="PA59" s="38"/>
      <c r="PB59" s="38"/>
      <c r="PC59" s="38"/>
      <c r="PD59" s="38"/>
      <c r="PE59" s="38"/>
      <c r="PF59" s="38"/>
      <c r="PG59" s="38"/>
      <c r="PH59" s="38"/>
      <c r="PI59" s="38"/>
      <c r="PJ59" s="38"/>
      <c r="PK59" s="38"/>
      <c r="PL59" s="38"/>
      <c r="PM59" s="38"/>
      <c r="PN59" s="38"/>
      <c r="PO59" s="38"/>
      <c r="PP59" s="38"/>
      <c r="PQ59" s="38"/>
      <c r="PR59" s="38"/>
      <c r="PS59" s="38"/>
      <c r="PT59" s="38"/>
      <c r="PU59" s="38"/>
      <c r="PV59" s="38"/>
      <c r="PW59" s="38"/>
      <c r="PX59" s="38"/>
      <c r="PY59" s="38"/>
      <c r="PZ59" s="38"/>
      <c r="QA59" s="38"/>
      <c r="QB59" s="38"/>
      <c r="QC59" s="38"/>
      <c r="QD59" s="38"/>
      <c r="QE59" s="38"/>
      <c r="QF59" s="38"/>
      <c r="QG59" s="38"/>
      <c r="QH59" s="38"/>
      <c r="QI59" s="38"/>
      <c r="QJ59" s="38"/>
      <c r="QK59" s="38"/>
      <c r="QL59" s="38"/>
      <c r="QM59" s="38"/>
      <c r="QN59" s="38"/>
      <c r="QO59" s="38"/>
      <c r="QP59" s="38"/>
      <c r="QQ59" s="38"/>
      <c r="QR59" s="38"/>
      <c r="QS59" s="38"/>
      <c r="QT59" s="38"/>
      <c r="QU59" s="38"/>
      <c r="QV59" s="38"/>
      <c r="QW59" s="38"/>
      <c r="QX59" s="38"/>
      <c r="QY59" s="38"/>
      <c r="QZ59" s="38"/>
      <c r="RA59" s="38"/>
      <c r="RB59" s="38"/>
      <c r="RC59" s="38"/>
      <c r="RD59" s="38"/>
      <c r="RE59" s="38"/>
      <c r="RF59" s="38"/>
      <c r="RG59" s="38"/>
      <c r="RH59" s="38"/>
      <c r="RI59" s="38"/>
      <c r="RJ59" s="38"/>
      <c r="RK59" s="38"/>
      <c r="RL59" s="38"/>
      <c r="RM59" s="38"/>
      <c r="RN59" s="38"/>
      <c r="RO59" s="38"/>
      <c r="RP59" s="38"/>
      <c r="RQ59" s="38"/>
      <c r="RR59" s="38"/>
      <c r="RS59" s="38"/>
      <c r="RT59" s="38"/>
      <c r="RU59" s="38"/>
      <c r="RV59" s="38"/>
      <c r="RW59" s="38"/>
      <c r="RX59" s="38"/>
      <c r="RY59" s="38"/>
      <c r="RZ59" s="38"/>
      <c r="SA59" s="38"/>
      <c r="SB59" s="38"/>
      <c r="SC59" s="38"/>
      <c r="SD59" s="38"/>
      <c r="SE59" s="38"/>
      <c r="SF59" s="38"/>
      <c r="SG59" s="38"/>
      <c r="SH59" s="38"/>
      <c r="SI59" s="38"/>
      <c r="SJ59" s="38"/>
      <c r="SK59" s="38"/>
      <c r="SL59" s="38"/>
      <c r="SM59" s="38"/>
      <c r="SN59" s="38"/>
      <c r="SO59" s="38"/>
      <c r="SP59" s="38"/>
      <c r="SQ59" s="38"/>
      <c r="SR59" s="38"/>
      <c r="SS59" s="38"/>
      <c r="ST59" s="38"/>
      <c r="SU59" s="38"/>
      <c r="SV59" s="38"/>
      <c r="SW59" s="38"/>
      <c r="SX59" s="38"/>
      <c r="SY59" s="38"/>
      <c r="SZ59" s="38"/>
      <c r="TA59" s="38"/>
      <c r="TB59" s="38"/>
      <c r="TC59" s="38"/>
      <c r="TD59" s="38"/>
      <c r="TE59" s="38"/>
      <c r="TF59" s="38"/>
      <c r="TG59" s="38"/>
      <c r="TH59" s="38"/>
      <c r="TI59" s="38"/>
      <c r="TJ59" s="38"/>
      <c r="TK59" s="38"/>
      <c r="TL59" s="38"/>
      <c r="TM59" s="38"/>
      <c r="TN59" s="38"/>
      <c r="TO59" s="38"/>
      <c r="TP59" s="38"/>
      <c r="TQ59" s="38"/>
      <c r="TR59" s="38"/>
      <c r="TS59" s="38"/>
      <c r="TT59" s="38"/>
      <c r="TU59" s="38"/>
      <c r="TV59" s="38"/>
      <c r="TW59" s="38"/>
      <c r="TX59" s="38"/>
      <c r="TY59" s="38"/>
      <c r="TZ59" s="38"/>
      <c r="UA59" s="38"/>
      <c r="UB59" s="38"/>
      <c r="UC59" s="38"/>
      <c r="UD59" s="38"/>
      <c r="UE59" s="38"/>
      <c r="UF59" s="38"/>
      <c r="UG59" s="38"/>
      <c r="UH59" s="38"/>
      <c r="UI59" s="38"/>
      <c r="UJ59" s="38"/>
      <c r="UK59" s="38"/>
      <c r="UL59" s="38"/>
      <c r="UM59" s="38"/>
      <c r="UN59" s="38"/>
      <c r="UO59" s="38"/>
      <c r="UP59" s="38"/>
      <c r="UQ59" s="38"/>
      <c r="UR59" s="38"/>
      <c r="US59" s="38"/>
      <c r="UT59" s="38"/>
      <c r="UU59" s="38"/>
      <c r="UV59" s="38"/>
      <c r="UW59" s="38"/>
      <c r="UX59" s="38"/>
      <c r="UY59" s="38"/>
      <c r="UZ59" s="38"/>
      <c r="VA59" s="38"/>
      <c r="VB59" s="38"/>
      <c r="VC59" s="38"/>
      <c r="VD59" s="38"/>
      <c r="VE59" s="38"/>
      <c r="VF59" s="38"/>
      <c r="VG59" s="38"/>
      <c r="VH59" s="38"/>
      <c r="VI59" s="38"/>
      <c r="VJ59" s="38"/>
      <c r="VK59" s="38"/>
      <c r="VL59" s="38"/>
      <c r="VM59" s="38"/>
      <c r="VN59" s="38"/>
      <c r="VO59" s="38"/>
      <c r="VP59" s="38"/>
      <c r="VQ59" s="38"/>
      <c r="VR59" s="38"/>
      <c r="VS59" s="38"/>
      <c r="VT59" s="38"/>
      <c r="VU59" s="38"/>
      <c r="VV59" s="38"/>
      <c r="VW59" s="38"/>
      <c r="VX59" s="38"/>
      <c r="VY59" s="38"/>
      <c r="VZ59" s="38"/>
      <c r="WA59" s="38"/>
      <c r="WB59" s="38"/>
      <c r="WC59" s="38"/>
      <c r="WD59" s="38"/>
      <c r="WE59" s="38"/>
      <c r="WF59" s="38"/>
      <c r="WG59" s="38"/>
      <c r="WH59" s="38"/>
      <c r="WI59" s="38"/>
      <c r="WJ59" s="38"/>
      <c r="WK59" s="38"/>
      <c r="WL59" s="38"/>
      <c r="WM59" s="38"/>
      <c r="WN59" s="38"/>
      <c r="WO59" s="38"/>
      <c r="WP59" s="38"/>
      <c r="WQ59" s="38"/>
      <c r="WR59" s="38"/>
      <c r="WS59" s="38"/>
      <c r="WT59" s="38"/>
      <c r="WU59" s="38"/>
      <c r="WV59" s="38"/>
      <c r="WW59" s="38"/>
      <c r="WX59" s="38"/>
      <c r="WY59" s="38"/>
      <c r="WZ59" s="38"/>
      <c r="XA59" s="38"/>
      <c r="XB59" s="38"/>
      <c r="XC59" s="38"/>
      <c r="XD59" s="38"/>
      <c r="XE59" s="38"/>
      <c r="XF59" s="38"/>
      <c r="XG59" s="38"/>
      <c r="XH59" s="38"/>
      <c r="XI59" s="38"/>
      <c r="XJ59" s="38"/>
      <c r="XK59" s="38"/>
      <c r="XL59" s="38"/>
      <c r="XM59" s="38"/>
      <c r="XN59" s="38"/>
      <c r="XO59" s="38"/>
      <c r="XP59" s="38"/>
      <c r="XQ59" s="38"/>
      <c r="XR59" s="38"/>
      <c r="XS59" s="38"/>
      <c r="XT59" s="38"/>
      <c r="XU59" s="38"/>
      <c r="XV59" s="38"/>
      <c r="XW59" s="38"/>
      <c r="XX59" s="38"/>
      <c r="XY59" s="38"/>
      <c r="XZ59" s="38"/>
      <c r="YA59" s="38"/>
      <c r="YB59" s="38"/>
      <c r="YC59" s="38"/>
      <c r="YD59" s="38"/>
      <c r="YE59" s="38"/>
      <c r="YF59" s="38"/>
      <c r="YG59" s="38"/>
      <c r="YH59" s="38"/>
      <c r="YI59" s="38"/>
      <c r="YJ59" s="38"/>
      <c r="YK59" s="38"/>
      <c r="YL59" s="38"/>
      <c r="YM59" s="38"/>
      <c r="YN59" s="38"/>
      <c r="YO59" s="38"/>
      <c r="YP59" s="38"/>
      <c r="YQ59" s="38"/>
      <c r="YR59" s="38"/>
      <c r="YS59" s="38"/>
      <c r="YT59" s="38"/>
      <c r="YU59" s="38"/>
      <c r="YV59" s="38"/>
      <c r="YW59" s="38"/>
      <c r="YX59" s="38"/>
      <c r="YY59" s="38"/>
      <c r="YZ59" s="38"/>
      <c r="ZA59" s="38"/>
      <c r="ZB59" s="38"/>
      <c r="ZC59" s="38"/>
      <c r="ZD59" s="38"/>
      <c r="ZE59" s="38"/>
      <c r="ZF59" s="38"/>
      <c r="ZG59" s="38"/>
      <c r="ZH59" s="38"/>
      <c r="ZI59" s="38"/>
      <c r="ZJ59" s="38"/>
      <c r="ZK59" s="38"/>
      <c r="ZL59" s="38"/>
      <c r="ZM59" s="38"/>
      <c r="ZN59" s="38"/>
      <c r="ZO59" s="38"/>
      <c r="ZP59" s="38"/>
      <c r="ZQ59" s="38"/>
      <c r="ZR59" s="38"/>
      <c r="ZS59" s="38"/>
      <c r="ZT59" s="38"/>
      <c r="ZU59" s="38"/>
      <c r="ZV59" s="38"/>
      <c r="ZW59" s="38"/>
      <c r="ZX59" s="38"/>
      <c r="ZY59" s="38"/>
      <c r="ZZ59" s="38"/>
      <c r="AAA59" s="38"/>
      <c r="AAB59" s="38"/>
      <c r="AAC59" s="38"/>
      <c r="AAD59" s="38"/>
      <c r="AAE59" s="38"/>
      <c r="AAF59" s="38"/>
      <c r="AAG59" s="38"/>
      <c r="AAH59" s="38"/>
      <c r="AAI59" s="38"/>
      <c r="AAJ59" s="38"/>
      <c r="AAK59" s="38"/>
      <c r="AAL59" s="38"/>
      <c r="AAM59" s="38"/>
      <c r="AAN59" s="38"/>
      <c r="AAO59" s="38"/>
      <c r="AAP59" s="38"/>
      <c r="AAQ59" s="38"/>
      <c r="AAR59" s="38"/>
      <c r="AAS59" s="38"/>
      <c r="AAT59" s="38"/>
      <c r="AAU59" s="38"/>
      <c r="AAV59" s="38"/>
      <c r="AAW59" s="38"/>
      <c r="AAX59" s="38"/>
      <c r="AAY59" s="38"/>
      <c r="AAZ59" s="38"/>
      <c r="ABA59" s="38"/>
      <c r="ABB59" s="38"/>
      <c r="ABC59" s="38"/>
      <c r="ABD59" s="38"/>
      <c r="ABE59" s="38"/>
      <c r="ABF59" s="38"/>
      <c r="ABG59" s="38"/>
      <c r="ABH59" s="38"/>
      <c r="ABI59" s="38"/>
      <c r="ABJ59" s="38"/>
      <c r="ABK59" s="38"/>
      <c r="ABL59" s="38"/>
      <c r="ABM59" s="38"/>
      <c r="ABN59" s="38"/>
      <c r="ABO59" s="38"/>
      <c r="ABP59" s="38"/>
      <c r="ABQ59" s="38"/>
      <c r="ABR59" s="38"/>
      <c r="ABS59" s="38"/>
      <c r="ABT59" s="38"/>
      <c r="ABU59" s="38"/>
      <c r="ABV59" s="38"/>
      <c r="ABW59" s="38"/>
      <c r="ABX59" s="38"/>
      <c r="ABY59" s="38"/>
      <c r="ABZ59" s="38"/>
      <c r="ACA59" s="38"/>
      <c r="ACB59" s="38"/>
      <c r="ACC59" s="38"/>
      <c r="ACD59" s="38"/>
      <c r="ACE59" s="38"/>
      <c r="ACF59" s="38"/>
      <c r="ACG59" s="38"/>
      <c r="ACH59" s="38"/>
      <c r="ACI59" s="38"/>
      <c r="ACJ59" s="38"/>
      <c r="ACK59" s="38"/>
      <c r="ACL59" s="38"/>
      <c r="ACM59" s="38"/>
      <c r="ACN59" s="38"/>
      <c r="ACO59" s="38"/>
      <c r="ACP59" s="38"/>
      <c r="ACQ59" s="38"/>
      <c r="ACR59" s="38"/>
      <c r="ACS59" s="38"/>
      <c r="ACT59" s="38"/>
      <c r="ACU59" s="38"/>
      <c r="ACV59" s="38"/>
      <c r="ACW59" s="38"/>
      <c r="ACX59" s="38"/>
      <c r="ACY59" s="38"/>
      <c r="ACZ59" s="38"/>
      <c r="ADA59" s="38"/>
      <c r="ADB59" s="38"/>
      <c r="ADC59" s="38"/>
      <c r="ADD59" s="38"/>
      <c r="ADE59" s="38"/>
      <c r="ADF59" s="38"/>
      <c r="ADG59" s="38"/>
      <c r="ADH59" s="38"/>
      <c r="ADI59" s="38"/>
      <c r="ADJ59" s="38"/>
      <c r="ADK59" s="38"/>
      <c r="ADL59" s="38"/>
      <c r="ADM59" s="38"/>
      <c r="ADN59" s="38"/>
      <c r="ADO59" s="38"/>
      <c r="ADP59" s="38"/>
      <c r="ADQ59" s="38"/>
      <c r="ADR59" s="38"/>
      <c r="ADS59" s="38"/>
      <c r="ADT59" s="38"/>
      <c r="ADU59" s="38"/>
      <c r="ADV59" s="38"/>
      <c r="ADW59" s="38"/>
      <c r="ADX59" s="38"/>
      <c r="ADY59" s="38"/>
      <c r="ADZ59" s="38"/>
      <c r="AEA59" s="38"/>
      <c r="AEB59" s="38"/>
      <c r="AEC59" s="38"/>
      <c r="AED59" s="38"/>
      <c r="AEE59" s="38"/>
      <c r="AEF59" s="38"/>
      <c r="AEG59" s="38"/>
      <c r="AEH59" s="38"/>
      <c r="AEI59" s="38"/>
      <c r="AEJ59" s="38"/>
      <c r="AEK59" s="38"/>
      <c r="AEL59" s="38"/>
      <c r="AEM59" s="38"/>
      <c r="AEN59" s="38"/>
      <c r="AEO59" s="38"/>
      <c r="AEP59" s="38"/>
      <c r="AEQ59" s="38"/>
      <c r="AER59" s="38"/>
      <c r="AES59" s="38"/>
      <c r="AET59" s="38"/>
      <c r="AEU59" s="38"/>
      <c r="AEV59" s="38"/>
      <c r="AEW59" s="38"/>
      <c r="AEX59" s="38"/>
      <c r="AEY59" s="38"/>
      <c r="AEZ59" s="38"/>
      <c r="AFA59" s="38"/>
      <c r="AFB59" s="38"/>
      <c r="AFC59" s="38"/>
      <c r="AFD59" s="38"/>
      <c r="AFE59" s="38"/>
      <c r="AFF59" s="38"/>
      <c r="AFG59" s="38"/>
      <c r="AFH59" s="38"/>
      <c r="AFI59" s="38"/>
      <c r="AFJ59" s="38"/>
      <c r="AFK59" s="38"/>
      <c r="AFL59" s="38"/>
      <c r="AFM59" s="38"/>
      <c r="AFN59" s="38"/>
      <c r="AFO59" s="38"/>
      <c r="AFP59" s="38"/>
      <c r="AFQ59" s="38"/>
      <c r="AFR59" s="38"/>
      <c r="AFS59" s="38"/>
      <c r="AFT59" s="38"/>
      <c r="AFU59" s="38"/>
      <c r="AFV59" s="38"/>
      <c r="AFW59" s="38"/>
      <c r="AFX59" s="38"/>
      <c r="AFY59" s="38"/>
      <c r="AFZ59" s="38"/>
      <c r="AGA59" s="38"/>
      <c r="AGB59" s="38"/>
      <c r="AGC59" s="38"/>
      <c r="AGD59" s="38"/>
      <c r="AGE59" s="38"/>
      <c r="AGF59" s="38"/>
      <c r="AGG59" s="38"/>
      <c r="AGH59" s="38"/>
      <c r="AGI59" s="38"/>
      <c r="AGJ59" s="38"/>
      <c r="AGK59" s="38"/>
      <c r="AGL59" s="38"/>
      <c r="AGM59" s="38"/>
      <c r="AGN59" s="38"/>
      <c r="AGO59" s="38"/>
      <c r="AGP59" s="38"/>
      <c r="AGQ59" s="38"/>
      <c r="AGR59" s="38"/>
      <c r="AGS59" s="38"/>
      <c r="AGT59" s="38"/>
      <c r="AGU59" s="38"/>
      <c r="AGV59" s="38"/>
      <c r="AGW59" s="38"/>
      <c r="AGX59" s="38"/>
      <c r="AGY59" s="38"/>
      <c r="AGZ59" s="38"/>
      <c r="AHA59" s="38"/>
      <c r="AHB59" s="38"/>
      <c r="AHC59" s="38"/>
      <c r="AHD59" s="38"/>
      <c r="AHE59" s="38"/>
      <c r="AHF59" s="38"/>
      <c r="AHG59" s="38"/>
      <c r="AHH59" s="38"/>
      <c r="AHI59" s="38"/>
      <c r="AHJ59" s="38"/>
      <c r="AHK59" s="38"/>
      <c r="AHL59" s="38"/>
      <c r="AHM59" s="38"/>
      <c r="AHN59" s="38"/>
      <c r="AHO59" s="38"/>
      <c r="AHP59" s="38"/>
      <c r="AHQ59" s="38"/>
      <c r="AHR59" s="38"/>
      <c r="AHS59" s="38"/>
      <c r="AHT59" s="38"/>
      <c r="AHU59" s="38"/>
      <c r="AHV59" s="38"/>
    </row>
    <row r="60" spans="1:906" s="27" customFormat="1" x14ac:dyDescent="0.35">
      <c r="A60" s="83">
        <v>56</v>
      </c>
      <c r="B60" s="108" t="s">
        <v>100</v>
      </c>
      <c r="C60" s="109"/>
      <c r="D60" s="109" t="s">
        <v>59</v>
      </c>
      <c r="E60" s="125"/>
      <c r="F60" s="125"/>
      <c r="G60" s="125"/>
      <c r="H60" s="125"/>
      <c r="I60" s="37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/>
      <c r="HZ60" s="38"/>
      <c r="IA60" s="38"/>
      <c r="IB60" s="38"/>
      <c r="IC60" s="38"/>
      <c r="ID60" s="38"/>
      <c r="IE60" s="38"/>
      <c r="IF60" s="38"/>
      <c r="IG60" s="38"/>
      <c r="IH60" s="38"/>
      <c r="II60" s="38"/>
      <c r="IJ60" s="38"/>
      <c r="IK60" s="38"/>
      <c r="IL60" s="38"/>
      <c r="IM60" s="38"/>
      <c r="IN60" s="38"/>
      <c r="IO60" s="38"/>
      <c r="IP60" s="38"/>
      <c r="IQ60" s="38"/>
      <c r="IR60" s="38"/>
      <c r="IS60" s="38"/>
      <c r="IT60" s="38"/>
      <c r="IU60" s="38"/>
      <c r="IV60" s="38"/>
      <c r="IW60" s="38"/>
      <c r="IX60" s="38"/>
      <c r="IY60" s="38"/>
      <c r="IZ60" s="38"/>
      <c r="JA60" s="38"/>
      <c r="JB60" s="38"/>
      <c r="JC60" s="38"/>
      <c r="JD60" s="38"/>
      <c r="JE60" s="38"/>
      <c r="JF60" s="38"/>
      <c r="JG60" s="38"/>
      <c r="JH60" s="38"/>
      <c r="JI60" s="38"/>
      <c r="JJ60" s="38"/>
      <c r="JK60" s="38"/>
      <c r="JL60" s="38"/>
      <c r="JM60" s="38"/>
      <c r="JN60" s="38"/>
      <c r="JO60" s="38"/>
      <c r="JP60" s="38"/>
      <c r="JQ60" s="38"/>
      <c r="JR60" s="38"/>
      <c r="JS60" s="38"/>
      <c r="JT60" s="38"/>
      <c r="JU60" s="38"/>
      <c r="JV60" s="38"/>
      <c r="JW60" s="38"/>
      <c r="JX60" s="38"/>
      <c r="JY60" s="38"/>
      <c r="JZ60" s="38"/>
      <c r="KA60" s="38"/>
      <c r="KB60" s="38"/>
      <c r="KC60" s="38"/>
      <c r="KD60" s="38"/>
      <c r="KE60" s="38"/>
      <c r="KF60" s="38"/>
      <c r="KG60" s="38"/>
      <c r="KH60" s="38"/>
      <c r="KI60" s="38"/>
      <c r="KJ60" s="38"/>
      <c r="KK60" s="38"/>
      <c r="KL60" s="38"/>
      <c r="KM60" s="38"/>
      <c r="KN60" s="38"/>
      <c r="KO60" s="38"/>
      <c r="KP60" s="38"/>
      <c r="KQ60" s="38"/>
      <c r="KR60" s="38"/>
      <c r="KS60" s="38"/>
      <c r="KT60" s="38"/>
      <c r="KU60" s="38"/>
      <c r="KV60" s="38"/>
      <c r="KW60" s="38"/>
      <c r="KX60" s="38"/>
      <c r="KY60" s="38"/>
      <c r="KZ60" s="38"/>
      <c r="LA60" s="38"/>
      <c r="LB60" s="38"/>
      <c r="LC60" s="38"/>
      <c r="LD60" s="38"/>
      <c r="LE60" s="38"/>
      <c r="LF60" s="38"/>
      <c r="LG60" s="38"/>
      <c r="LH60" s="38"/>
      <c r="LI60" s="38"/>
      <c r="LJ60" s="38"/>
      <c r="LK60" s="38"/>
      <c r="LL60" s="38"/>
      <c r="LM60" s="38"/>
      <c r="LN60" s="38"/>
      <c r="LO60" s="38"/>
      <c r="LP60" s="38"/>
      <c r="LQ60" s="38"/>
      <c r="LR60" s="38"/>
      <c r="LS60" s="38"/>
      <c r="LT60" s="38"/>
      <c r="LU60" s="38"/>
      <c r="LV60" s="38"/>
      <c r="LW60" s="38"/>
      <c r="LX60" s="38"/>
      <c r="LY60" s="38"/>
      <c r="LZ60" s="38"/>
      <c r="MA60" s="38"/>
      <c r="MB60" s="38"/>
      <c r="MC60" s="38"/>
      <c r="MD60" s="38"/>
      <c r="ME60" s="38"/>
      <c r="MF60" s="38"/>
      <c r="MG60" s="38"/>
      <c r="MH60" s="38"/>
      <c r="MI60" s="38"/>
      <c r="MJ60" s="38"/>
      <c r="MK60" s="38"/>
      <c r="ML60" s="38"/>
      <c r="MM60" s="38"/>
      <c r="MN60" s="38"/>
      <c r="MO60" s="38"/>
      <c r="MP60" s="38"/>
      <c r="MQ60" s="38"/>
      <c r="MR60" s="38"/>
      <c r="MS60" s="38"/>
      <c r="MT60" s="38"/>
      <c r="MU60" s="38"/>
      <c r="MV60" s="38"/>
      <c r="MW60" s="38"/>
      <c r="MX60" s="38"/>
      <c r="MY60" s="38"/>
      <c r="MZ60" s="38"/>
      <c r="NA60" s="38"/>
      <c r="NB60" s="38"/>
      <c r="NC60" s="38"/>
      <c r="ND60" s="38"/>
      <c r="NE60" s="38"/>
      <c r="NF60" s="38"/>
      <c r="NG60" s="38"/>
      <c r="NH60" s="38"/>
      <c r="NI60" s="38"/>
      <c r="NJ60" s="38"/>
      <c r="NK60" s="38"/>
      <c r="NL60" s="38"/>
      <c r="NM60" s="38"/>
      <c r="NN60" s="38"/>
      <c r="NO60" s="38"/>
      <c r="NP60" s="38"/>
      <c r="NQ60" s="38"/>
      <c r="NR60" s="38"/>
      <c r="NS60" s="38"/>
      <c r="NT60" s="38"/>
      <c r="NU60" s="38"/>
      <c r="NV60" s="38"/>
      <c r="NW60" s="38"/>
      <c r="NX60" s="38"/>
      <c r="NY60" s="38"/>
      <c r="NZ60" s="38"/>
      <c r="OA60" s="38"/>
      <c r="OB60" s="38"/>
      <c r="OC60" s="38"/>
      <c r="OD60" s="38"/>
      <c r="OE60" s="38"/>
      <c r="OF60" s="38"/>
      <c r="OG60" s="38"/>
      <c r="OH60" s="38"/>
      <c r="OI60" s="38"/>
      <c r="OJ60" s="38"/>
      <c r="OK60" s="38"/>
      <c r="OL60" s="38"/>
      <c r="OM60" s="38"/>
      <c r="ON60" s="38"/>
      <c r="OO60" s="38"/>
      <c r="OP60" s="38"/>
      <c r="OQ60" s="38"/>
      <c r="OR60" s="38"/>
      <c r="OS60" s="38"/>
      <c r="OT60" s="38"/>
      <c r="OU60" s="38"/>
      <c r="OV60" s="38"/>
      <c r="OW60" s="38"/>
      <c r="OX60" s="38"/>
      <c r="OY60" s="38"/>
      <c r="OZ60" s="38"/>
      <c r="PA60" s="38"/>
      <c r="PB60" s="38"/>
      <c r="PC60" s="38"/>
      <c r="PD60" s="38"/>
      <c r="PE60" s="38"/>
      <c r="PF60" s="38"/>
      <c r="PG60" s="38"/>
      <c r="PH60" s="38"/>
      <c r="PI60" s="38"/>
      <c r="PJ60" s="38"/>
      <c r="PK60" s="38"/>
      <c r="PL60" s="38"/>
      <c r="PM60" s="38"/>
      <c r="PN60" s="38"/>
      <c r="PO60" s="38"/>
      <c r="PP60" s="38"/>
      <c r="PQ60" s="38"/>
      <c r="PR60" s="38"/>
      <c r="PS60" s="38"/>
      <c r="PT60" s="38"/>
      <c r="PU60" s="38"/>
      <c r="PV60" s="38"/>
      <c r="PW60" s="38"/>
      <c r="PX60" s="38"/>
      <c r="PY60" s="38"/>
      <c r="PZ60" s="38"/>
      <c r="QA60" s="38"/>
      <c r="QB60" s="38"/>
      <c r="QC60" s="38"/>
      <c r="QD60" s="38"/>
      <c r="QE60" s="38"/>
      <c r="QF60" s="38"/>
      <c r="QG60" s="38"/>
      <c r="QH60" s="38"/>
      <c r="QI60" s="38"/>
      <c r="QJ60" s="38"/>
      <c r="QK60" s="38"/>
      <c r="QL60" s="38"/>
      <c r="QM60" s="38"/>
      <c r="QN60" s="38"/>
      <c r="QO60" s="38"/>
      <c r="QP60" s="38"/>
      <c r="QQ60" s="38"/>
      <c r="QR60" s="38"/>
      <c r="QS60" s="38"/>
      <c r="QT60" s="38"/>
      <c r="QU60" s="38"/>
      <c r="QV60" s="38"/>
      <c r="QW60" s="38"/>
      <c r="QX60" s="38"/>
      <c r="QY60" s="38"/>
      <c r="QZ60" s="38"/>
      <c r="RA60" s="38"/>
      <c r="RB60" s="38"/>
      <c r="RC60" s="38"/>
      <c r="RD60" s="38"/>
      <c r="RE60" s="38"/>
      <c r="RF60" s="38"/>
      <c r="RG60" s="38"/>
      <c r="RH60" s="38"/>
      <c r="RI60" s="38"/>
      <c r="RJ60" s="38"/>
      <c r="RK60" s="38"/>
      <c r="RL60" s="38"/>
      <c r="RM60" s="38"/>
      <c r="RN60" s="38"/>
      <c r="RO60" s="38"/>
      <c r="RP60" s="38"/>
      <c r="RQ60" s="38"/>
      <c r="RR60" s="38"/>
      <c r="RS60" s="38"/>
      <c r="RT60" s="38"/>
      <c r="RU60" s="38"/>
      <c r="RV60" s="38"/>
      <c r="RW60" s="38"/>
      <c r="RX60" s="38"/>
      <c r="RY60" s="38"/>
      <c r="RZ60" s="38"/>
      <c r="SA60" s="38"/>
      <c r="SB60" s="38"/>
      <c r="SC60" s="38"/>
      <c r="SD60" s="38"/>
      <c r="SE60" s="38"/>
      <c r="SF60" s="38"/>
      <c r="SG60" s="38"/>
      <c r="SH60" s="38"/>
      <c r="SI60" s="38"/>
      <c r="SJ60" s="38"/>
      <c r="SK60" s="38"/>
      <c r="SL60" s="38"/>
      <c r="SM60" s="38"/>
      <c r="SN60" s="38"/>
      <c r="SO60" s="38"/>
      <c r="SP60" s="38"/>
      <c r="SQ60" s="38"/>
      <c r="SR60" s="38"/>
      <c r="SS60" s="38"/>
      <c r="ST60" s="38"/>
      <c r="SU60" s="38"/>
      <c r="SV60" s="38"/>
      <c r="SW60" s="38"/>
      <c r="SX60" s="38"/>
      <c r="SY60" s="38"/>
      <c r="SZ60" s="38"/>
      <c r="TA60" s="38"/>
      <c r="TB60" s="38"/>
      <c r="TC60" s="38"/>
      <c r="TD60" s="38"/>
      <c r="TE60" s="38"/>
      <c r="TF60" s="38"/>
      <c r="TG60" s="38"/>
      <c r="TH60" s="38"/>
      <c r="TI60" s="38"/>
      <c r="TJ60" s="38"/>
      <c r="TK60" s="38"/>
      <c r="TL60" s="38"/>
      <c r="TM60" s="38"/>
      <c r="TN60" s="38"/>
      <c r="TO60" s="38"/>
      <c r="TP60" s="38"/>
      <c r="TQ60" s="38"/>
      <c r="TR60" s="38"/>
      <c r="TS60" s="38"/>
      <c r="TT60" s="38"/>
      <c r="TU60" s="38"/>
      <c r="TV60" s="38"/>
      <c r="TW60" s="38"/>
      <c r="TX60" s="38"/>
      <c r="TY60" s="38"/>
      <c r="TZ60" s="38"/>
      <c r="UA60" s="38"/>
      <c r="UB60" s="38"/>
      <c r="UC60" s="38"/>
      <c r="UD60" s="38"/>
      <c r="UE60" s="38"/>
      <c r="UF60" s="38"/>
      <c r="UG60" s="38"/>
      <c r="UH60" s="38"/>
      <c r="UI60" s="38"/>
      <c r="UJ60" s="38"/>
      <c r="UK60" s="38"/>
      <c r="UL60" s="38"/>
      <c r="UM60" s="38"/>
      <c r="UN60" s="38"/>
      <c r="UO60" s="38"/>
      <c r="UP60" s="38"/>
      <c r="UQ60" s="38"/>
      <c r="UR60" s="38"/>
      <c r="US60" s="38"/>
      <c r="UT60" s="38"/>
      <c r="UU60" s="38"/>
      <c r="UV60" s="38"/>
      <c r="UW60" s="38"/>
      <c r="UX60" s="38"/>
      <c r="UY60" s="38"/>
      <c r="UZ60" s="38"/>
      <c r="VA60" s="38"/>
      <c r="VB60" s="38"/>
      <c r="VC60" s="38"/>
      <c r="VD60" s="38"/>
      <c r="VE60" s="38"/>
      <c r="VF60" s="38"/>
      <c r="VG60" s="38"/>
      <c r="VH60" s="38"/>
      <c r="VI60" s="38"/>
      <c r="VJ60" s="38"/>
      <c r="VK60" s="38"/>
      <c r="VL60" s="38"/>
      <c r="VM60" s="38"/>
      <c r="VN60" s="38"/>
      <c r="VO60" s="38"/>
      <c r="VP60" s="38"/>
      <c r="VQ60" s="38"/>
      <c r="VR60" s="38"/>
      <c r="VS60" s="38"/>
      <c r="VT60" s="38"/>
      <c r="VU60" s="38"/>
      <c r="VV60" s="38"/>
      <c r="VW60" s="38"/>
      <c r="VX60" s="38"/>
      <c r="VY60" s="38"/>
      <c r="VZ60" s="38"/>
      <c r="WA60" s="38"/>
      <c r="WB60" s="38"/>
      <c r="WC60" s="38"/>
      <c r="WD60" s="38"/>
      <c r="WE60" s="38"/>
      <c r="WF60" s="38"/>
      <c r="WG60" s="38"/>
      <c r="WH60" s="38"/>
      <c r="WI60" s="38"/>
      <c r="WJ60" s="38"/>
      <c r="WK60" s="38"/>
      <c r="WL60" s="38"/>
      <c r="WM60" s="38"/>
      <c r="WN60" s="38"/>
      <c r="WO60" s="38"/>
      <c r="WP60" s="38"/>
      <c r="WQ60" s="38"/>
      <c r="WR60" s="38"/>
      <c r="WS60" s="38"/>
      <c r="WT60" s="38"/>
      <c r="WU60" s="38"/>
      <c r="WV60" s="38"/>
      <c r="WW60" s="38"/>
      <c r="WX60" s="38"/>
      <c r="WY60" s="38"/>
      <c r="WZ60" s="38"/>
      <c r="XA60" s="38"/>
      <c r="XB60" s="38"/>
      <c r="XC60" s="38"/>
      <c r="XD60" s="38"/>
      <c r="XE60" s="38"/>
      <c r="XF60" s="38"/>
      <c r="XG60" s="38"/>
      <c r="XH60" s="38"/>
      <c r="XI60" s="38"/>
      <c r="XJ60" s="38"/>
      <c r="XK60" s="38"/>
      <c r="XL60" s="38"/>
      <c r="XM60" s="38"/>
      <c r="XN60" s="38"/>
      <c r="XO60" s="38"/>
      <c r="XP60" s="38"/>
      <c r="XQ60" s="38"/>
      <c r="XR60" s="38"/>
      <c r="XS60" s="38"/>
      <c r="XT60" s="38"/>
      <c r="XU60" s="38"/>
      <c r="XV60" s="38"/>
      <c r="XW60" s="38"/>
      <c r="XX60" s="38"/>
      <c r="XY60" s="38"/>
      <c r="XZ60" s="38"/>
      <c r="YA60" s="38"/>
      <c r="YB60" s="38"/>
      <c r="YC60" s="38"/>
      <c r="YD60" s="38"/>
      <c r="YE60" s="38"/>
      <c r="YF60" s="38"/>
      <c r="YG60" s="38"/>
      <c r="YH60" s="38"/>
      <c r="YI60" s="38"/>
      <c r="YJ60" s="38"/>
      <c r="YK60" s="38"/>
      <c r="YL60" s="38"/>
      <c r="YM60" s="38"/>
      <c r="YN60" s="38"/>
      <c r="YO60" s="38"/>
      <c r="YP60" s="38"/>
      <c r="YQ60" s="38"/>
      <c r="YR60" s="38"/>
      <c r="YS60" s="38"/>
      <c r="YT60" s="38"/>
      <c r="YU60" s="38"/>
      <c r="YV60" s="38"/>
      <c r="YW60" s="38"/>
      <c r="YX60" s="38"/>
      <c r="YY60" s="38"/>
      <c r="YZ60" s="38"/>
      <c r="ZA60" s="38"/>
      <c r="ZB60" s="38"/>
      <c r="ZC60" s="38"/>
      <c r="ZD60" s="38"/>
      <c r="ZE60" s="38"/>
      <c r="ZF60" s="38"/>
      <c r="ZG60" s="38"/>
      <c r="ZH60" s="38"/>
      <c r="ZI60" s="38"/>
      <c r="ZJ60" s="38"/>
      <c r="ZK60" s="38"/>
      <c r="ZL60" s="38"/>
      <c r="ZM60" s="38"/>
      <c r="ZN60" s="38"/>
      <c r="ZO60" s="38"/>
      <c r="ZP60" s="38"/>
      <c r="ZQ60" s="38"/>
      <c r="ZR60" s="38"/>
      <c r="ZS60" s="38"/>
      <c r="ZT60" s="38"/>
      <c r="ZU60" s="38"/>
      <c r="ZV60" s="38"/>
      <c r="ZW60" s="38"/>
      <c r="ZX60" s="38"/>
      <c r="ZY60" s="38"/>
      <c r="ZZ60" s="38"/>
      <c r="AAA60" s="38"/>
      <c r="AAB60" s="38"/>
      <c r="AAC60" s="38"/>
      <c r="AAD60" s="38"/>
      <c r="AAE60" s="38"/>
      <c r="AAF60" s="38"/>
      <c r="AAG60" s="38"/>
      <c r="AAH60" s="38"/>
      <c r="AAI60" s="38"/>
      <c r="AAJ60" s="38"/>
      <c r="AAK60" s="38"/>
      <c r="AAL60" s="38"/>
      <c r="AAM60" s="38"/>
      <c r="AAN60" s="38"/>
      <c r="AAO60" s="38"/>
      <c r="AAP60" s="38"/>
      <c r="AAQ60" s="38"/>
      <c r="AAR60" s="38"/>
      <c r="AAS60" s="38"/>
      <c r="AAT60" s="38"/>
      <c r="AAU60" s="38"/>
      <c r="AAV60" s="38"/>
      <c r="AAW60" s="38"/>
      <c r="AAX60" s="38"/>
      <c r="AAY60" s="38"/>
      <c r="AAZ60" s="38"/>
      <c r="ABA60" s="38"/>
      <c r="ABB60" s="38"/>
      <c r="ABC60" s="38"/>
      <c r="ABD60" s="38"/>
      <c r="ABE60" s="38"/>
      <c r="ABF60" s="38"/>
      <c r="ABG60" s="38"/>
      <c r="ABH60" s="38"/>
      <c r="ABI60" s="38"/>
      <c r="ABJ60" s="38"/>
      <c r="ABK60" s="38"/>
      <c r="ABL60" s="38"/>
      <c r="ABM60" s="38"/>
      <c r="ABN60" s="38"/>
      <c r="ABO60" s="38"/>
      <c r="ABP60" s="38"/>
      <c r="ABQ60" s="38"/>
      <c r="ABR60" s="38"/>
      <c r="ABS60" s="38"/>
      <c r="ABT60" s="38"/>
      <c r="ABU60" s="38"/>
      <c r="ABV60" s="38"/>
      <c r="ABW60" s="38"/>
      <c r="ABX60" s="38"/>
      <c r="ABY60" s="38"/>
      <c r="ABZ60" s="38"/>
      <c r="ACA60" s="38"/>
      <c r="ACB60" s="38"/>
      <c r="ACC60" s="38"/>
      <c r="ACD60" s="38"/>
      <c r="ACE60" s="38"/>
      <c r="ACF60" s="38"/>
      <c r="ACG60" s="38"/>
      <c r="ACH60" s="38"/>
      <c r="ACI60" s="38"/>
      <c r="ACJ60" s="38"/>
      <c r="ACK60" s="38"/>
      <c r="ACL60" s="38"/>
      <c r="ACM60" s="38"/>
      <c r="ACN60" s="38"/>
      <c r="ACO60" s="38"/>
      <c r="ACP60" s="38"/>
      <c r="ACQ60" s="38"/>
      <c r="ACR60" s="38"/>
      <c r="ACS60" s="38"/>
      <c r="ACT60" s="38"/>
      <c r="ACU60" s="38"/>
      <c r="ACV60" s="38"/>
      <c r="ACW60" s="38"/>
      <c r="ACX60" s="38"/>
      <c r="ACY60" s="38"/>
      <c r="ACZ60" s="38"/>
      <c r="ADA60" s="38"/>
      <c r="ADB60" s="38"/>
      <c r="ADC60" s="38"/>
      <c r="ADD60" s="38"/>
      <c r="ADE60" s="38"/>
      <c r="ADF60" s="38"/>
      <c r="ADG60" s="38"/>
      <c r="ADH60" s="38"/>
      <c r="ADI60" s="38"/>
      <c r="ADJ60" s="38"/>
      <c r="ADK60" s="38"/>
      <c r="ADL60" s="38"/>
      <c r="ADM60" s="38"/>
      <c r="ADN60" s="38"/>
      <c r="ADO60" s="38"/>
      <c r="ADP60" s="38"/>
      <c r="ADQ60" s="38"/>
      <c r="ADR60" s="38"/>
      <c r="ADS60" s="38"/>
      <c r="ADT60" s="38"/>
      <c r="ADU60" s="38"/>
      <c r="ADV60" s="38"/>
      <c r="ADW60" s="38"/>
      <c r="ADX60" s="38"/>
      <c r="ADY60" s="38"/>
      <c r="ADZ60" s="38"/>
      <c r="AEA60" s="38"/>
      <c r="AEB60" s="38"/>
      <c r="AEC60" s="38"/>
      <c r="AED60" s="38"/>
      <c r="AEE60" s="38"/>
      <c r="AEF60" s="38"/>
      <c r="AEG60" s="38"/>
      <c r="AEH60" s="38"/>
      <c r="AEI60" s="38"/>
      <c r="AEJ60" s="38"/>
      <c r="AEK60" s="38"/>
      <c r="AEL60" s="38"/>
      <c r="AEM60" s="38"/>
      <c r="AEN60" s="38"/>
      <c r="AEO60" s="38"/>
      <c r="AEP60" s="38"/>
      <c r="AEQ60" s="38"/>
      <c r="AER60" s="38"/>
      <c r="AES60" s="38"/>
      <c r="AET60" s="38"/>
      <c r="AEU60" s="38"/>
      <c r="AEV60" s="38"/>
      <c r="AEW60" s="38"/>
      <c r="AEX60" s="38"/>
      <c r="AEY60" s="38"/>
      <c r="AEZ60" s="38"/>
      <c r="AFA60" s="38"/>
      <c r="AFB60" s="38"/>
      <c r="AFC60" s="38"/>
      <c r="AFD60" s="38"/>
      <c r="AFE60" s="38"/>
      <c r="AFF60" s="38"/>
      <c r="AFG60" s="38"/>
      <c r="AFH60" s="38"/>
      <c r="AFI60" s="38"/>
      <c r="AFJ60" s="38"/>
      <c r="AFK60" s="38"/>
      <c r="AFL60" s="38"/>
      <c r="AFM60" s="38"/>
      <c r="AFN60" s="38"/>
      <c r="AFO60" s="38"/>
      <c r="AFP60" s="38"/>
      <c r="AFQ60" s="38"/>
      <c r="AFR60" s="38"/>
      <c r="AFS60" s="38"/>
      <c r="AFT60" s="38"/>
      <c r="AFU60" s="38"/>
      <c r="AFV60" s="38"/>
      <c r="AFW60" s="38"/>
      <c r="AFX60" s="38"/>
      <c r="AFY60" s="38"/>
      <c r="AFZ60" s="38"/>
      <c r="AGA60" s="38"/>
      <c r="AGB60" s="38"/>
      <c r="AGC60" s="38"/>
      <c r="AGD60" s="38"/>
      <c r="AGE60" s="38"/>
      <c r="AGF60" s="38"/>
      <c r="AGG60" s="38"/>
      <c r="AGH60" s="38"/>
      <c r="AGI60" s="38"/>
      <c r="AGJ60" s="38"/>
      <c r="AGK60" s="38"/>
      <c r="AGL60" s="38"/>
      <c r="AGM60" s="38"/>
      <c r="AGN60" s="38"/>
      <c r="AGO60" s="38"/>
      <c r="AGP60" s="38"/>
      <c r="AGQ60" s="38"/>
      <c r="AGR60" s="38"/>
      <c r="AGS60" s="38"/>
      <c r="AGT60" s="38"/>
      <c r="AGU60" s="38"/>
      <c r="AGV60" s="38"/>
      <c r="AGW60" s="38"/>
      <c r="AGX60" s="38"/>
      <c r="AGY60" s="38"/>
      <c r="AGZ60" s="38"/>
      <c r="AHA60" s="38"/>
      <c r="AHB60" s="38"/>
      <c r="AHC60" s="38"/>
      <c r="AHD60" s="38"/>
      <c r="AHE60" s="38"/>
      <c r="AHF60" s="38"/>
      <c r="AHG60" s="38"/>
      <c r="AHH60" s="38"/>
      <c r="AHI60" s="38"/>
      <c r="AHJ60" s="38"/>
      <c r="AHK60" s="38"/>
      <c r="AHL60" s="38"/>
      <c r="AHM60" s="38"/>
      <c r="AHN60" s="38"/>
      <c r="AHO60" s="38"/>
      <c r="AHP60" s="38"/>
      <c r="AHQ60" s="38"/>
      <c r="AHR60" s="38"/>
      <c r="AHS60" s="38"/>
      <c r="AHT60" s="38"/>
      <c r="AHU60" s="38"/>
      <c r="AHV60" s="38"/>
    </row>
    <row r="61" spans="1:906" s="27" customFormat="1" x14ac:dyDescent="0.35">
      <c r="A61" s="83">
        <v>57</v>
      </c>
      <c r="B61" s="108" t="s">
        <v>101</v>
      </c>
      <c r="C61" s="109"/>
      <c r="D61" s="109" t="s">
        <v>15</v>
      </c>
      <c r="E61" s="125"/>
      <c r="F61" s="125">
        <v>6.95</v>
      </c>
      <c r="G61" s="125">
        <v>7.25</v>
      </c>
      <c r="H61" s="125"/>
      <c r="I61" s="37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</row>
    <row r="62" spans="1:906" s="27" customFormat="1" x14ac:dyDescent="0.35">
      <c r="A62" s="83">
        <v>57</v>
      </c>
      <c r="B62" s="108" t="s">
        <v>101</v>
      </c>
      <c r="C62" s="109"/>
      <c r="D62" s="109" t="s">
        <v>59</v>
      </c>
      <c r="E62" s="125"/>
      <c r="F62" s="125"/>
      <c r="G62" s="125"/>
      <c r="H62" s="125"/>
      <c r="I62" s="37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</row>
    <row r="63" spans="1:906" s="27" customFormat="1" x14ac:dyDescent="0.35">
      <c r="A63" s="83">
        <v>58</v>
      </c>
      <c r="B63" s="108" t="s">
        <v>102</v>
      </c>
      <c r="C63" s="109" t="s">
        <v>103</v>
      </c>
      <c r="D63" s="109" t="s">
        <v>59</v>
      </c>
      <c r="E63" s="125">
        <v>6.4</v>
      </c>
      <c r="F63" s="125">
        <v>5.75</v>
      </c>
      <c r="G63" s="125">
        <v>6</v>
      </c>
      <c r="H63" s="125">
        <v>7.25</v>
      </c>
      <c r="I63" s="37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</row>
    <row r="64" spans="1:906" s="27" customFormat="1" x14ac:dyDescent="0.35">
      <c r="A64" s="83">
        <v>59</v>
      </c>
      <c r="B64" s="108" t="s">
        <v>104</v>
      </c>
      <c r="C64" s="109" t="s">
        <v>103</v>
      </c>
      <c r="D64" s="109" t="s">
        <v>59</v>
      </c>
      <c r="E64" s="125">
        <v>11.1</v>
      </c>
      <c r="F64" s="125">
        <v>10.95</v>
      </c>
      <c r="G64" s="125"/>
      <c r="H64" s="125">
        <v>12</v>
      </c>
      <c r="I64" s="37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  <c r="FK64" s="38"/>
      <c r="FL64" s="38"/>
      <c r="FM64" s="38"/>
      <c r="FN64" s="38"/>
      <c r="FO64" s="38"/>
      <c r="FP64" s="38"/>
      <c r="FQ64" s="38"/>
      <c r="FR64" s="38"/>
      <c r="FS64" s="38"/>
      <c r="FT64" s="38"/>
      <c r="FU64" s="38"/>
      <c r="FV64" s="38"/>
      <c r="FW64" s="38"/>
      <c r="FX64" s="38"/>
      <c r="FY64" s="38"/>
      <c r="FZ64" s="38"/>
      <c r="GA64" s="38"/>
      <c r="GB64" s="38"/>
      <c r="GC64" s="38"/>
      <c r="GD64" s="38"/>
      <c r="GE64" s="38"/>
      <c r="GF64" s="38"/>
      <c r="GG64" s="38"/>
      <c r="GH64" s="38"/>
      <c r="GI64" s="38"/>
      <c r="GJ64" s="38"/>
      <c r="GK64" s="38"/>
      <c r="GL64" s="38"/>
      <c r="GM64" s="38"/>
      <c r="GN64" s="38"/>
      <c r="GO64" s="38"/>
      <c r="GP64" s="38"/>
      <c r="GQ64" s="38"/>
      <c r="GR64" s="38"/>
      <c r="GS64" s="38"/>
      <c r="GT64" s="38"/>
      <c r="GU64" s="38"/>
      <c r="GV64" s="38"/>
      <c r="GW64" s="38"/>
      <c r="GX64" s="38"/>
      <c r="GY64" s="38"/>
      <c r="GZ64" s="38"/>
      <c r="HA64" s="38"/>
      <c r="HB64" s="38"/>
      <c r="HC64" s="38"/>
      <c r="HD64" s="38"/>
      <c r="HE64" s="38"/>
      <c r="HF64" s="38"/>
      <c r="HG64" s="38"/>
      <c r="HH64" s="38"/>
      <c r="HI64" s="38"/>
      <c r="HJ64" s="38"/>
      <c r="HK64" s="38"/>
      <c r="HL64" s="38"/>
      <c r="HM64" s="38"/>
      <c r="HN64" s="38"/>
      <c r="HO64" s="38"/>
      <c r="HP64" s="38"/>
      <c r="HQ64" s="38"/>
      <c r="HR64" s="38"/>
      <c r="HS64" s="38"/>
      <c r="HT64" s="38"/>
      <c r="HU64" s="38"/>
      <c r="HV64" s="38"/>
      <c r="HW64" s="38"/>
      <c r="HX64" s="38"/>
      <c r="HY64" s="38"/>
      <c r="HZ64" s="38"/>
      <c r="IA64" s="38"/>
      <c r="IB64" s="38"/>
      <c r="IC64" s="38"/>
      <c r="ID64" s="38"/>
      <c r="IE64" s="38"/>
      <c r="IF64" s="38"/>
      <c r="IG64" s="38"/>
      <c r="IH64" s="38"/>
      <c r="II64" s="38"/>
      <c r="IJ64" s="38"/>
      <c r="IK64" s="38"/>
      <c r="IL64" s="38"/>
      <c r="IM64" s="38"/>
      <c r="IN64" s="38"/>
      <c r="IO64" s="38"/>
      <c r="IP64" s="38"/>
      <c r="IQ64" s="38"/>
      <c r="IR64" s="38"/>
      <c r="IS64" s="38"/>
      <c r="IT64" s="38"/>
      <c r="IU64" s="38"/>
      <c r="IV64" s="38"/>
      <c r="IW64" s="38"/>
      <c r="IX64" s="38"/>
      <c r="IY64" s="38"/>
      <c r="IZ64" s="38"/>
      <c r="JA64" s="38"/>
      <c r="JB64" s="38"/>
      <c r="JC64" s="38"/>
      <c r="JD64" s="38"/>
      <c r="JE64" s="38"/>
      <c r="JF64" s="38"/>
      <c r="JG64" s="38"/>
      <c r="JH64" s="38"/>
      <c r="JI64" s="38"/>
      <c r="JJ64" s="38"/>
      <c r="JK64" s="38"/>
      <c r="JL64" s="38"/>
      <c r="JM64" s="38"/>
      <c r="JN64" s="38"/>
      <c r="JO64" s="38"/>
      <c r="JP64" s="38"/>
      <c r="JQ64" s="38"/>
      <c r="JR64" s="38"/>
      <c r="JS64" s="38"/>
      <c r="JT64" s="38"/>
      <c r="JU64" s="38"/>
      <c r="JV64" s="38"/>
      <c r="JW64" s="38"/>
      <c r="JX64" s="38"/>
      <c r="JY64" s="38"/>
      <c r="JZ64" s="38"/>
      <c r="KA64" s="38"/>
      <c r="KB64" s="38"/>
      <c r="KC64" s="38"/>
      <c r="KD64" s="38"/>
      <c r="KE64" s="38"/>
      <c r="KF64" s="38"/>
      <c r="KG64" s="38"/>
      <c r="KH64" s="38"/>
      <c r="KI64" s="38"/>
      <c r="KJ64" s="38"/>
      <c r="KK64" s="38"/>
      <c r="KL64" s="38"/>
      <c r="KM64" s="38"/>
      <c r="KN64" s="38"/>
      <c r="KO64" s="38"/>
      <c r="KP64" s="38"/>
      <c r="KQ64" s="38"/>
      <c r="KR64" s="38"/>
      <c r="KS64" s="38"/>
      <c r="KT64" s="38"/>
      <c r="KU64" s="38"/>
      <c r="KV64" s="38"/>
      <c r="KW64" s="38"/>
      <c r="KX64" s="38"/>
      <c r="KY64" s="38"/>
      <c r="KZ64" s="38"/>
      <c r="LA64" s="38"/>
      <c r="LB64" s="38"/>
      <c r="LC64" s="38"/>
      <c r="LD64" s="38"/>
      <c r="LE64" s="38"/>
      <c r="LF64" s="38"/>
      <c r="LG64" s="38"/>
      <c r="LH64" s="38"/>
      <c r="LI64" s="38"/>
      <c r="LJ64" s="38"/>
      <c r="LK64" s="38"/>
      <c r="LL64" s="38"/>
      <c r="LM64" s="38"/>
      <c r="LN64" s="38"/>
      <c r="LO64" s="38"/>
      <c r="LP64" s="38"/>
      <c r="LQ64" s="38"/>
      <c r="LR64" s="38"/>
      <c r="LS64" s="38"/>
      <c r="LT64" s="38"/>
      <c r="LU64" s="38"/>
      <c r="LV64" s="38"/>
      <c r="LW64" s="38"/>
      <c r="LX64" s="38"/>
      <c r="LY64" s="38"/>
      <c r="LZ64" s="38"/>
      <c r="MA64" s="38"/>
      <c r="MB64" s="38"/>
      <c r="MC64" s="38"/>
      <c r="MD64" s="38"/>
      <c r="ME64" s="38"/>
      <c r="MF64" s="38"/>
      <c r="MG64" s="38"/>
      <c r="MH64" s="38"/>
      <c r="MI64" s="38"/>
      <c r="MJ64" s="38"/>
      <c r="MK64" s="38"/>
      <c r="ML64" s="38"/>
      <c r="MM64" s="38"/>
      <c r="MN64" s="38"/>
      <c r="MO64" s="38"/>
      <c r="MP64" s="38"/>
      <c r="MQ64" s="38"/>
      <c r="MR64" s="38"/>
      <c r="MS64" s="38"/>
      <c r="MT64" s="38"/>
      <c r="MU64" s="38"/>
      <c r="MV64" s="38"/>
      <c r="MW64" s="38"/>
      <c r="MX64" s="38"/>
      <c r="MY64" s="38"/>
      <c r="MZ64" s="38"/>
      <c r="NA64" s="38"/>
      <c r="NB64" s="38"/>
      <c r="NC64" s="38"/>
      <c r="ND64" s="38"/>
      <c r="NE64" s="38"/>
      <c r="NF64" s="38"/>
      <c r="NG64" s="38"/>
      <c r="NH64" s="38"/>
      <c r="NI64" s="38"/>
      <c r="NJ64" s="38"/>
      <c r="NK64" s="38"/>
      <c r="NL64" s="38"/>
      <c r="NM64" s="38"/>
      <c r="NN64" s="38"/>
      <c r="NO64" s="38"/>
      <c r="NP64" s="38"/>
      <c r="NQ64" s="38"/>
      <c r="NR64" s="38"/>
      <c r="NS64" s="38"/>
      <c r="NT64" s="38"/>
      <c r="NU64" s="38"/>
      <c r="NV64" s="38"/>
      <c r="NW64" s="38"/>
      <c r="NX64" s="38"/>
      <c r="NY64" s="38"/>
      <c r="NZ64" s="38"/>
      <c r="OA64" s="38"/>
      <c r="OB64" s="38"/>
      <c r="OC64" s="38"/>
      <c r="OD64" s="38"/>
      <c r="OE64" s="38"/>
      <c r="OF64" s="38"/>
      <c r="OG64" s="38"/>
      <c r="OH64" s="38"/>
      <c r="OI64" s="38"/>
      <c r="OJ64" s="38"/>
      <c r="OK64" s="38"/>
      <c r="OL64" s="38"/>
      <c r="OM64" s="38"/>
      <c r="ON64" s="38"/>
      <c r="OO64" s="38"/>
      <c r="OP64" s="38"/>
      <c r="OQ64" s="38"/>
      <c r="OR64" s="38"/>
      <c r="OS64" s="38"/>
      <c r="OT64" s="38"/>
      <c r="OU64" s="38"/>
      <c r="OV64" s="38"/>
      <c r="OW64" s="38"/>
      <c r="OX64" s="38"/>
      <c r="OY64" s="38"/>
      <c r="OZ64" s="38"/>
      <c r="PA64" s="38"/>
      <c r="PB64" s="38"/>
      <c r="PC64" s="38"/>
      <c r="PD64" s="38"/>
      <c r="PE64" s="38"/>
      <c r="PF64" s="38"/>
      <c r="PG64" s="38"/>
      <c r="PH64" s="38"/>
      <c r="PI64" s="38"/>
      <c r="PJ64" s="38"/>
      <c r="PK64" s="38"/>
      <c r="PL64" s="38"/>
      <c r="PM64" s="38"/>
      <c r="PN64" s="38"/>
      <c r="PO64" s="38"/>
      <c r="PP64" s="38"/>
      <c r="PQ64" s="38"/>
      <c r="PR64" s="38"/>
      <c r="PS64" s="38"/>
      <c r="PT64" s="38"/>
      <c r="PU64" s="38"/>
      <c r="PV64" s="38"/>
      <c r="PW64" s="38"/>
      <c r="PX64" s="38"/>
      <c r="PY64" s="38"/>
      <c r="PZ64" s="38"/>
      <c r="QA64" s="38"/>
      <c r="QB64" s="38"/>
      <c r="QC64" s="38"/>
      <c r="QD64" s="38"/>
      <c r="QE64" s="38"/>
      <c r="QF64" s="38"/>
      <c r="QG64" s="38"/>
      <c r="QH64" s="38"/>
      <c r="QI64" s="38"/>
      <c r="QJ64" s="38"/>
      <c r="QK64" s="38"/>
      <c r="QL64" s="38"/>
      <c r="QM64" s="38"/>
      <c r="QN64" s="38"/>
      <c r="QO64" s="38"/>
      <c r="QP64" s="38"/>
      <c r="QQ64" s="38"/>
      <c r="QR64" s="38"/>
      <c r="QS64" s="38"/>
      <c r="QT64" s="38"/>
      <c r="QU64" s="38"/>
      <c r="QV64" s="38"/>
      <c r="QW64" s="38"/>
      <c r="QX64" s="38"/>
      <c r="QY64" s="38"/>
      <c r="QZ64" s="38"/>
      <c r="RA64" s="38"/>
      <c r="RB64" s="38"/>
      <c r="RC64" s="38"/>
      <c r="RD64" s="38"/>
      <c r="RE64" s="38"/>
      <c r="RF64" s="38"/>
      <c r="RG64" s="38"/>
      <c r="RH64" s="38"/>
      <c r="RI64" s="38"/>
      <c r="RJ64" s="38"/>
      <c r="RK64" s="38"/>
      <c r="RL64" s="38"/>
      <c r="RM64" s="38"/>
      <c r="RN64" s="38"/>
      <c r="RO64" s="38"/>
      <c r="RP64" s="38"/>
      <c r="RQ64" s="38"/>
      <c r="RR64" s="38"/>
      <c r="RS64" s="38"/>
      <c r="RT64" s="38"/>
      <c r="RU64" s="38"/>
      <c r="RV64" s="38"/>
      <c r="RW64" s="38"/>
      <c r="RX64" s="38"/>
      <c r="RY64" s="38"/>
      <c r="RZ64" s="38"/>
      <c r="SA64" s="38"/>
      <c r="SB64" s="38"/>
      <c r="SC64" s="38"/>
      <c r="SD64" s="38"/>
      <c r="SE64" s="38"/>
      <c r="SF64" s="38"/>
      <c r="SG64" s="38"/>
      <c r="SH64" s="38"/>
      <c r="SI64" s="38"/>
      <c r="SJ64" s="38"/>
      <c r="SK64" s="38"/>
      <c r="SL64" s="38"/>
      <c r="SM64" s="38"/>
      <c r="SN64" s="38"/>
      <c r="SO64" s="38"/>
      <c r="SP64" s="38"/>
      <c r="SQ64" s="38"/>
      <c r="SR64" s="38"/>
      <c r="SS64" s="38"/>
      <c r="ST64" s="38"/>
      <c r="SU64" s="38"/>
      <c r="SV64" s="38"/>
      <c r="SW64" s="38"/>
      <c r="SX64" s="38"/>
      <c r="SY64" s="38"/>
      <c r="SZ64" s="38"/>
      <c r="TA64" s="38"/>
      <c r="TB64" s="38"/>
      <c r="TC64" s="38"/>
      <c r="TD64" s="38"/>
      <c r="TE64" s="38"/>
      <c r="TF64" s="38"/>
      <c r="TG64" s="38"/>
      <c r="TH64" s="38"/>
      <c r="TI64" s="38"/>
      <c r="TJ64" s="38"/>
      <c r="TK64" s="38"/>
      <c r="TL64" s="38"/>
      <c r="TM64" s="38"/>
      <c r="TN64" s="38"/>
      <c r="TO64" s="38"/>
      <c r="TP64" s="38"/>
      <c r="TQ64" s="38"/>
      <c r="TR64" s="38"/>
      <c r="TS64" s="38"/>
      <c r="TT64" s="38"/>
      <c r="TU64" s="38"/>
      <c r="TV64" s="38"/>
      <c r="TW64" s="38"/>
      <c r="TX64" s="38"/>
      <c r="TY64" s="38"/>
      <c r="TZ64" s="38"/>
      <c r="UA64" s="38"/>
      <c r="UB64" s="38"/>
      <c r="UC64" s="38"/>
      <c r="UD64" s="38"/>
      <c r="UE64" s="38"/>
      <c r="UF64" s="38"/>
      <c r="UG64" s="38"/>
      <c r="UH64" s="38"/>
      <c r="UI64" s="38"/>
      <c r="UJ64" s="38"/>
      <c r="UK64" s="38"/>
      <c r="UL64" s="38"/>
      <c r="UM64" s="38"/>
      <c r="UN64" s="38"/>
      <c r="UO64" s="38"/>
      <c r="UP64" s="38"/>
      <c r="UQ64" s="38"/>
      <c r="UR64" s="38"/>
      <c r="US64" s="38"/>
      <c r="UT64" s="38"/>
      <c r="UU64" s="38"/>
      <c r="UV64" s="38"/>
      <c r="UW64" s="38"/>
      <c r="UX64" s="38"/>
      <c r="UY64" s="38"/>
      <c r="UZ64" s="38"/>
      <c r="VA64" s="38"/>
      <c r="VB64" s="38"/>
      <c r="VC64" s="38"/>
      <c r="VD64" s="38"/>
      <c r="VE64" s="38"/>
      <c r="VF64" s="38"/>
      <c r="VG64" s="38"/>
      <c r="VH64" s="38"/>
      <c r="VI64" s="38"/>
      <c r="VJ64" s="38"/>
      <c r="VK64" s="38"/>
      <c r="VL64" s="38"/>
      <c r="VM64" s="38"/>
      <c r="VN64" s="38"/>
      <c r="VO64" s="38"/>
      <c r="VP64" s="38"/>
      <c r="VQ64" s="38"/>
      <c r="VR64" s="38"/>
      <c r="VS64" s="38"/>
      <c r="VT64" s="38"/>
      <c r="VU64" s="38"/>
      <c r="VV64" s="38"/>
      <c r="VW64" s="38"/>
      <c r="VX64" s="38"/>
      <c r="VY64" s="38"/>
      <c r="VZ64" s="38"/>
      <c r="WA64" s="38"/>
      <c r="WB64" s="38"/>
      <c r="WC64" s="38"/>
      <c r="WD64" s="38"/>
      <c r="WE64" s="38"/>
      <c r="WF64" s="38"/>
      <c r="WG64" s="38"/>
      <c r="WH64" s="38"/>
      <c r="WI64" s="38"/>
      <c r="WJ64" s="38"/>
      <c r="WK64" s="38"/>
      <c r="WL64" s="38"/>
      <c r="WM64" s="38"/>
      <c r="WN64" s="38"/>
      <c r="WO64" s="38"/>
      <c r="WP64" s="38"/>
      <c r="WQ64" s="38"/>
      <c r="WR64" s="38"/>
      <c r="WS64" s="38"/>
      <c r="WT64" s="38"/>
      <c r="WU64" s="38"/>
      <c r="WV64" s="38"/>
      <c r="WW64" s="38"/>
      <c r="WX64" s="38"/>
      <c r="WY64" s="38"/>
      <c r="WZ64" s="38"/>
      <c r="XA64" s="38"/>
      <c r="XB64" s="38"/>
      <c r="XC64" s="38"/>
      <c r="XD64" s="38"/>
      <c r="XE64" s="38"/>
      <c r="XF64" s="38"/>
      <c r="XG64" s="38"/>
      <c r="XH64" s="38"/>
      <c r="XI64" s="38"/>
      <c r="XJ64" s="38"/>
      <c r="XK64" s="38"/>
      <c r="XL64" s="38"/>
      <c r="XM64" s="38"/>
      <c r="XN64" s="38"/>
      <c r="XO64" s="38"/>
      <c r="XP64" s="38"/>
      <c r="XQ64" s="38"/>
      <c r="XR64" s="38"/>
      <c r="XS64" s="38"/>
      <c r="XT64" s="38"/>
      <c r="XU64" s="38"/>
      <c r="XV64" s="38"/>
      <c r="XW64" s="38"/>
      <c r="XX64" s="38"/>
      <c r="XY64" s="38"/>
      <c r="XZ64" s="38"/>
      <c r="YA64" s="38"/>
      <c r="YB64" s="38"/>
      <c r="YC64" s="38"/>
      <c r="YD64" s="38"/>
      <c r="YE64" s="38"/>
      <c r="YF64" s="38"/>
      <c r="YG64" s="38"/>
      <c r="YH64" s="38"/>
      <c r="YI64" s="38"/>
      <c r="YJ64" s="38"/>
      <c r="YK64" s="38"/>
      <c r="YL64" s="38"/>
      <c r="YM64" s="38"/>
      <c r="YN64" s="38"/>
      <c r="YO64" s="38"/>
      <c r="YP64" s="38"/>
      <c r="YQ64" s="38"/>
      <c r="YR64" s="38"/>
      <c r="YS64" s="38"/>
      <c r="YT64" s="38"/>
      <c r="YU64" s="38"/>
      <c r="YV64" s="38"/>
      <c r="YW64" s="38"/>
      <c r="YX64" s="38"/>
      <c r="YY64" s="38"/>
      <c r="YZ64" s="38"/>
      <c r="ZA64" s="38"/>
      <c r="ZB64" s="38"/>
      <c r="ZC64" s="38"/>
      <c r="ZD64" s="38"/>
      <c r="ZE64" s="38"/>
      <c r="ZF64" s="38"/>
      <c r="ZG64" s="38"/>
      <c r="ZH64" s="38"/>
      <c r="ZI64" s="38"/>
      <c r="ZJ64" s="38"/>
      <c r="ZK64" s="38"/>
      <c r="ZL64" s="38"/>
      <c r="ZM64" s="38"/>
      <c r="ZN64" s="38"/>
      <c r="ZO64" s="38"/>
      <c r="ZP64" s="38"/>
      <c r="ZQ64" s="38"/>
      <c r="ZR64" s="38"/>
      <c r="ZS64" s="38"/>
      <c r="ZT64" s="38"/>
      <c r="ZU64" s="38"/>
      <c r="ZV64" s="38"/>
      <c r="ZW64" s="38"/>
      <c r="ZX64" s="38"/>
      <c r="ZY64" s="38"/>
      <c r="ZZ64" s="38"/>
      <c r="AAA64" s="38"/>
      <c r="AAB64" s="38"/>
      <c r="AAC64" s="38"/>
      <c r="AAD64" s="38"/>
      <c r="AAE64" s="38"/>
      <c r="AAF64" s="38"/>
      <c r="AAG64" s="38"/>
      <c r="AAH64" s="38"/>
      <c r="AAI64" s="38"/>
      <c r="AAJ64" s="38"/>
      <c r="AAK64" s="38"/>
      <c r="AAL64" s="38"/>
      <c r="AAM64" s="38"/>
      <c r="AAN64" s="38"/>
      <c r="AAO64" s="38"/>
      <c r="AAP64" s="38"/>
      <c r="AAQ64" s="38"/>
      <c r="AAR64" s="38"/>
      <c r="AAS64" s="38"/>
      <c r="AAT64" s="38"/>
      <c r="AAU64" s="38"/>
      <c r="AAV64" s="38"/>
      <c r="AAW64" s="38"/>
      <c r="AAX64" s="38"/>
      <c r="AAY64" s="38"/>
      <c r="AAZ64" s="38"/>
      <c r="ABA64" s="38"/>
      <c r="ABB64" s="38"/>
      <c r="ABC64" s="38"/>
      <c r="ABD64" s="38"/>
      <c r="ABE64" s="38"/>
      <c r="ABF64" s="38"/>
      <c r="ABG64" s="38"/>
      <c r="ABH64" s="38"/>
      <c r="ABI64" s="38"/>
      <c r="ABJ64" s="38"/>
      <c r="ABK64" s="38"/>
      <c r="ABL64" s="38"/>
      <c r="ABM64" s="38"/>
      <c r="ABN64" s="38"/>
      <c r="ABO64" s="38"/>
      <c r="ABP64" s="38"/>
      <c r="ABQ64" s="38"/>
      <c r="ABR64" s="38"/>
      <c r="ABS64" s="38"/>
      <c r="ABT64" s="38"/>
      <c r="ABU64" s="38"/>
      <c r="ABV64" s="38"/>
      <c r="ABW64" s="38"/>
      <c r="ABX64" s="38"/>
      <c r="ABY64" s="38"/>
      <c r="ABZ64" s="38"/>
      <c r="ACA64" s="38"/>
      <c r="ACB64" s="38"/>
      <c r="ACC64" s="38"/>
      <c r="ACD64" s="38"/>
      <c r="ACE64" s="38"/>
      <c r="ACF64" s="38"/>
      <c r="ACG64" s="38"/>
      <c r="ACH64" s="38"/>
      <c r="ACI64" s="38"/>
      <c r="ACJ64" s="38"/>
      <c r="ACK64" s="38"/>
      <c r="ACL64" s="38"/>
      <c r="ACM64" s="38"/>
      <c r="ACN64" s="38"/>
      <c r="ACO64" s="38"/>
      <c r="ACP64" s="38"/>
      <c r="ACQ64" s="38"/>
      <c r="ACR64" s="38"/>
      <c r="ACS64" s="38"/>
      <c r="ACT64" s="38"/>
      <c r="ACU64" s="38"/>
      <c r="ACV64" s="38"/>
      <c r="ACW64" s="38"/>
      <c r="ACX64" s="38"/>
      <c r="ACY64" s="38"/>
      <c r="ACZ64" s="38"/>
      <c r="ADA64" s="38"/>
      <c r="ADB64" s="38"/>
      <c r="ADC64" s="38"/>
      <c r="ADD64" s="38"/>
      <c r="ADE64" s="38"/>
      <c r="ADF64" s="38"/>
      <c r="ADG64" s="38"/>
      <c r="ADH64" s="38"/>
      <c r="ADI64" s="38"/>
      <c r="ADJ64" s="38"/>
      <c r="ADK64" s="38"/>
      <c r="ADL64" s="38"/>
      <c r="ADM64" s="38"/>
      <c r="ADN64" s="38"/>
      <c r="ADO64" s="38"/>
      <c r="ADP64" s="38"/>
      <c r="ADQ64" s="38"/>
      <c r="ADR64" s="38"/>
      <c r="ADS64" s="38"/>
      <c r="ADT64" s="38"/>
      <c r="ADU64" s="38"/>
      <c r="ADV64" s="38"/>
      <c r="ADW64" s="38"/>
      <c r="ADX64" s="38"/>
      <c r="ADY64" s="38"/>
      <c r="ADZ64" s="38"/>
      <c r="AEA64" s="38"/>
      <c r="AEB64" s="38"/>
      <c r="AEC64" s="38"/>
      <c r="AED64" s="38"/>
      <c r="AEE64" s="38"/>
      <c r="AEF64" s="38"/>
      <c r="AEG64" s="38"/>
      <c r="AEH64" s="38"/>
      <c r="AEI64" s="38"/>
      <c r="AEJ64" s="38"/>
      <c r="AEK64" s="38"/>
      <c r="AEL64" s="38"/>
      <c r="AEM64" s="38"/>
      <c r="AEN64" s="38"/>
      <c r="AEO64" s="38"/>
      <c r="AEP64" s="38"/>
      <c r="AEQ64" s="38"/>
      <c r="AER64" s="38"/>
      <c r="AES64" s="38"/>
      <c r="AET64" s="38"/>
      <c r="AEU64" s="38"/>
      <c r="AEV64" s="38"/>
      <c r="AEW64" s="38"/>
      <c r="AEX64" s="38"/>
      <c r="AEY64" s="38"/>
      <c r="AEZ64" s="38"/>
      <c r="AFA64" s="38"/>
      <c r="AFB64" s="38"/>
      <c r="AFC64" s="38"/>
      <c r="AFD64" s="38"/>
      <c r="AFE64" s="38"/>
      <c r="AFF64" s="38"/>
      <c r="AFG64" s="38"/>
      <c r="AFH64" s="38"/>
      <c r="AFI64" s="38"/>
      <c r="AFJ64" s="38"/>
      <c r="AFK64" s="38"/>
      <c r="AFL64" s="38"/>
      <c r="AFM64" s="38"/>
      <c r="AFN64" s="38"/>
      <c r="AFO64" s="38"/>
      <c r="AFP64" s="38"/>
      <c r="AFQ64" s="38"/>
      <c r="AFR64" s="38"/>
      <c r="AFS64" s="38"/>
      <c r="AFT64" s="38"/>
      <c r="AFU64" s="38"/>
      <c r="AFV64" s="38"/>
      <c r="AFW64" s="38"/>
      <c r="AFX64" s="38"/>
      <c r="AFY64" s="38"/>
      <c r="AFZ64" s="38"/>
      <c r="AGA64" s="38"/>
      <c r="AGB64" s="38"/>
      <c r="AGC64" s="38"/>
      <c r="AGD64" s="38"/>
      <c r="AGE64" s="38"/>
      <c r="AGF64" s="38"/>
      <c r="AGG64" s="38"/>
      <c r="AGH64" s="38"/>
      <c r="AGI64" s="38"/>
      <c r="AGJ64" s="38"/>
      <c r="AGK64" s="38"/>
      <c r="AGL64" s="38"/>
      <c r="AGM64" s="38"/>
      <c r="AGN64" s="38"/>
      <c r="AGO64" s="38"/>
      <c r="AGP64" s="38"/>
      <c r="AGQ64" s="38"/>
      <c r="AGR64" s="38"/>
      <c r="AGS64" s="38"/>
      <c r="AGT64" s="38"/>
      <c r="AGU64" s="38"/>
      <c r="AGV64" s="38"/>
      <c r="AGW64" s="38"/>
      <c r="AGX64" s="38"/>
      <c r="AGY64" s="38"/>
      <c r="AGZ64" s="38"/>
      <c r="AHA64" s="38"/>
      <c r="AHB64" s="38"/>
      <c r="AHC64" s="38"/>
      <c r="AHD64" s="38"/>
      <c r="AHE64" s="38"/>
      <c r="AHF64" s="38"/>
      <c r="AHG64" s="38"/>
      <c r="AHH64" s="38"/>
      <c r="AHI64" s="38"/>
      <c r="AHJ64" s="38"/>
      <c r="AHK64" s="38"/>
      <c r="AHL64" s="38"/>
      <c r="AHM64" s="38"/>
      <c r="AHN64" s="38"/>
      <c r="AHO64" s="38"/>
      <c r="AHP64" s="38"/>
      <c r="AHQ64" s="38"/>
      <c r="AHR64" s="38"/>
      <c r="AHS64" s="38"/>
      <c r="AHT64" s="38"/>
      <c r="AHU64" s="38"/>
      <c r="AHV64" s="38"/>
    </row>
    <row r="65" spans="1:906" s="27" customFormat="1" x14ac:dyDescent="0.35">
      <c r="A65" s="83">
        <v>60</v>
      </c>
      <c r="B65" s="108" t="s">
        <v>105</v>
      </c>
      <c r="C65" s="109" t="s">
        <v>103</v>
      </c>
      <c r="D65" s="109" t="s">
        <v>59</v>
      </c>
      <c r="E65" s="125">
        <v>10.99</v>
      </c>
      <c r="F65" s="125">
        <v>9.99</v>
      </c>
      <c r="G65" s="125"/>
      <c r="H65" s="125"/>
      <c r="I65" s="37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  <c r="EX65" s="38"/>
      <c r="EY65" s="38"/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  <c r="FK65" s="38"/>
      <c r="FL65" s="38"/>
      <c r="FM65" s="38"/>
      <c r="FN65" s="38"/>
      <c r="FO65" s="38"/>
      <c r="FP65" s="38"/>
      <c r="FQ65" s="38"/>
      <c r="FR65" s="38"/>
      <c r="FS65" s="38"/>
      <c r="FT65" s="38"/>
      <c r="FU65" s="38"/>
      <c r="FV65" s="38"/>
      <c r="FW65" s="38"/>
      <c r="FX65" s="38"/>
      <c r="FY65" s="38"/>
      <c r="FZ65" s="38"/>
      <c r="GA65" s="38"/>
      <c r="GB65" s="38"/>
      <c r="GC65" s="38"/>
      <c r="GD65" s="38"/>
      <c r="GE65" s="38"/>
      <c r="GF65" s="38"/>
      <c r="GG65" s="38"/>
      <c r="GH65" s="38"/>
      <c r="GI65" s="38"/>
      <c r="GJ65" s="38"/>
      <c r="GK65" s="38"/>
      <c r="GL65" s="38"/>
      <c r="GM65" s="38"/>
      <c r="GN65" s="38"/>
      <c r="GO65" s="38"/>
      <c r="GP65" s="38"/>
      <c r="GQ65" s="38"/>
      <c r="GR65" s="38"/>
      <c r="GS65" s="38"/>
      <c r="GT65" s="38"/>
      <c r="GU65" s="38"/>
      <c r="GV65" s="38"/>
      <c r="GW65" s="38"/>
      <c r="GX65" s="38"/>
      <c r="GY65" s="38"/>
      <c r="GZ65" s="38"/>
      <c r="HA65" s="38"/>
      <c r="HB65" s="38"/>
      <c r="HC65" s="38"/>
      <c r="HD65" s="38"/>
      <c r="HE65" s="38"/>
      <c r="HF65" s="38"/>
      <c r="HG65" s="38"/>
      <c r="HH65" s="38"/>
      <c r="HI65" s="38"/>
      <c r="HJ65" s="38"/>
      <c r="HK65" s="38"/>
      <c r="HL65" s="38"/>
      <c r="HM65" s="38"/>
      <c r="HN65" s="38"/>
      <c r="HO65" s="38"/>
      <c r="HP65" s="38"/>
      <c r="HQ65" s="38"/>
      <c r="HR65" s="38"/>
      <c r="HS65" s="38"/>
      <c r="HT65" s="38"/>
      <c r="HU65" s="38"/>
      <c r="HV65" s="38"/>
      <c r="HW65" s="38"/>
      <c r="HX65" s="38"/>
      <c r="HY65" s="38"/>
      <c r="HZ65" s="38"/>
      <c r="IA65" s="38"/>
      <c r="IB65" s="38"/>
      <c r="IC65" s="38"/>
      <c r="ID65" s="38"/>
      <c r="IE65" s="38"/>
      <c r="IF65" s="38"/>
      <c r="IG65" s="38"/>
      <c r="IH65" s="38"/>
      <c r="II65" s="38"/>
      <c r="IJ65" s="38"/>
      <c r="IK65" s="38"/>
      <c r="IL65" s="38"/>
      <c r="IM65" s="38"/>
      <c r="IN65" s="38"/>
      <c r="IO65" s="38"/>
      <c r="IP65" s="38"/>
      <c r="IQ65" s="38"/>
      <c r="IR65" s="38"/>
      <c r="IS65" s="38"/>
      <c r="IT65" s="38"/>
      <c r="IU65" s="38"/>
      <c r="IV65" s="38"/>
      <c r="IW65" s="38"/>
      <c r="IX65" s="38"/>
      <c r="IY65" s="38"/>
      <c r="IZ65" s="38"/>
      <c r="JA65" s="38"/>
      <c r="JB65" s="38"/>
      <c r="JC65" s="38"/>
      <c r="JD65" s="38"/>
      <c r="JE65" s="38"/>
      <c r="JF65" s="38"/>
      <c r="JG65" s="38"/>
      <c r="JH65" s="38"/>
      <c r="JI65" s="38"/>
      <c r="JJ65" s="38"/>
      <c r="JK65" s="38"/>
      <c r="JL65" s="38"/>
      <c r="JM65" s="38"/>
      <c r="JN65" s="38"/>
      <c r="JO65" s="38"/>
      <c r="JP65" s="38"/>
      <c r="JQ65" s="38"/>
      <c r="JR65" s="38"/>
      <c r="JS65" s="38"/>
      <c r="JT65" s="38"/>
      <c r="JU65" s="38"/>
      <c r="JV65" s="38"/>
      <c r="JW65" s="38"/>
      <c r="JX65" s="38"/>
      <c r="JY65" s="38"/>
      <c r="JZ65" s="38"/>
      <c r="KA65" s="38"/>
      <c r="KB65" s="38"/>
      <c r="KC65" s="38"/>
      <c r="KD65" s="38"/>
      <c r="KE65" s="38"/>
      <c r="KF65" s="38"/>
      <c r="KG65" s="38"/>
      <c r="KH65" s="38"/>
      <c r="KI65" s="38"/>
      <c r="KJ65" s="38"/>
      <c r="KK65" s="38"/>
      <c r="KL65" s="38"/>
      <c r="KM65" s="38"/>
      <c r="KN65" s="38"/>
      <c r="KO65" s="38"/>
      <c r="KP65" s="38"/>
      <c r="KQ65" s="38"/>
      <c r="KR65" s="38"/>
      <c r="KS65" s="38"/>
      <c r="KT65" s="38"/>
      <c r="KU65" s="38"/>
      <c r="KV65" s="38"/>
      <c r="KW65" s="38"/>
      <c r="KX65" s="38"/>
      <c r="KY65" s="38"/>
      <c r="KZ65" s="38"/>
      <c r="LA65" s="38"/>
      <c r="LB65" s="38"/>
      <c r="LC65" s="38"/>
      <c r="LD65" s="38"/>
      <c r="LE65" s="38"/>
      <c r="LF65" s="38"/>
      <c r="LG65" s="38"/>
      <c r="LH65" s="38"/>
      <c r="LI65" s="38"/>
      <c r="LJ65" s="38"/>
      <c r="LK65" s="38"/>
      <c r="LL65" s="38"/>
      <c r="LM65" s="38"/>
      <c r="LN65" s="38"/>
      <c r="LO65" s="38"/>
      <c r="LP65" s="38"/>
      <c r="LQ65" s="38"/>
      <c r="LR65" s="38"/>
      <c r="LS65" s="38"/>
      <c r="LT65" s="38"/>
      <c r="LU65" s="38"/>
      <c r="LV65" s="38"/>
      <c r="LW65" s="38"/>
      <c r="LX65" s="38"/>
      <c r="LY65" s="38"/>
      <c r="LZ65" s="38"/>
      <c r="MA65" s="38"/>
      <c r="MB65" s="38"/>
      <c r="MC65" s="38"/>
      <c r="MD65" s="38"/>
      <c r="ME65" s="38"/>
      <c r="MF65" s="38"/>
      <c r="MG65" s="38"/>
      <c r="MH65" s="38"/>
      <c r="MI65" s="38"/>
      <c r="MJ65" s="38"/>
      <c r="MK65" s="38"/>
      <c r="ML65" s="38"/>
      <c r="MM65" s="38"/>
      <c r="MN65" s="38"/>
      <c r="MO65" s="38"/>
      <c r="MP65" s="38"/>
      <c r="MQ65" s="38"/>
      <c r="MR65" s="38"/>
      <c r="MS65" s="38"/>
      <c r="MT65" s="38"/>
      <c r="MU65" s="38"/>
      <c r="MV65" s="38"/>
      <c r="MW65" s="38"/>
      <c r="MX65" s="38"/>
      <c r="MY65" s="38"/>
      <c r="MZ65" s="38"/>
      <c r="NA65" s="38"/>
      <c r="NB65" s="38"/>
      <c r="NC65" s="38"/>
      <c r="ND65" s="38"/>
      <c r="NE65" s="38"/>
      <c r="NF65" s="38"/>
      <c r="NG65" s="38"/>
      <c r="NH65" s="38"/>
      <c r="NI65" s="38"/>
      <c r="NJ65" s="38"/>
      <c r="NK65" s="38"/>
      <c r="NL65" s="38"/>
      <c r="NM65" s="38"/>
      <c r="NN65" s="38"/>
      <c r="NO65" s="38"/>
      <c r="NP65" s="38"/>
      <c r="NQ65" s="38"/>
      <c r="NR65" s="38"/>
      <c r="NS65" s="38"/>
      <c r="NT65" s="38"/>
      <c r="NU65" s="38"/>
      <c r="NV65" s="38"/>
      <c r="NW65" s="38"/>
      <c r="NX65" s="38"/>
      <c r="NY65" s="38"/>
      <c r="NZ65" s="38"/>
      <c r="OA65" s="38"/>
      <c r="OB65" s="38"/>
      <c r="OC65" s="38"/>
      <c r="OD65" s="38"/>
      <c r="OE65" s="38"/>
      <c r="OF65" s="38"/>
      <c r="OG65" s="38"/>
      <c r="OH65" s="38"/>
      <c r="OI65" s="38"/>
      <c r="OJ65" s="38"/>
      <c r="OK65" s="38"/>
      <c r="OL65" s="38"/>
      <c r="OM65" s="38"/>
      <c r="ON65" s="38"/>
      <c r="OO65" s="38"/>
      <c r="OP65" s="38"/>
      <c r="OQ65" s="38"/>
      <c r="OR65" s="38"/>
      <c r="OS65" s="38"/>
      <c r="OT65" s="38"/>
      <c r="OU65" s="38"/>
      <c r="OV65" s="38"/>
      <c r="OW65" s="38"/>
      <c r="OX65" s="38"/>
      <c r="OY65" s="38"/>
      <c r="OZ65" s="38"/>
      <c r="PA65" s="38"/>
      <c r="PB65" s="38"/>
      <c r="PC65" s="38"/>
      <c r="PD65" s="38"/>
      <c r="PE65" s="38"/>
      <c r="PF65" s="38"/>
      <c r="PG65" s="38"/>
      <c r="PH65" s="38"/>
      <c r="PI65" s="38"/>
      <c r="PJ65" s="38"/>
      <c r="PK65" s="38"/>
      <c r="PL65" s="38"/>
      <c r="PM65" s="38"/>
      <c r="PN65" s="38"/>
      <c r="PO65" s="38"/>
      <c r="PP65" s="38"/>
      <c r="PQ65" s="38"/>
      <c r="PR65" s="38"/>
      <c r="PS65" s="38"/>
      <c r="PT65" s="38"/>
      <c r="PU65" s="38"/>
      <c r="PV65" s="38"/>
      <c r="PW65" s="38"/>
      <c r="PX65" s="38"/>
      <c r="PY65" s="38"/>
      <c r="PZ65" s="38"/>
      <c r="QA65" s="38"/>
      <c r="QB65" s="38"/>
      <c r="QC65" s="38"/>
      <c r="QD65" s="38"/>
      <c r="QE65" s="38"/>
      <c r="QF65" s="38"/>
      <c r="QG65" s="38"/>
      <c r="QH65" s="38"/>
      <c r="QI65" s="38"/>
      <c r="QJ65" s="38"/>
      <c r="QK65" s="38"/>
      <c r="QL65" s="38"/>
      <c r="QM65" s="38"/>
      <c r="QN65" s="38"/>
      <c r="QO65" s="38"/>
      <c r="QP65" s="38"/>
      <c r="QQ65" s="38"/>
      <c r="QR65" s="38"/>
      <c r="QS65" s="38"/>
      <c r="QT65" s="38"/>
      <c r="QU65" s="38"/>
      <c r="QV65" s="38"/>
      <c r="QW65" s="38"/>
      <c r="QX65" s="38"/>
      <c r="QY65" s="38"/>
      <c r="QZ65" s="38"/>
      <c r="RA65" s="38"/>
      <c r="RB65" s="38"/>
      <c r="RC65" s="38"/>
      <c r="RD65" s="38"/>
      <c r="RE65" s="38"/>
      <c r="RF65" s="38"/>
      <c r="RG65" s="38"/>
      <c r="RH65" s="38"/>
      <c r="RI65" s="38"/>
      <c r="RJ65" s="38"/>
      <c r="RK65" s="38"/>
      <c r="RL65" s="38"/>
      <c r="RM65" s="38"/>
      <c r="RN65" s="38"/>
      <c r="RO65" s="38"/>
      <c r="RP65" s="38"/>
      <c r="RQ65" s="38"/>
      <c r="RR65" s="38"/>
      <c r="RS65" s="38"/>
      <c r="RT65" s="38"/>
      <c r="RU65" s="38"/>
      <c r="RV65" s="38"/>
      <c r="RW65" s="38"/>
      <c r="RX65" s="38"/>
      <c r="RY65" s="38"/>
      <c r="RZ65" s="38"/>
      <c r="SA65" s="38"/>
      <c r="SB65" s="38"/>
      <c r="SC65" s="38"/>
      <c r="SD65" s="38"/>
      <c r="SE65" s="38"/>
      <c r="SF65" s="38"/>
      <c r="SG65" s="38"/>
      <c r="SH65" s="38"/>
      <c r="SI65" s="38"/>
      <c r="SJ65" s="38"/>
      <c r="SK65" s="38"/>
      <c r="SL65" s="38"/>
      <c r="SM65" s="38"/>
      <c r="SN65" s="38"/>
      <c r="SO65" s="38"/>
      <c r="SP65" s="38"/>
      <c r="SQ65" s="38"/>
      <c r="SR65" s="38"/>
      <c r="SS65" s="38"/>
      <c r="ST65" s="38"/>
      <c r="SU65" s="38"/>
      <c r="SV65" s="38"/>
      <c r="SW65" s="38"/>
      <c r="SX65" s="38"/>
      <c r="SY65" s="38"/>
      <c r="SZ65" s="38"/>
      <c r="TA65" s="38"/>
      <c r="TB65" s="38"/>
      <c r="TC65" s="38"/>
      <c r="TD65" s="38"/>
      <c r="TE65" s="38"/>
      <c r="TF65" s="38"/>
      <c r="TG65" s="38"/>
      <c r="TH65" s="38"/>
      <c r="TI65" s="38"/>
      <c r="TJ65" s="38"/>
      <c r="TK65" s="38"/>
      <c r="TL65" s="38"/>
      <c r="TM65" s="38"/>
      <c r="TN65" s="38"/>
      <c r="TO65" s="38"/>
      <c r="TP65" s="38"/>
      <c r="TQ65" s="38"/>
      <c r="TR65" s="38"/>
      <c r="TS65" s="38"/>
      <c r="TT65" s="38"/>
      <c r="TU65" s="38"/>
      <c r="TV65" s="38"/>
      <c r="TW65" s="38"/>
      <c r="TX65" s="38"/>
      <c r="TY65" s="38"/>
      <c r="TZ65" s="38"/>
      <c r="UA65" s="38"/>
      <c r="UB65" s="38"/>
      <c r="UC65" s="38"/>
      <c r="UD65" s="38"/>
      <c r="UE65" s="38"/>
      <c r="UF65" s="38"/>
      <c r="UG65" s="38"/>
      <c r="UH65" s="38"/>
      <c r="UI65" s="38"/>
      <c r="UJ65" s="38"/>
      <c r="UK65" s="38"/>
      <c r="UL65" s="38"/>
      <c r="UM65" s="38"/>
      <c r="UN65" s="38"/>
      <c r="UO65" s="38"/>
      <c r="UP65" s="38"/>
      <c r="UQ65" s="38"/>
      <c r="UR65" s="38"/>
      <c r="US65" s="38"/>
      <c r="UT65" s="38"/>
      <c r="UU65" s="38"/>
      <c r="UV65" s="38"/>
      <c r="UW65" s="38"/>
      <c r="UX65" s="38"/>
      <c r="UY65" s="38"/>
      <c r="UZ65" s="38"/>
      <c r="VA65" s="38"/>
      <c r="VB65" s="38"/>
      <c r="VC65" s="38"/>
      <c r="VD65" s="38"/>
      <c r="VE65" s="38"/>
      <c r="VF65" s="38"/>
      <c r="VG65" s="38"/>
      <c r="VH65" s="38"/>
      <c r="VI65" s="38"/>
      <c r="VJ65" s="38"/>
      <c r="VK65" s="38"/>
      <c r="VL65" s="38"/>
      <c r="VM65" s="38"/>
      <c r="VN65" s="38"/>
      <c r="VO65" s="38"/>
      <c r="VP65" s="38"/>
      <c r="VQ65" s="38"/>
      <c r="VR65" s="38"/>
      <c r="VS65" s="38"/>
      <c r="VT65" s="38"/>
      <c r="VU65" s="38"/>
      <c r="VV65" s="38"/>
      <c r="VW65" s="38"/>
      <c r="VX65" s="38"/>
      <c r="VY65" s="38"/>
      <c r="VZ65" s="38"/>
      <c r="WA65" s="38"/>
      <c r="WB65" s="38"/>
      <c r="WC65" s="38"/>
      <c r="WD65" s="38"/>
      <c r="WE65" s="38"/>
      <c r="WF65" s="38"/>
      <c r="WG65" s="38"/>
      <c r="WH65" s="38"/>
      <c r="WI65" s="38"/>
      <c r="WJ65" s="38"/>
      <c r="WK65" s="38"/>
      <c r="WL65" s="38"/>
      <c r="WM65" s="38"/>
      <c r="WN65" s="38"/>
      <c r="WO65" s="38"/>
      <c r="WP65" s="38"/>
      <c r="WQ65" s="38"/>
      <c r="WR65" s="38"/>
      <c r="WS65" s="38"/>
      <c r="WT65" s="38"/>
      <c r="WU65" s="38"/>
      <c r="WV65" s="38"/>
      <c r="WW65" s="38"/>
      <c r="WX65" s="38"/>
      <c r="WY65" s="38"/>
      <c r="WZ65" s="38"/>
      <c r="XA65" s="38"/>
      <c r="XB65" s="38"/>
      <c r="XC65" s="38"/>
      <c r="XD65" s="38"/>
      <c r="XE65" s="38"/>
      <c r="XF65" s="38"/>
      <c r="XG65" s="38"/>
      <c r="XH65" s="38"/>
      <c r="XI65" s="38"/>
      <c r="XJ65" s="38"/>
      <c r="XK65" s="38"/>
      <c r="XL65" s="38"/>
      <c r="XM65" s="38"/>
      <c r="XN65" s="38"/>
      <c r="XO65" s="38"/>
      <c r="XP65" s="38"/>
      <c r="XQ65" s="38"/>
      <c r="XR65" s="38"/>
      <c r="XS65" s="38"/>
      <c r="XT65" s="38"/>
      <c r="XU65" s="38"/>
      <c r="XV65" s="38"/>
      <c r="XW65" s="38"/>
      <c r="XX65" s="38"/>
      <c r="XY65" s="38"/>
      <c r="XZ65" s="38"/>
      <c r="YA65" s="38"/>
      <c r="YB65" s="38"/>
      <c r="YC65" s="38"/>
      <c r="YD65" s="38"/>
      <c r="YE65" s="38"/>
      <c r="YF65" s="38"/>
      <c r="YG65" s="38"/>
      <c r="YH65" s="38"/>
      <c r="YI65" s="38"/>
      <c r="YJ65" s="38"/>
      <c r="YK65" s="38"/>
      <c r="YL65" s="38"/>
      <c r="YM65" s="38"/>
      <c r="YN65" s="38"/>
      <c r="YO65" s="38"/>
      <c r="YP65" s="38"/>
      <c r="YQ65" s="38"/>
      <c r="YR65" s="38"/>
      <c r="YS65" s="38"/>
      <c r="YT65" s="38"/>
      <c r="YU65" s="38"/>
      <c r="YV65" s="38"/>
      <c r="YW65" s="38"/>
      <c r="YX65" s="38"/>
      <c r="YY65" s="38"/>
      <c r="YZ65" s="38"/>
      <c r="ZA65" s="38"/>
      <c r="ZB65" s="38"/>
      <c r="ZC65" s="38"/>
      <c r="ZD65" s="38"/>
      <c r="ZE65" s="38"/>
      <c r="ZF65" s="38"/>
      <c r="ZG65" s="38"/>
      <c r="ZH65" s="38"/>
      <c r="ZI65" s="38"/>
      <c r="ZJ65" s="38"/>
      <c r="ZK65" s="38"/>
      <c r="ZL65" s="38"/>
      <c r="ZM65" s="38"/>
      <c r="ZN65" s="38"/>
      <c r="ZO65" s="38"/>
      <c r="ZP65" s="38"/>
      <c r="ZQ65" s="38"/>
      <c r="ZR65" s="38"/>
      <c r="ZS65" s="38"/>
      <c r="ZT65" s="38"/>
      <c r="ZU65" s="38"/>
      <c r="ZV65" s="38"/>
      <c r="ZW65" s="38"/>
      <c r="ZX65" s="38"/>
      <c r="ZY65" s="38"/>
      <c r="ZZ65" s="38"/>
      <c r="AAA65" s="38"/>
      <c r="AAB65" s="38"/>
      <c r="AAC65" s="38"/>
      <c r="AAD65" s="38"/>
      <c r="AAE65" s="38"/>
      <c r="AAF65" s="38"/>
      <c r="AAG65" s="38"/>
      <c r="AAH65" s="38"/>
      <c r="AAI65" s="38"/>
      <c r="AAJ65" s="38"/>
      <c r="AAK65" s="38"/>
      <c r="AAL65" s="38"/>
      <c r="AAM65" s="38"/>
      <c r="AAN65" s="38"/>
      <c r="AAO65" s="38"/>
      <c r="AAP65" s="38"/>
      <c r="AAQ65" s="38"/>
      <c r="AAR65" s="38"/>
      <c r="AAS65" s="38"/>
      <c r="AAT65" s="38"/>
      <c r="AAU65" s="38"/>
      <c r="AAV65" s="38"/>
      <c r="AAW65" s="38"/>
      <c r="AAX65" s="38"/>
      <c r="AAY65" s="38"/>
      <c r="AAZ65" s="38"/>
      <c r="ABA65" s="38"/>
      <c r="ABB65" s="38"/>
      <c r="ABC65" s="38"/>
      <c r="ABD65" s="38"/>
      <c r="ABE65" s="38"/>
      <c r="ABF65" s="38"/>
      <c r="ABG65" s="38"/>
      <c r="ABH65" s="38"/>
      <c r="ABI65" s="38"/>
      <c r="ABJ65" s="38"/>
      <c r="ABK65" s="38"/>
      <c r="ABL65" s="38"/>
      <c r="ABM65" s="38"/>
      <c r="ABN65" s="38"/>
      <c r="ABO65" s="38"/>
      <c r="ABP65" s="38"/>
      <c r="ABQ65" s="38"/>
      <c r="ABR65" s="38"/>
      <c r="ABS65" s="38"/>
      <c r="ABT65" s="38"/>
      <c r="ABU65" s="38"/>
      <c r="ABV65" s="38"/>
      <c r="ABW65" s="38"/>
      <c r="ABX65" s="38"/>
      <c r="ABY65" s="38"/>
      <c r="ABZ65" s="38"/>
      <c r="ACA65" s="38"/>
      <c r="ACB65" s="38"/>
      <c r="ACC65" s="38"/>
      <c r="ACD65" s="38"/>
      <c r="ACE65" s="38"/>
      <c r="ACF65" s="38"/>
      <c r="ACG65" s="38"/>
      <c r="ACH65" s="38"/>
      <c r="ACI65" s="38"/>
      <c r="ACJ65" s="38"/>
      <c r="ACK65" s="38"/>
      <c r="ACL65" s="38"/>
      <c r="ACM65" s="38"/>
      <c r="ACN65" s="38"/>
      <c r="ACO65" s="38"/>
      <c r="ACP65" s="38"/>
      <c r="ACQ65" s="38"/>
      <c r="ACR65" s="38"/>
      <c r="ACS65" s="38"/>
      <c r="ACT65" s="38"/>
      <c r="ACU65" s="38"/>
      <c r="ACV65" s="38"/>
      <c r="ACW65" s="38"/>
      <c r="ACX65" s="38"/>
      <c r="ACY65" s="38"/>
      <c r="ACZ65" s="38"/>
      <c r="ADA65" s="38"/>
      <c r="ADB65" s="38"/>
      <c r="ADC65" s="38"/>
      <c r="ADD65" s="38"/>
      <c r="ADE65" s="38"/>
      <c r="ADF65" s="38"/>
      <c r="ADG65" s="38"/>
      <c r="ADH65" s="38"/>
      <c r="ADI65" s="38"/>
      <c r="ADJ65" s="38"/>
      <c r="ADK65" s="38"/>
      <c r="ADL65" s="38"/>
      <c r="ADM65" s="38"/>
      <c r="ADN65" s="38"/>
      <c r="ADO65" s="38"/>
      <c r="ADP65" s="38"/>
      <c r="ADQ65" s="38"/>
      <c r="ADR65" s="38"/>
      <c r="ADS65" s="38"/>
      <c r="ADT65" s="38"/>
      <c r="ADU65" s="38"/>
      <c r="ADV65" s="38"/>
      <c r="ADW65" s="38"/>
      <c r="ADX65" s="38"/>
      <c r="ADY65" s="38"/>
      <c r="ADZ65" s="38"/>
      <c r="AEA65" s="38"/>
      <c r="AEB65" s="38"/>
      <c r="AEC65" s="38"/>
      <c r="AED65" s="38"/>
      <c r="AEE65" s="38"/>
      <c r="AEF65" s="38"/>
      <c r="AEG65" s="38"/>
      <c r="AEH65" s="38"/>
      <c r="AEI65" s="38"/>
      <c r="AEJ65" s="38"/>
      <c r="AEK65" s="38"/>
      <c r="AEL65" s="38"/>
      <c r="AEM65" s="38"/>
      <c r="AEN65" s="38"/>
      <c r="AEO65" s="38"/>
      <c r="AEP65" s="38"/>
      <c r="AEQ65" s="38"/>
      <c r="AER65" s="38"/>
      <c r="AES65" s="38"/>
      <c r="AET65" s="38"/>
      <c r="AEU65" s="38"/>
      <c r="AEV65" s="38"/>
      <c r="AEW65" s="38"/>
      <c r="AEX65" s="38"/>
      <c r="AEY65" s="38"/>
      <c r="AEZ65" s="38"/>
      <c r="AFA65" s="38"/>
      <c r="AFB65" s="38"/>
      <c r="AFC65" s="38"/>
      <c r="AFD65" s="38"/>
      <c r="AFE65" s="38"/>
      <c r="AFF65" s="38"/>
      <c r="AFG65" s="38"/>
      <c r="AFH65" s="38"/>
      <c r="AFI65" s="38"/>
      <c r="AFJ65" s="38"/>
      <c r="AFK65" s="38"/>
      <c r="AFL65" s="38"/>
      <c r="AFM65" s="38"/>
      <c r="AFN65" s="38"/>
      <c r="AFO65" s="38"/>
      <c r="AFP65" s="38"/>
      <c r="AFQ65" s="38"/>
      <c r="AFR65" s="38"/>
      <c r="AFS65" s="38"/>
      <c r="AFT65" s="38"/>
      <c r="AFU65" s="38"/>
      <c r="AFV65" s="38"/>
      <c r="AFW65" s="38"/>
      <c r="AFX65" s="38"/>
      <c r="AFY65" s="38"/>
      <c r="AFZ65" s="38"/>
      <c r="AGA65" s="38"/>
      <c r="AGB65" s="38"/>
      <c r="AGC65" s="38"/>
      <c r="AGD65" s="38"/>
      <c r="AGE65" s="38"/>
      <c r="AGF65" s="38"/>
      <c r="AGG65" s="38"/>
      <c r="AGH65" s="38"/>
      <c r="AGI65" s="38"/>
      <c r="AGJ65" s="38"/>
      <c r="AGK65" s="38"/>
      <c r="AGL65" s="38"/>
      <c r="AGM65" s="38"/>
      <c r="AGN65" s="38"/>
      <c r="AGO65" s="38"/>
      <c r="AGP65" s="38"/>
      <c r="AGQ65" s="38"/>
      <c r="AGR65" s="38"/>
      <c r="AGS65" s="38"/>
      <c r="AGT65" s="38"/>
      <c r="AGU65" s="38"/>
      <c r="AGV65" s="38"/>
      <c r="AGW65" s="38"/>
      <c r="AGX65" s="38"/>
      <c r="AGY65" s="38"/>
      <c r="AGZ65" s="38"/>
      <c r="AHA65" s="38"/>
      <c r="AHB65" s="38"/>
      <c r="AHC65" s="38"/>
      <c r="AHD65" s="38"/>
      <c r="AHE65" s="38"/>
      <c r="AHF65" s="38"/>
      <c r="AHG65" s="38"/>
      <c r="AHH65" s="38"/>
      <c r="AHI65" s="38"/>
      <c r="AHJ65" s="38"/>
      <c r="AHK65" s="38"/>
      <c r="AHL65" s="38"/>
      <c r="AHM65" s="38"/>
      <c r="AHN65" s="38"/>
      <c r="AHO65" s="38"/>
      <c r="AHP65" s="38"/>
      <c r="AHQ65" s="38"/>
      <c r="AHR65" s="38"/>
      <c r="AHS65" s="38"/>
      <c r="AHT65" s="38"/>
      <c r="AHU65" s="38"/>
      <c r="AHV65" s="38"/>
    </row>
    <row r="66" spans="1:906" s="27" customFormat="1" x14ac:dyDescent="0.35">
      <c r="A66" s="83">
        <v>61</v>
      </c>
      <c r="B66" s="108" t="s">
        <v>106</v>
      </c>
      <c r="C66" s="109" t="s">
        <v>103</v>
      </c>
      <c r="D66" s="109" t="s">
        <v>59</v>
      </c>
      <c r="E66" s="125">
        <v>11.1</v>
      </c>
      <c r="F66" s="125">
        <v>9.9499999999999993</v>
      </c>
      <c r="G66" s="125"/>
      <c r="H66" s="125"/>
      <c r="I66" s="37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  <c r="SD66" s="38"/>
      <c r="SE66" s="38"/>
      <c r="SF66" s="38"/>
      <c r="SG66" s="38"/>
      <c r="SH66" s="38"/>
      <c r="SI66" s="38"/>
      <c r="SJ66" s="38"/>
      <c r="SK66" s="38"/>
      <c r="SL66" s="38"/>
      <c r="SM66" s="38"/>
      <c r="SN66" s="38"/>
      <c r="SO66" s="38"/>
      <c r="SP66" s="38"/>
      <c r="SQ66" s="38"/>
      <c r="SR66" s="38"/>
      <c r="SS66" s="38"/>
      <c r="ST66" s="38"/>
      <c r="SU66" s="38"/>
      <c r="SV66" s="38"/>
      <c r="SW66" s="38"/>
      <c r="SX66" s="38"/>
      <c r="SY66" s="38"/>
      <c r="SZ66" s="38"/>
      <c r="TA66" s="38"/>
      <c r="TB66" s="38"/>
      <c r="TC66" s="38"/>
      <c r="TD66" s="38"/>
      <c r="TE66" s="38"/>
      <c r="TF66" s="38"/>
      <c r="TG66" s="38"/>
      <c r="TH66" s="38"/>
      <c r="TI66" s="38"/>
      <c r="TJ66" s="38"/>
      <c r="TK66" s="38"/>
      <c r="TL66" s="38"/>
      <c r="TM66" s="38"/>
      <c r="TN66" s="38"/>
      <c r="TO66" s="38"/>
      <c r="TP66" s="38"/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  <c r="VS66" s="38"/>
      <c r="VT66" s="38"/>
      <c r="VU66" s="38"/>
      <c r="VV66" s="38"/>
      <c r="VW66" s="38"/>
      <c r="VX66" s="38"/>
      <c r="VY66" s="38"/>
      <c r="VZ66" s="38"/>
      <c r="WA66" s="38"/>
      <c r="WB66" s="38"/>
      <c r="WC66" s="38"/>
      <c r="WD66" s="38"/>
      <c r="WE66" s="38"/>
      <c r="WF66" s="38"/>
      <c r="WG66" s="38"/>
      <c r="WH66" s="38"/>
      <c r="WI66" s="38"/>
      <c r="WJ66" s="38"/>
      <c r="WK66" s="38"/>
      <c r="WL66" s="38"/>
      <c r="WM66" s="38"/>
      <c r="WN66" s="38"/>
      <c r="WO66" s="38"/>
      <c r="WP66" s="38"/>
      <c r="WQ66" s="38"/>
      <c r="WR66" s="38"/>
      <c r="WS66" s="38"/>
      <c r="WT66" s="38"/>
      <c r="WU66" s="38"/>
      <c r="WV66" s="38"/>
      <c r="WW66" s="38"/>
      <c r="WX66" s="38"/>
      <c r="WY66" s="38"/>
      <c r="WZ66" s="38"/>
      <c r="XA66" s="38"/>
      <c r="XB66" s="38"/>
      <c r="XC66" s="38"/>
      <c r="XD66" s="38"/>
      <c r="XE66" s="38"/>
      <c r="XF66" s="38"/>
      <c r="XG66" s="38"/>
      <c r="XH66" s="38"/>
      <c r="XI66" s="38"/>
      <c r="XJ66" s="38"/>
      <c r="XK66" s="38"/>
      <c r="XL66" s="38"/>
      <c r="XM66" s="38"/>
      <c r="XN66" s="38"/>
      <c r="XO66" s="38"/>
      <c r="XP66" s="38"/>
      <c r="XQ66" s="38"/>
      <c r="XR66" s="38"/>
      <c r="XS66" s="38"/>
      <c r="XT66" s="38"/>
      <c r="XU66" s="38"/>
      <c r="XV66" s="38"/>
      <c r="XW66" s="38"/>
      <c r="XX66" s="38"/>
      <c r="XY66" s="38"/>
      <c r="XZ66" s="38"/>
      <c r="YA66" s="38"/>
      <c r="YB66" s="38"/>
      <c r="YC66" s="38"/>
      <c r="YD66" s="38"/>
      <c r="YE66" s="38"/>
      <c r="YF66" s="38"/>
      <c r="YG66" s="38"/>
      <c r="YH66" s="38"/>
      <c r="YI66" s="38"/>
      <c r="YJ66" s="38"/>
      <c r="YK66" s="38"/>
      <c r="YL66" s="38"/>
      <c r="YM66" s="38"/>
      <c r="YN66" s="38"/>
      <c r="YO66" s="38"/>
      <c r="YP66" s="38"/>
      <c r="YQ66" s="38"/>
      <c r="YR66" s="38"/>
      <c r="YS66" s="38"/>
      <c r="YT66" s="38"/>
      <c r="YU66" s="38"/>
      <c r="YV66" s="38"/>
      <c r="YW66" s="38"/>
      <c r="YX66" s="38"/>
      <c r="YY66" s="38"/>
      <c r="YZ66" s="38"/>
      <c r="ZA66" s="38"/>
      <c r="ZB66" s="38"/>
      <c r="ZC66" s="38"/>
      <c r="ZD66" s="38"/>
      <c r="ZE66" s="38"/>
      <c r="ZF66" s="38"/>
      <c r="ZG66" s="38"/>
      <c r="ZH66" s="38"/>
      <c r="ZI66" s="38"/>
      <c r="ZJ66" s="38"/>
      <c r="ZK66" s="38"/>
      <c r="ZL66" s="38"/>
      <c r="ZM66" s="38"/>
      <c r="ZN66" s="38"/>
      <c r="ZO66" s="38"/>
      <c r="ZP66" s="38"/>
      <c r="ZQ66" s="38"/>
      <c r="ZR66" s="38"/>
      <c r="ZS66" s="38"/>
      <c r="ZT66" s="38"/>
      <c r="ZU66" s="38"/>
      <c r="ZV66" s="38"/>
      <c r="ZW66" s="38"/>
      <c r="ZX66" s="38"/>
      <c r="ZY66" s="38"/>
      <c r="ZZ66" s="38"/>
      <c r="AAA66" s="38"/>
      <c r="AAB66" s="38"/>
      <c r="AAC66" s="38"/>
      <c r="AAD66" s="38"/>
      <c r="AAE66" s="38"/>
      <c r="AAF66" s="38"/>
      <c r="AAG66" s="38"/>
      <c r="AAH66" s="38"/>
      <c r="AAI66" s="38"/>
      <c r="AAJ66" s="38"/>
      <c r="AAK66" s="38"/>
      <c r="AAL66" s="38"/>
      <c r="AAM66" s="38"/>
      <c r="AAN66" s="38"/>
      <c r="AAO66" s="38"/>
      <c r="AAP66" s="38"/>
      <c r="AAQ66" s="38"/>
      <c r="AAR66" s="38"/>
      <c r="AAS66" s="38"/>
      <c r="AAT66" s="38"/>
      <c r="AAU66" s="38"/>
      <c r="AAV66" s="38"/>
      <c r="AAW66" s="38"/>
      <c r="AAX66" s="38"/>
      <c r="AAY66" s="38"/>
      <c r="AAZ66" s="38"/>
      <c r="ABA66" s="38"/>
      <c r="ABB66" s="38"/>
      <c r="ABC66" s="38"/>
      <c r="ABD66" s="38"/>
      <c r="ABE66" s="38"/>
      <c r="ABF66" s="38"/>
      <c r="ABG66" s="38"/>
      <c r="ABH66" s="38"/>
      <c r="ABI66" s="38"/>
      <c r="ABJ66" s="38"/>
      <c r="ABK66" s="38"/>
      <c r="ABL66" s="38"/>
      <c r="ABM66" s="38"/>
      <c r="ABN66" s="38"/>
      <c r="ABO66" s="38"/>
      <c r="ABP66" s="38"/>
      <c r="ABQ66" s="38"/>
      <c r="ABR66" s="38"/>
      <c r="ABS66" s="38"/>
      <c r="ABT66" s="38"/>
      <c r="ABU66" s="38"/>
      <c r="ABV66" s="38"/>
      <c r="ABW66" s="38"/>
      <c r="ABX66" s="38"/>
      <c r="ABY66" s="38"/>
      <c r="ABZ66" s="38"/>
      <c r="ACA66" s="38"/>
      <c r="ACB66" s="38"/>
      <c r="ACC66" s="38"/>
      <c r="ACD66" s="38"/>
      <c r="ACE66" s="38"/>
      <c r="ACF66" s="38"/>
      <c r="ACG66" s="38"/>
      <c r="ACH66" s="38"/>
      <c r="ACI66" s="38"/>
      <c r="ACJ66" s="38"/>
      <c r="ACK66" s="38"/>
      <c r="ACL66" s="38"/>
      <c r="ACM66" s="38"/>
      <c r="ACN66" s="38"/>
      <c r="ACO66" s="38"/>
      <c r="ACP66" s="38"/>
      <c r="ACQ66" s="38"/>
      <c r="ACR66" s="38"/>
      <c r="ACS66" s="38"/>
      <c r="ACT66" s="38"/>
      <c r="ACU66" s="38"/>
      <c r="ACV66" s="38"/>
      <c r="ACW66" s="38"/>
      <c r="ACX66" s="38"/>
      <c r="ACY66" s="38"/>
      <c r="ACZ66" s="38"/>
      <c r="ADA66" s="38"/>
      <c r="ADB66" s="38"/>
      <c r="ADC66" s="38"/>
      <c r="ADD66" s="38"/>
      <c r="ADE66" s="38"/>
      <c r="ADF66" s="38"/>
      <c r="ADG66" s="38"/>
      <c r="ADH66" s="38"/>
      <c r="ADI66" s="38"/>
      <c r="ADJ66" s="38"/>
      <c r="ADK66" s="38"/>
      <c r="ADL66" s="38"/>
      <c r="ADM66" s="38"/>
      <c r="ADN66" s="38"/>
      <c r="ADO66" s="38"/>
      <c r="ADP66" s="38"/>
      <c r="ADQ66" s="38"/>
      <c r="ADR66" s="38"/>
      <c r="ADS66" s="38"/>
      <c r="ADT66" s="38"/>
      <c r="ADU66" s="38"/>
      <c r="ADV66" s="38"/>
      <c r="ADW66" s="38"/>
      <c r="ADX66" s="38"/>
      <c r="ADY66" s="38"/>
      <c r="ADZ66" s="38"/>
      <c r="AEA66" s="38"/>
      <c r="AEB66" s="38"/>
      <c r="AEC66" s="38"/>
      <c r="AED66" s="38"/>
      <c r="AEE66" s="38"/>
      <c r="AEF66" s="38"/>
      <c r="AEG66" s="38"/>
      <c r="AEH66" s="38"/>
      <c r="AEI66" s="38"/>
      <c r="AEJ66" s="38"/>
      <c r="AEK66" s="38"/>
      <c r="AEL66" s="38"/>
      <c r="AEM66" s="38"/>
      <c r="AEN66" s="38"/>
      <c r="AEO66" s="38"/>
      <c r="AEP66" s="38"/>
      <c r="AEQ66" s="38"/>
      <c r="AER66" s="38"/>
      <c r="AES66" s="38"/>
      <c r="AET66" s="38"/>
      <c r="AEU66" s="38"/>
      <c r="AEV66" s="38"/>
      <c r="AEW66" s="38"/>
      <c r="AEX66" s="38"/>
      <c r="AEY66" s="38"/>
      <c r="AEZ66" s="38"/>
      <c r="AFA66" s="38"/>
      <c r="AFB66" s="38"/>
      <c r="AFC66" s="38"/>
      <c r="AFD66" s="38"/>
      <c r="AFE66" s="38"/>
      <c r="AFF66" s="38"/>
      <c r="AFG66" s="38"/>
      <c r="AFH66" s="38"/>
      <c r="AFI66" s="38"/>
      <c r="AFJ66" s="38"/>
      <c r="AFK66" s="38"/>
      <c r="AFL66" s="38"/>
      <c r="AFM66" s="38"/>
      <c r="AFN66" s="38"/>
      <c r="AFO66" s="38"/>
      <c r="AFP66" s="38"/>
      <c r="AFQ66" s="38"/>
      <c r="AFR66" s="38"/>
      <c r="AFS66" s="38"/>
      <c r="AFT66" s="38"/>
      <c r="AFU66" s="38"/>
      <c r="AFV66" s="38"/>
      <c r="AFW66" s="38"/>
      <c r="AFX66" s="38"/>
      <c r="AFY66" s="38"/>
      <c r="AFZ66" s="38"/>
      <c r="AGA66" s="38"/>
      <c r="AGB66" s="38"/>
      <c r="AGC66" s="38"/>
      <c r="AGD66" s="38"/>
      <c r="AGE66" s="38"/>
      <c r="AGF66" s="38"/>
      <c r="AGG66" s="38"/>
      <c r="AGH66" s="38"/>
      <c r="AGI66" s="38"/>
      <c r="AGJ66" s="38"/>
      <c r="AGK66" s="38"/>
      <c r="AGL66" s="38"/>
      <c r="AGM66" s="38"/>
      <c r="AGN66" s="38"/>
      <c r="AGO66" s="38"/>
      <c r="AGP66" s="38"/>
      <c r="AGQ66" s="38"/>
      <c r="AGR66" s="38"/>
      <c r="AGS66" s="38"/>
      <c r="AGT66" s="38"/>
      <c r="AGU66" s="38"/>
      <c r="AGV66" s="38"/>
      <c r="AGW66" s="38"/>
      <c r="AGX66" s="38"/>
      <c r="AGY66" s="38"/>
      <c r="AGZ66" s="38"/>
      <c r="AHA66" s="38"/>
      <c r="AHB66" s="38"/>
      <c r="AHC66" s="38"/>
      <c r="AHD66" s="38"/>
      <c r="AHE66" s="38"/>
      <c r="AHF66" s="38"/>
      <c r="AHG66" s="38"/>
      <c r="AHH66" s="38"/>
      <c r="AHI66" s="38"/>
      <c r="AHJ66" s="38"/>
      <c r="AHK66" s="38"/>
      <c r="AHL66" s="38"/>
      <c r="AHM66" s="38"/>
      <c r="AHN66" s="38"/>
      <c r="AHO66" s="38"/>
      <c r="AHP66" s="38"/>
      <c r="AHQ66" s="38"/>
      <c r="AHR66" s="38"/>
      <c r="AHS66" s="38"/>
      <c r="AHT66" s="38"/>
      <c r="AHU66" s="38"/>
      <c r="AHV66" s="38"/>
    </row>
    <row r="67" spans="1:906" s="27" customFormat="1" x14ac:dyDescent="0.35">
      <c r="A67" s="83">
        <v>62</v>
      </c>
      <c r="B67" s="108" t="s">
        <v>107</v>
      </c>
      <c r="C67" s="109" t="s">
        <v>103</v>
      </c>
      <c r="D67" s="109" t="s">
        <v>59</v>
      </c>
      <c r="E67" s="125">
        <v>10.1</v>
      </c>
      <c r="F67" s="125">
        <v>8.9499999999999993</v>
      </c>
      <c r="G67" s="125"/>
      <c r="H67" s="125"/>
      <c r="I67" s="37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  <c r="SD67" s="38"/>
      <c r="SE67" s="38"/>
      <c r="SF67" s="38"/>
      <c r="SG67" s="38"/>
      <c r="SH67" s="38"/>
      <c r="SI67" s="38"/>
      <c r="SJ67" s="38"/>
      <c r="SK67" s="38"/>
      <c r="SL67" s="38"/>
      <c r="SM67" s="38"/>
      <c r="SN67" s="38"/>
      <c r="SO67" s="38"/>
      <c r="SP67" s="38"/>
      <c r="SQ67" s="38"/>
      <c r="SR67" s="38"/>
      <c r="SS67" s="38"/>
      <c r="ST67" s="38"/>
      <c r="SU67" s="38"/>
      <c r="SV67" s="38"/>
      <c r="SW67" s="38"/>
      <c r="SX67" s="38"/>
      <c r="SY67" s="38"/>
      <c r="SZ67" s="38"/>
      <c r="TA67" s="38"/>
      <c r="TB67" s="38"/>
      <c r="TC67" s="38"/>
      <c r="TD67" s="38"/>
      <c r="TE67" s="38"/>
      <c r="TF67" s="38"/>
      <c r="TG67" s="38"/>
      <c r="TH67" s="38"/>
      <c r="TI67" s="38"/>
      <c r="TJ67" s="38"/>
      <c r="TK67" s="38"/>
      <c r="TL67" s="38"/>
      <c r="TM67" s="38"/>
      <c r="TN67" s="38"/>
      <c r="TO67" s="38"/>
      <c r="TP67" s="38"/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/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/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  <c r="VS67" s="38"/>
      <c r="VT67" s="38"/>
      <c r="VU67" s="38"/>
      <c r="VV67" s="38"/>
      <c r="VW67" s="38"/>
      <c r="VX67" s="38"/>
      <c r="VY67" s="38"/>
      <c r="VZ67" s="38"/>
      <c r="WA67" s="38"/>
      <c r="WB67" s="38"/>
      <c r="WC67" s="38"/>
      <c r="WD67" s="38"/>
      <c r="WE67" s="38"/>
      <c r="WF67" s="38"/>
      <c r="WG67" s="38"/>
      <c r="WH67" s="38"/>
      <c r="WI67" s="38"/>
      <c r="WJ67" s="38"/>
      <c r="WK67" s="38"/>
      <c r="WL67" s="38"/>
      <c r="WM67" s="38"/>
      <c r="WN67" s="38"/>
      <c r="WO67" s="38"/>
      <c r="WP67" s="38"/>
      <c r="WQ67" s="38"/>
      <c r="WR67" s="38"/>
      <c r="WS67" s="38"/>
      <c r="WT67" s="38"/>
      <c r="WU67" s="38"/>
      <c r="WV67" s="38"/>
      <c r="WW67" s="38"/>
      <c r="WX67" s="38"/>
      <c r="WY67" s="38"/>
      <c r="WZ67" s="38"/>
      <c r="XA67" s="38"/>
      <c r="XB67" s="38"/>
      <c r="XC67" s="38"/>
      <c r="XD67" s="38"/>
      <c r="XE67" s="38"/>
      <c r="XF67" s="38"/>
      <c r="XG67" s="38"/>
      <c r="XH67" s="38"/>
      <c r="XI67" s="38"/>
      <c r="XJ67" s="38"/>
      <c r="XK67" s="38"/>
      <c r="XL67" s="38"/>
      <c r="XM67" s="38"/>
      <c r="XN67" s="38"/>
      <c r="XO67" s="38"/>
      <c r="XP67" s="38"/>
      <c r="XQ67" s="38"/>
      <c r="XR67" s="38"/>
      <c r="XS67" s="38"/>
      <c r="XT67" s="38"/>
      <c r="XU67" s="38"/>
      <c r="XV67" s="38"/>
      <c r="XW67" s="38"/>
      <c r="XX67" s="38"/>
      <c r="XY67" s="38"/>
      <c r="XZ67" s="38"/>
      <c r="YA67" s="38"/>
      <c r="YB67" s="38"/>
      <c r="YC67" s="38"/>
      <c r="YD67" s="38"/>
      <c r="YE67" s="38"/>
      <c r="YF67" s="38"/>
      <c r="YG67" s="38"/>
      <c r="YH67" s="38"/>
      <c r="YI67" s="38"/>
      <c r="YJ67" s="38"/>
      <c r="YK67" s="38"/>
      <c r="YL67" s="38"/>
      <c r="YM67" s="38"/>
      <c r="YN67" s="38"/>
      <c r="YO67" s="38"/>
      <c r="YP67" s="38"/>
      <c r="YQ67" s="38"/>
      <c r="YR67" s="38"/>
      <c r="YS67" s="38"/>
      <c r="YT67" s="38"/>
      <c r="YU67" s="38"/>
      <c r="YV67" s="38"/>
      <c r="YW67" s="38"/>
      <c r="YX67" s="38"/>
      <c r="YY67" s="38"/>
      <c r="YZ67" s="38"/>
      <c r="ZA67" s="38"/>
      <c r="ZB67" s="38"/>
      <c r="ZC67" s="38"/>
      <c r="ZD67" s="38"/>
      <c r="ZE67" s="38"/>
      <c r="ZF67" s="38"/>
      <c r="ZG67" s="38"/>
      <c r="ZH67" s="38"/>
      <c r="ZI67" s="38"/>
      <c r="ZJ67" s="38"/>
      <c r="ZK67" s="38"/>
      <c r="ZL67" s="38"/>
      <c r="ZM67" s="38"/>
      <c r="ZN67" s="38"/>
      <c r="ZO67" s="38"/>
      <c r="ZP67" s="38"/>
      <c r="ZQ67" s="38"/>
      <c r="ZR67" s="38"/>
      <c r="ZS67" s="38"/>
      <c r="ZT67" s="38"/>
      <c r="ZU67" s="38"/>
      <c r="ZV67" s="38"/>
      <c r="ZW67" s="38"/>
      <c r="ZX67" s="38"/>
      <c r="ZY67" s="38"/>
      <c r="ZZ67" s="38"/>
      <c r="AAA67" s="38"/>
      <c r="AAB67" s="38"/>
      <c r="AAC67" s="38"/>
      <c r="AAD67" s="38"/>
      <c r="AAE67" s="38"/>
      <c r="AAF67" s="38"/>
      <c r="AAG67" s="38"/>
      <c r="AAH67" s="38"/>
      <c r="AAI67" s="38"/>
      <c r="AAJ67" s="38"/>
      <c r="AAK67" s="38"/>
      <c r="AAL67" s="38"/>
      <c r="AAM67" s="38"/>
      <c r="AAN67" s="38"/>
      <c r="AAO67" s="38"/>
      <c r="AAP67" s="38"/>
      <c r="AAQ67" s="38"/>
      <c r="AAR67" s="38"/>
      <c r="AAS67" s="38"/>
      <c r="AAT67" s="38"/>
      <c r="AAU67" s="38"/>
      <c r="AAV67" s="38"/>
      <c r="AAW67" s="38"/>
      <c r="AAX67" s="38"/>
      <c r="AAY67" s="38"/>
      <c r="AAZ67" s="38"/>
      <c r="ABA67" s="38"/>
      <c r="ABB67" s="38"/>
      <c r="ABC67" s="38"/>
      <c r="ABD67" s="38"/>
      <c r="ABE67" s="38"/>
      <c r="ABF67" s="38"/>
      <c r="ABG67" s="38"/>
      <c r="ABH67" s="38"/>
      <c r="ABI67" s="38"/>
      <c r="ABJ67" s="38"/>
      <c r="ABK67" s="38"/>
      <c r="ABL67" s="38"/>
      <c r="ABM67" s="38"/>
      <c r="ABN67" s="38"/>
      <c r="ABO67" s="38"/>
      <c r="ABP67" s="38"/>
      <c r="ABQ67" s="38"/>
      <c r="ABR67" s="38"/>
      <c r="ABS67" s="38"/>
      <c r="ABT67" s="38"/>
      <c r="ABU67" s="38"/>
      <c r="ABV67" s="38"/>
      <c r="ABW67" s="38"/>
      <c r="ABX67" s="38"/>
      <c r="ABY67" s="38"/>
      <c r="ABZ67" s="38"/>
      <c r="ACA67" s="38"/>
      <c r="ACB67" s="38"/>
      <c r="ACC67" s="38"/>
      <c r="ACD67" s="38"/>
      <c r="ACE67" s="38"/>
      <c r="ACF67" s="38"/>
      <c r="ACG67" s="38"/>
      <c r="ACH67" s="38"/>
      <c r="ACI67" s="38"/>
      <c r="ACJ67" s="38"/>
      <c r="ACK67" s="38"/>
      <c r="ACL67" s="38"/>
      <c r="ACM67" s="38"/>
      <c r="ACN67" s="38"/>
      <c r="ACO67" s="38"/>
      <c r="ACP67" s="38"/>
      <c r="ACQ67" s="38"/>
      <c r="ACR67" s="38"/>
      <c r="ACS67" s="38"/>
      <c r="ACT67" s="38"/>
      <c r="ACU67" s="38"/>
      <c r="ACV67" s="38"/>
      <c r="ACW67" s="38"/>
      <c r="ACX67" s="38"/>
      <c r="ACY67" s="38"/>
      <c r="ACZ67" s="38"/>
      <c r="ADA67" s="38"/>
      <c r="ADB67" s="38"/>
      <c r="ADC67" s="38"/>
      <c r="ADD67" s="38"/>
      <c r="ADE67" s="38"/>
      <c r="ADF67" s="38"/>
      <c r="ADG67" s="38"/>
      <c r="ADH67" s="38"/>
      <c r="ADI67" s="38"/>
      <c r="ADJ67" s="38"/>
      <c r="ADK67" s="38"/>
      <c r="ADL67" s="38"/>
      <c r="ADM67" s="38"/>
      <c r="ADN67" s="38"/>
      <c r="ADO67" s="38"/>
      <c r="ADP67" s="38"/>
      <c r="ADQ67" s="38"/>
      <c r="ADR67" s="38"/>
      <c r="ADS67" s="38"/>
      <c r="ADT67" s="38"/>
      <c r="ADU67" s="38"/>
      <c r="ADV67" s="38"/>
      <c r="ADW67" s="38"/>
      <c r="ADX67" s="38"/>
      <c r="ADY67" s="38"/>
      <c r="ADZ67" s="38"/>
      <c r="AEA67" s="38"/>
      <c r="AEB67" s="38"/>
      <c r="AEC67" s="38"/>
      <c r="AED67" s="38"/>
      <c r="AEE67" s="38"/>
      <c r="AEF67" s="38"/>
      <c r="AEG67" s="38"/>
      <c r="AEH67" s="38"/>
      <c r="AEI67" s="38"/>
      <c r="AEJ67" s="38"/>
      <c r="AEK67" s="38"/>
      <c r="AEL67" s="38"/>
      <c r="AEM67" s="38"/>
      <c r="AEN67" s="38"/>
      <c r="AEO67" s="38"/>
      <c r="AEP67" s="38"/>
      <c r="AEQ67" s="38"/>
      <c r="AER67" s="38"/>
      <c r="AES67" s="38"/>
      <c r="AET67" s="38"/>
      <c r="AEU67" s="38"/>
      <c r="AEV67" s="38"/>
      <c r="AEW67" s="38"/>
      <c r="AEX67" s="38"/>
      <c r="AEY67" s="38"/>
      <c r="AEZ67" s="38"/>
      <c r="AFA67" s="38"/>
      <c r="AFB67" s="38"/>
      <c r="AFC67" s="38"/>
      <c r="AFD67" s="38"/>
      <c r="AFE67" s="38"/>
      <c r="AFF67" s="38"/>
      <c r="AFG67" s="38"/>
      <c r="AFH67" s="38"/>
      <c r="AFI67" s="38"/>
      <c r="AFJ67" s="38"/>
      <c r="AFK67" s="38"/>
      <c r="AFL67" s="38"/>
      <c r="AFM67" s="38"/>
      <c r="AFN67" s="38"/>
      <c r="AFO67" s="38"/>
      <c r="AFP67" s="38"/>
      <c r="AFQ67" s="38"/>
      <c r="AFR67" s="38"/>
      <c r="AFS67" s="38"/>
      <c r="AFT67" s="38"/>
      <c r="AFU67" s="38"/>
      <c r="AFV67" s="38"/>
      <c r="AFW67" s="38"/>
      <c r="AFX67" s="38"/>
      <c r="AFY67" s="38"/>
      <c r="AFZ67" s="38"/>
      <c r="AGA67" s="38"/>
      <c r="AGB67" s="38"/>
      <c r="AGC67" s="38"/>
      <c r="AGD67" s="38"/>
      <c r="AGE67" s="38"/>
      <c r="AGF67" s="38"/>
      <c r="AGG67" s="38"/>
      <c r="AGH67" s="38"/>
      <c r="AGI67" s="38"/>
      <c r="AGJ67" s="38"/>
      <c r="AGK67" s="38"/>
      <c r="AGL67" s="38"/>
      <c r="AGM67" s="38"/>
      <c r="AGN67" s="38"/>
      <c r="AGO67" s="38"/>
      <c r="AGP67" s="38"/>
      <c r="AGQ67" s="38"/>
      <c r="AGR67" s="38"/>
      <c r="AGS67" s="38"/>
      <c r="AGT67" s="38"/>
      <c r="AGU67" s="38"/>
      <c r="AGV67" s="38"/>
      <c r="AGW67" s="38"/>
      <c r="AGX67" s="38"/>
      <c r="AGY67" s="38"/>
      <c r="AGZ67" s="38"/>
      <c r="AHA67" s="38"/>
      <c r="AHB67" s="38"/>
      <c r="AHC67" s="38"/>
      <c r="AHD67" s="38"/>
      <c r="AHE67" s="38"/>
      <c r="AHF67" s="38"/>
      <c r="AHG67" s="38"/>
      <c r="AHH67" s="38"/>
      <c r="AHI67" s="38"/>
      <c r="AHJ67" s="38"/>
      <c r="AHK67" s="38"/>
      <c r="AHL67" s="38"/>
      <c r="AHM67" s="38"/>
      <c r="AHN67" s="38"/>
      <c r="AHO67" s="38"/>
      <c r="AHP67" s="38"/>
      <c r="AHQ67" s="38"/>
      <c r="AHR67" s="38"/>
      <c r="AHS67" s="38"/>
      <c r="AHT67" s="38"/>
      <c r="AHU67" s="38"/>
      <c r="AHV67" s="38"/>
    </row>
    <row r="68" spans="1:906" s="27" customFormat="1" x14ac:dyDescent="0.35">
      <c r="A68" s="83">
        <v>63</v>
      </c>
      <c r="B68" s="108" t="s">
        <v>108</v>
      </c>
      <c r="C68" s="109" t="s">
        <v>103</v>
      </c>
      <c r="D68" s="109" t="s">
        <v>59</v>
      </c>
      <c r="E68" s="125">
        <v>9.6</v>
      </c>
      <c r="F68" s="125"/>
      <c r="G68" s="125">
        <v>8.5</v>
      </c>
      <c r="H68" s="125"/>
      <c r="I68" s="37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  <c r="HP68" s="38"/>
      <c r="HQ68" s="38"/>
      <c r="HR68" s="38"/>
      <c r="HS68" s="38"/>
      <c r="HT68" s="38"/>
      <c r="HU68" s="38"/>
      <c r="HV68" s="38"/>
      <c r="HW68" s="38"/>
      <c r="HX68" s="38"/>
      <c r="HY68" s="38"/>
      <c r="HZ68" s="38"/>
      <c r="IA68" s="38"/>
      <c r="IB68" s="38"/>
      <c r="IC68" s="38"/>
      <c r="ID68" s="38"/>
      <c r="IE68" s="38"/>
      <c r="IF68" s="38"/>
      <c r="IG68" s="38"/>
      <c r="IH68" s="38"/>
      <c r="II68" s="38"/>
      <c r="IJ68" s="38"/>
      <c r="IK68" s="38"/>
      <c r="IL68" s="38"/>
      <c r="IM68" s="38"/>
      <c r="IN68" s="38"/>
      <c r="IO68" s="38"/>
      <c r="IP68" s="38"/>
      <c r="IQ68" s="38"/>
      <c r="IR68" s="38"/>
      <c r="IS68" s="38"/>
      <c r="IT68" s="38"/>
      <c r="IU68" s="38"/>
      <c r="IV68" s="38"/>
      <c r="IW68" s="38"/>
      <c r="IX68" s="38"/>
      <c r="IY68" s="38"/>
      <c r="IZ68" s="38"/>
      <c r="JA68" s="38"/>
      <c r="JB68" s="38"/>
      <c r="JC68" s="38"/>
      <c r="JD68" s="38"/>
      <c r="JE68" s="38"/>
      <c r="JF68" s="38"/>
      <c r="JG68" s="38"/>
      <c r="JH68" s="38"/>
      <c r="JI68" s="38"/>
      <c r="JJ68" s="38"/>
      <c r="JK68" s="38"/>
      <c r="JL68" s="38"/>
      <c r="JM68" s="38"/>
      <c r="JN68" s="38"/>
      <c r="JO68" s="38"/>
      <c r="JP68" s="38"/>
      <c r="JQ68" s="38"/>
      <c r="JR68" s="38"/>
      <c r="JS68" s="38"/>
      <c r="JT68" s="38"/>
      <c r="JU68" s="38"/>
      <c r="JV68" s="38"/>
      <c r="JW68" s="38"/>
      <c r="JX68" s="38"/>
      <c r="JY68" s="38"/>
      <c r="JZ68" s="38"/>
      <c r="KA68" s="38"/>
      <c r="KB68" s="38"/>
      <c r="KC68" s="38"/>
      <c r="KD68" s="38"/>
      <c r="KE68" s="38"/>
      <c r="KF68" s="38"/>
      <c r="KG68" s="38"/>
      <c r="KH68" s="38"/>
      <c r="KI68" s="38"/>
      <c r="KJ68" s="38"/>
      <c r="KK68" s="38"/>
      <c r="KL68" s="38"/>
      <c r="KM68" s="38"/>
      <c r="KN68" s="38"/>
      <c r="KO68" s="38"/>
      <c r="KP68" s="38"/>
      <c r="KQ68" s="38"/>
      <c r="KR68" s="38"/>
      <c r="KS68" s="38"/>
      <c r="KT68" s="38"/>
      <c r="KU68" s="38"/>
      <c r="KV68" s="38"/>
      <c r="KW68" s="38"/>
      <c r="KX68" s="38"/>
      <c r="KY68" s="38"/>
      <c r="KZ68" s="38"/>
      <c r="LA68" s="38"/>
      <c r="LB68" s="38"/>
      <c r="LC68" s="38"/>
      <c r="LD68" s="38"/>
      <c r="LE68" s="38"/>
      <c r="LF68" s="38"/>
      <c r="LG68" s="38"/>
      <c r="LH68" s="38"/>
      <c r="LI68" s="38"/>
      <c r="LJ68" s="38"/>
      <c r="LK68" s="38"/>
      <c r="LL68" s="38"/>
      <c r="LM68" s="38"/>
      <c r="LN68" s="38"/>
      <c r="LO68" s="38"/>
      <c r="LP68" s="38"/>
      <c r="LQ68" s="38"/>
      <c r="LR68" s="38"/>
      <c r="LS68" s="38"/>
      <c r="LT68" s="38"/>
      <c r="LU68" s="38"/>
      <c r="LV68" s="38"/>
      <c r="LW68" s="38"/>
      <c r="LX68" s="38"/>
      <c r="LY68" s="38"/>
      <c r="LZ68" s="38"/>
      <c r="MA68" s="38"/>
      <c r="MB68" s="38"/>
      <c r="MC68" s="38"/>
      <c r="MD68" s="38"/>
      <c r="ME68" s="38"/>
      <c r="MF68" s="38"/>
      <c r="MG68" s="38"/>
      <c r="MH68" s="38"/>
      <c r="MI68" s="38"/>
      <c r="MJ68" s="38"/>
      <c r="MK68" s="38"/>
      <c r="ML68" s="38"/>
      <c r="MM68" s="38"/>
      <c r="MN68" s="38"/>
      <c r="MO68" s="38"/>
      <c r="MP68" s="38"/>
      <c r="MQ68" s="38"/>
      <c r="MR68" s="38"/>
      <c r="MS68" s="38"/>
      <c r="MT68" s="38"/>
      <c r="MU68" s="38"/>
      <c r="MV68" s="38"/>
      <c r="MW68" s="38"/>
      <c r="MX68" s="38"/>
      <c r="MY68" s="38"/>
      <c r="MZ68" s="38"/>
      <c r="NA68" s="38"/>
      <c r="NB68" s="38"/>
      <c r="NC68" s="38"/>
      <c r="ND68" s="38"/>
      <c r="NE68" s="38"/>
      <c r="NF68" s="38"/>
      <c r="NG68" s="38"/>
      <c r="NH68" s="38"/>
      <c r="NI68" s="38"/>
      <c r="NJ68" s="38"/>
      <c r="NK68" s="38"/>
      <c r="NL68" s="38"/>
      <c r="NM68" s="38"/>
      <c r="NN68" s="38"/>
      <c r="NO68" s="38"/>
      <c r="NP68" s="38"/>
      <c r="NQ68" s="38"/>
      <c r="NR68" s="38"/>
      <c r="NS68" s="38"/>
      <c r="NT68" s="38"/>
      <c r="NU68" s="38"/>
      <c r="NV68" s="38"/>
      <c r="NW68" s="38"/>
      <c r="NX68" s="38"/>
      <c r="NY68" s="38"/>
      <c r="NZ68" s="38"/>
      <c r="OA68" s="38"/>
      <c r="OB68" s="38"/>
      <c r="OC68" s="38"/>
      <c r="OD68" s="38"/>
      <c r="OE68" s="38"/>
      <c r="OF68" s="38"/>
      <c r="OG68" s="38"/>
      <c r="OH68" s="38"/>
      <c r="OI68" s="38"/>
      <c r="OJ68" s="38"/>
      <c r="OK68" s="38"/>
      <c r="OL68" s="38"/>
      <c r="OM68" s="38"/>
      <c r="ON68" s="38"/>
      <c r="OO68" s="38"/>
      <c r="OP68" s="38"/>
      <c r="OQ68" s="38"/>
      <c r="OR68" s="38"/>
      <c r="OS68" s="38"/>
      <c r="OT68" s="38"/>
      <c r="OU68" s="38"/>
      <c r="OV68" s="38"/>
      <c r="OW68" s="38"/>
      <c r="OX68" s="38"/>
      <c r="OY68" s="38"/>
      <c r="OZ68" s="38"/>
      <c r="PA68" s="38"/>
      <c r="PB68" s="38"/>
      <c r="PC68" s="38"/>
      <c r="PD68" s="38"/>
      <c r="PE68" s="38"/>
      <c r="PF68" s="38"/>
      <c r="PG68" s="38"/>
      <c r="PH68" s="38"/>
      <c r="PI68" s="38"/>
      <c r="PJ68" s="38"/>
      <c r="PK68" s="38"/>
      <c r="PL68" s="38"/>
      <c r="PM68" s="38"/>
      <c r="PN68" s="38"/>
      <c r="PO68" s="38"/>
      <c r="PP68" s="38"/>
      <c r="PQ68" s="38"/>
      <c r="PR68" s="38"/>
      <c r="PS68" s="38"/>
      <c r="PT68" s="38"/>
      <c r="PU68" s="38"/>
      <c r="PV68" s="38"/>
      <c r="PW68" s="38"/>
      <c r="PX68" s="38"/>
      <c r="PY68" s="38"/>
      <c r="PZ68" s="38"/>
      <c r="QA68" s="38"/>
      <c r="QB68" s="38"/>
      <c r="QC68" s="38"/>
      <c r="QD68" s="38"/>
      <c r="QE68" s="38"/>
      <c r="QF68" s="38"/>
      <c r="QG68" s="38"/>
      <c r="QH68" s="38"/>
      <c r="QI68" s="38"/>
      <c r="QJ68" s="38"/>
      <c r="QK68" s="38"/>
      <c r="QL68" s="38"/>
      <c r="QM68" s="38"/>
      <c r="QN68" s="38"/>
      <c r="QO68" s="38"/>
      <c r="QP68" s="38"/>
      <c r="QQ68" s="38"/>
      <c r="QR68" s="38"/>
      <c r="QS68" s="38"/>
      <c r="QT68" s="38"/>
      <c r="QU68" s="38"/>
      <c r="QV68" s="38"/>
      <c r="QW68" s="38"/>
      <c r="QX68" s="38"/>
      <c r="QY68" s="38"/>
      <c r="QZ68" s="38"/>
      <c r="RA68" s="38"/>
      <c r="RB68" s="38"/>
      <c r="RC68" s="38"/>
      <c r="RD68" s="38"/>
      <c r="RE68" s="38"/>
      <c r="RF68" s="38"/>
      <c r="RG68" s="38"/>
      <c r="RH68" s="38"/>
      <c r="RI68" s="38"/>
      <c r="RJ68" s="38"/>
      <c r="RK68" s="38"/>
      <c r="RL68" s="38"/>
      <c r="RM68" s="38"/>
      <c r="RN68" s="38"/>
      <c r="RO68" s="38"/>
      <c r="RP68" s="38"/>
      <c r="RQ68" s="38"/>
      <c r="RR68" s="38"/>
      <c r="RS68" s="38"/>
      <c r="RT68" s="38"/>
      <c r="RU68" s="38"/>
      <c r="RV68" s="38"/>
      <c r="RW68" s="38"/>
      <c r="RX68" s="38"/>
      <c r="RY68" s="38"/>
      <c r="RZ68" s="38"/>
      <c r="SA68" s="38"/>
      <c r="SB68" s="38"/>
      <c r="SC68" s="38"/>
      <c r="SD68" s="38"/>
      <c r="SE68" s="38"/>
      <c r="SF68" s="38"/>
      <c r="SG68" s="38"/>
      <c r="SH68" s="38"/>
      <c r="SI68" s="38"/>
      <c r="SJ68" s="38"/>
      <c r="SK68" s="38"/>
      <c r="SL68" s="38"/>
      <c r="SM68" s="38"/>
      <c r="SN68" s="38"/>
      <c r="SO68" s="38"/>
      <c r="SP68" s="38"/>
      <c r="SQ68" s="38"/>
      <c r="SR68" s="38"/>
      <c r="SS68" s="38"/>
      <c r="ST68" s="38"/>
      <c r="SU68" s="38"/>
      <c r="SV68" s="38"/>
      <c r="SW68" s="38"/>
      <c r="SX68" s="38"/>
      <c r="SY68" s="38"/>
      <c r="SZ68" s="38"/>
      <c r="TA68" s="38"/>
      <c r="TB68" s="38"/>
      <c r="TC68" s="38"/>
      <c r="TD68" s="38"/>
      <c r="TE68" s="38"/>
      <c r="TF68" s="38"/>
      <c r="TG68" s="38"/>
      <c r="TH68" s="38"/>
      <c r="TI68" s="38"/>
      <c r="TJ68" s="38"/>
      <c r="TK68" s="38"/>
      <c r="TL68" s="38"/>
      <c r="TM68" s="38"/>
      <c r="TN68" s="38"/>
      <c r="TO68" s="38"/>
      <c r="TP68" s="38"/>
      <c r="TQ68" s="38"/>
      <c r="TR68" s="38"/>
      <c r="TS68" s="38"/>
      <c r="TT68" s="38"/>
      <c r="TU68" s="38"/>
      <c r="TV68" s="38"/>
      <c r="TW68" s="38"/>
      <c r="TX68" s="38"/>
      <c r="TY68" s="38"/>
      <c r="TZ68" s="38"/>
      <c r="UA68" s="38"/>
      <c r="UB68" s="38"/>
      <c r="UC68" s="38"/>
      <c r="UD68" s="38"/>
      <c r="UE68" s="38"/>
      <c r="UF68" s="38"/>
      <c r="UG68" s="38"/>
      <c r="UH68" s="38"/>
      <c r="UI68" s="38"/>
      <c r="UJ68" s="38"/>
      <c r="UK68" s="38"/>
      <c r="UL68" s="38"/>
      <c r="UM68" s="38"/>
      <c r="UN68" s="38"/>
      <c r="UO68" s="38"/>
      <c r="UP68" s="38"/>
      <c r="UQ68" s="38"/>
      <c r="UR68" s="38"/>
      <c r="US68" s="38"/>
      <c r="UT68" s="38"/>
      <c r="UU68" s="38"/>
      <c r="UV68" s="38"/>
      <c r="UW68" s="38"/>
      <c r="UX68" s="38"/>
      <c r="UY68" s="38"/>
      <c r="UZ68" s="38"/>
      <c r="VA68" s="38"/>
      <c r="VB68" s="38"/>
      <c r="VC68" s="38"/>
      <c r="VD68" s="38"/>
      <c r="VE68" s="38"/>
      <c r="VF68" s="38"/>
      <c r="VG68" s="38"/>
      <c r="VH68" s="38"/>
      <c r="VI68" s="38"/>
      <c r="VJ68" s="38"/>
      <c r="VK68" s="38"/>
      <c r="VL68" s="38"/>
      <c r="VM68" s="38"/>
      <c r="VN68" s="38"/>
      <c r="VO68" s="38"/>
      <c r="VP68" s="38"/>
      <c r="VQ68" s="38"/>
      <c r="VR68" s="38"/>
      <c r="VS68" s="38"/>
      <c r="VT68" s="38"/>
      <c r="VU68" s="38"/>
      <c r="VV68" s="38"/>
      <c r="VW68" s="38"/>
      <c r="VX68" s="38"/>
      <c r="VY68" s="38"/>
      <c r="VZ68" s="38"/>
      <c r="WA68" s="38"/>
      <c r="WB68" s="38"/>
      <c r="WC68" s="38"/>
      <c r="WD68" s="38"/>
      <c r="WE68" s="38"/>
      <c r="WF68" s="38"/>
      <c r="WG68" s="38"/>
      <c r="WH68" s="38"/>
      <c r="WI68" s="38"/>
      <c r="WJ68" s="38"/>
      <c r="WK68" s="38"/>
      <c r="WL68" s="38"/>
      <c r="WM68" s="38"/>
      <c r="WN68" s="38"/>
      <c r="WO68" s="38"/>
      <c r="WP68" s="38"/>
      <c r="WQ68" s="38"/>
      <c r="WR68" s="38"/>
      <c r="WS68" s="38"/>
      <c r="WT68" s="38"/>
      <c r="WU68" s="38"/>
      <c r="WV68" s="38"/>
      <c r="WW68" s="38"/>
      <c r="WX68" s="38"/>
      <c r="WY68" s="38"/>
      <c r="WZ68" s="38"/>
      <c r="XA68" s="38"/>
      <c r="XB68" s="38"/>
      <c r="XC68" s="38"/>
      <c r="XD68" s="38"/>
      <c r="XE68" s="38"/>
      <c r="XF68" s="38"/>
      <c r="XG68" s="38"/>
      <c r="XH68" s="38"/>
      <c r="XI68" s="38"/>
      <c r="XJ68" s="38"/>
      <c r="XK68" s="38"/>
      <c r="XL68" s="38"/>
      <c r="XM68" s="38"/>
      <c r="XN68" s="38"/>
      <c r="XO68" s="38"/>
      <c r="XP68" s="38"/>
      <c r="XQ68" s="38"/>
      <c r="XR68" s="38"/>
      <c r="XS68" s="38"/>
      <c r="XT68" s="38"/>
      <c r="XU68" s="38"/>
      <c r="XV68" s="38"/>
      <c r="XW68" s="38"/>
      <c r="XX68" s="38"/>
      <c r="XY68" s="38"/>
      <c r="XZ68" s="38"/>
      <c r="YA68" s="38"/>
      <c r="YB68" s="38"/>
      <c r="YC68" s="38"/>
      <c r="YD68" s="38"/>
      <c r="YE68" s="38"/>
      <c r="YF68" s="38"/>
      <c r="YG68" s="38"/>
      <c r="YH68" s="38"/>
      <c r="YI68" s="38"/>
      <c r="YJ68" s="38"/>
      <c r="YK68" s="38"/>
      <c r="YL68" s="38"/>
      <c r="YM68" s="38"/>
      <c r="YN68" s="38"/>
      <c r="YO68" s="38"/>
      <c r="YP68" s="38"/>
      <c r="YQ68" s="38"/>
      <c r="YR68" s="38"/>
      <c r="YS68" s="38"/>
      <c r="YT68" s="38"/>
      <c r="YU68" s="38"/>
      <c r="YV68" s="38"/>
      <c r="YW68" s="38"/>
      <c r="YX68" s="38"/>
      <c r="YY68" s="38"/>
      <c r="YZ68" s="38"/>
      <c r="ZA68" s="38"/>
      <c r="ZB68" s="38"/>
      <c r="ZC68" s="38"/>
      <c r="ZD68" s="38"/>
      <c r="ZE68" s="38"/>
      <c r="ZF68" s="38"/>
      <c r="ZG68" s="38"/>
      <c r="ZH68" s="38"/>
      <c r="ZI68" s="38"/>
      <c r="ZJ68" s="38"/>
      <c r="ZK68" s="38"/>
      <c r="ZL68" s="38"/>
      <c r="ZM68" s="38"/>
      <c r="ZN68" s="38"/>
      <c r="ZO68" s="38"/>
      <c r="ZP68" s="38"/>
      <c r="ZQ68" s="38"/>
      <c r="ZR68" s="38"/>
      <c r="ZS68" s="38"/>
      <c r="ZT68" s="38"/>
      <c r="ZU68" s="38"/>
      <c r="ZV68" s="38"/>
      <c r="ZW68" s="38"/>
      <c r="ZX68" s="38"/>
      <c r="ZY68" s="38"/>
      <c r="ZZ68" s="38"/>
      <c r="AAA68" s="38"/>
      <c r="AAB68" s="38"/>
      <c r="AAC68" s="38"/>
      <c r="AAD68" s="38"/>
      <c r="AAE68" s="38"/>
      <c r="AAF68" s="38"/>
      <c r="AAG68" s="38"/>
      <c r="AAH68" s="38"/>
      <c r="AAI68" s="38"/>
      <c r="AAJ68" s="38"/>
      <c r="AAK68" s="38"/>
      <c r="AAL68" s="38"/>
      <c r="AAM68" s="38"/>
      <c r="AAN68" s="38"/>
      <c r="AAO68" s="38"/>
      <c r="AAP68" s="38"/>
      <c r="AAQ68" s="38"/>
      <c r="AAR68" s="38"/>
      <c r="AAS68" s="38"/>
      <c r="AAT68" s="38"/>
      <c r="AAU68" s="38"/>
      <c r="AAV68" s="38"/>
      <c r="AAW68" s="38"/>
      <c r="AAX68" s="38"/>
      <c r="AAY68" s="38"/>
      <c r="AAZ68" s="38"/>
      <c r="ABA68" s="38"/>
      <c r="ABB68" s="38"/>
      <c r="ABC68" s="38"/>
      <c r="ABD68" s="38"/>
      <c r="ABE68" s="38"/>
      <c r="ABF68" s="38"/>
      <c r="ABG68" s="38"/>
      <c r="ABH68" s="38"/>
      <c r="ABI68" s="38"/>
      <c r="ABJ68" s="38"/>
      <c r="ABK68" s="38"/>
      <c r="ABL68" s="38"/>
      <c r="ABM68" s="38"/>
      <c r="ABN68" s="38"/>
      <c r="ABO68" s="38"/>
      <c r="ABP68" s="38"/>
      <c r="ABQ68" s="38"/>
      <c r="ABR68" s="38"/>
      <c r="ABS68" s="38"/>
      <c r="ABT68" s="38"/>
      <c r="ABU68" s="38"/>
      <c r="ABV68" s="38"/>
      <c r="ABW68" s="38"/>
      <c r="ABX68" s="38"/>
      <c r="ABY68" s="38"/>
      <c r="ABZ68" s="38"/>
      <c r="ACA68" s="38"/>
      <c r="ACB68" s="38"/>
      <c r="ACC68" s="38"/>
      <c r="ACD68" s="38"/>
      <c r="ACE68" s="38"/>
      <c r="ACF68" s="38"/>
      <c r="ACG68" s="38"/>
      <c r="ACH68" s="38"/>
      <c r="ACI68" s="38"/>
      <c r="ACJ68" s="38"/>
      <c r="ACK68" s="38"/>
      <c r="ACL68" s="38"/>
      <c r="ACM68" s="38"/>
      <c r="ACN68" s="38"/>
      <c r="ACO68" s="38"/>
      <c r="ACP68" s="38"/>
      <c r="ACQ68" s="38"/>
      <c r="ACR68" s="38"/>
      <c r="ACS68" s="38"/>
      <c r="ACT68" s="38"/>
      <c r="ACU68" s="38"/>
      <c r="ACV68" s="38"/>
      <c r="ACW68" s="38"/>
      <c r="ACX68" s="38"/>
      <c r="ACY68" s="38"/>
      <c r="ACZ68" s="38"/>
      <c r="ADA68" s="38"/>
      <c r="ADB68" s="38"/>
      <c r="ADC68" s="38"/>
      <c r="ADD68" s="38"/>
      <c r="ADE68" s="38"/>
      <c r="ADF68" s="38"/>
      <c r="ADG68" s="38"/>
      <c r="ADH68" s="38"/>
      <c r="ADI68" s="38"/>
      <c r="ADJ68" s="38"/>
      <c r="ADK68" s="38"/>
      <c r="ADL68" s="38"/>
      <c r="ADM68" s="38"/>
      <c r="ADN68" s="38"/>
      <c r="ADO68" s="38"/>
      <c r="ADP68" s="38"/>
      <c r="ADQ68" s="38"/>
      <c r="ADR68" s="38"/>
      <c r="ADS68" s="38"/>
      <c r="ADT68" s="38"/>
      <c r="ADU68" s="38"/>
      <c r="ADV68" s="38"/>
      <c r="ADW68" s="38"/>
      <c r="ADX68" s="38"/>
      <c r="ADY68" s="38"/>
      <c r="ADZ68" s="38"/>
      <c r="AEA68" s="38"/>
      <c r="AEB68" s="38"/>
      <c r="AEC68" s="38"/>
      <c r="AED68" s="38"/>
      <c r="AEE68" s="38"/>
      <c r="AEF68" s="38"/>
      <c r="AEG68" s="38"/>
      <c r="AEH68" s="38"/>
      <c r="AEI68" s="38"/>
      <c r="AEJ68" s="38"/>
      <c r="AEK68" s="38"/>
      <c r="AEL68" s="38"/>
      <c r="AEM68" s="38"/>
      <c r="AEN68" s="38"/>
      <c r="AEO68" s="38"/>
      <c r="AEP68" s="38"/>
      <c r="AEQ68" s="38"/>
      <c r="AER68" s="38"/>
      <c r="AES68" s="38"/>
      <c r="AET68" s="38"/>
      <c r="AEU68" s="38"/>
      <c r="AEV68" s="38"/>
      <c r="AEW68" s="38"/>
      <c r="AEX68" s="38"/>
      <c r="AEY68" s="38"/>
      <c r="AEZ68" s="38"/>
      <c r="AFA68" s="38"/>
      <c r="AFB68" s="38"/>
      <c r="AFC68" s="38"/>
      <c r="AFD68" s="38"/>
      <c r="AFE68" s="38"/>
      <c r="AFF68" s="38"/>
      <c r="AFG68" s="38"/>
      <c r="AFH68" s="38"/>
      <c r="AFI68" s="38"/>
      <c r="AFJ68" s="38"/>
      <c r="AFK68" s="38"/>
      <c r="AFL68" s="38"/>
      <c r="AFM68" s="38"/>
      <c r="AFN68" s="38"/>
      <c r="AFO68" s="38"/>
      <c r="AFP68" s="38"/>
      <c r="AFQ68" s="38"/>
      <c r="AFR68" s="38"/>
      <c r="AFS68" s="38"/>
      <c r="AFT68" s="38"/>
      <c r="AFU68" s="38"/>
      <c r="AFV68" s="38"/>
      <c r="AFW68" s="38"/>
      <c r="AFX68" s="38"/>
      <c r="AFY68" s="38"/>
      <c r="AFZ68" s="38"/>
      <c r="AGA68" s="38"/>
      <c r="AGB68" s="38"/>
      <c r="AGC68" s="38"/>
      <c r="AGD68" s="38"/>
      <c r="AGE68" s="38"/>
      <c r="AGF68" s="38"/>
      <c r="AGG68" s="38"/>
      <c r="AGH68" s="38"/>
      <c r="AGI68" s="38"/>
      <c r="AGJ68" s="38"/>
      <c r="AGK68" s="38"/>
      <c r="AGL68" s="38"/>
      <c r="AGM68" s="38"/>
      <c r="AGN68" s="38"/>
      <c r="AGO68" s="38"/>
      <c r="AGP68" s="38"/>
      <c r="AGQ68" s="38"/>
      <c r="AGR68" s="38"/>
      <c r="AGS68" s="38"/>
      <c r="AGT68" s="38"/>
      <c r="AGU68" s="38"/>
      <c r="AGV68" s="38"/>
      <c r="AGW68" s="38"/>
      <c r="AGX68" s="38"/>
      <c r="AGY68" s="38"/>
      <c r="AGZ68" s="38"/>
      <c r="AHA68" s="38"/>
      <c r="AHB68" s="38"/>
      <c r="AHC68" s="38"/>
      <c r="AHD68" s="38"/>
      <c r="AHE68" s="38"/>
      <c r="AHF68" s="38"/>
      <c r="AHG68" s="38"/>
      <c r="AHH68" s="38"/>
      <c r="AHI68" s="38"/>
      <c r="AHJ68" s="38"/>
      <c r="AHK68" s="38"/>
      <c r="AHL68" s="38"/>
      <c r="AHM68" s="38"/>
      <c r="AHN68" s="38"/>
      <c r="AHO68" s="38"/>
      <c r="AHP68" s="38"/>
      <c r="AHQ68" s="38"/>
      <c r="AHR68" s="38"/>
      <c r="AHS68" s="38"/>
      <c r="AHT68" s="38"/>
      <c r="AHU68" s="38"/>
      <c r="AHV68" s="38"/>
    </row>
    <row r="69" spans="1:906" s="27" customFormat="1" x14ac:dyDescent="0.35">
      <c r="A69" s="83">
        <v>64</v>
      </c>
      <c r="B69" s="108" t="s">
        <v>109</v>
      </c>
      <c r="C69" s="109" t="s">
        <v>110</v>
      </c>
      <c r="D69" s="109" t="s">
        <v>111</v>
      </c>
      <c r="E69" s="125">
        <v>11.99</v>
      </c>
      <c r="F69" s="125">
        <v>12</v>
      </c>
      <c r="G69" s="125"/>
      <c r="H69" s="125">
        <v>12</v>
      </c>
      <c r="I69" s="37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  <c r="HO69" s="38"/>
      <c r="HP69" s="38"/>
      <c r="HQ69" s="38"/>
      <c r="HR69" s="38"/>
      <c r="HS69" s="38"/>
      <c r="HT69" s="38"/>
      <c r="HU69" s="38"/>
      <c r="HV69" s="38"/>
      <c r="HW69" s="38"/>
      <c r="HX69" s="38"/>
      <c r="HY69" s="38"/>
      <c r="HZ69" s="38"/>
      <c r="IA69" s="38"/>
      <c r="IB69" s="38"/>
      <c r="IC69" s="38"/>
      <c r="ID69" s="38"/>
      <c r="IE69" s="38"/>
      <c r="IF69" s="38"/>
      <c r="IG69" s="38"/>
      <c r="IH69" s="38"/>
      <c r="II69" s="38"/>
      <c r="IJ69" s="38"/>
      <c r="IK69" s="38"/>
      <c r="IL69" s="38"/>
      <c r="IM69" s="38"/>
      <c r="IN69" s="38"/>
      <c r="IO69" s="38"/>
      <c r="IP69" s="38"/>
      <c r="IQ69" s="38"/>
      <c r="IR69" s="38"/>
      <c r="IS69" s="38"/>
      <c r="IT69" s="38"/>
      <c r="IU69" s="38"/>
      <c r="IV69" s="38"/>
      <c r="IW69" s="38"/>
      <c r="IX69" s="38"/>
      <c r="IY69" s="38"/>
      <c r="IZ69" s="38"/>
      <c r="JA69" s="38"/>
      <c r="JB69" s="38"/>
      <c r="JC69" s="38"/>
      <c r="JD69" s="38"/>
      <c r="JE69" s="38"/>
      <c r="JF69" s="38"/>
      <c r="JG69" s="38"/>
      <c r="JH69" s="38"/>
      <c r="JI69" s="38"/>
      <c r="JJ69" s="38"/>
      <c r="JK69" s="38"/>
      <c r="JL69" s="38"/>
      <c r="JM69" s="38"/>
      <c r="JN69" s="38"/>
      <c r="JO69" s="38"/>
      <c r="JP69" s="38"/>
      <c r="JQ69" s="38"/>
      <c r="JR69" s="38"/>
      <c r="JS69" s="38"/>
      <c r="JT69" s="38"/>
      <c r="JU69" s="38"/>
      <c r="JV69" s="38"/>
      <c r="JW69" s="38"/>
      <c r="JX69" s="38"/>
      <c r="JY69" s="38"/>
      <c r="JZ69" s="38"/>
      <c r="KA69" s="38"/>
      <c r="KB69" s="38"/>
      <c r="KC69" s="38"/>
      <c r="KD69" s="38"/>
      <c r="KE69" s="38"/>
      <c r="KF69" s="38"/>
      <c r="KG69" s="38"/>
      <c r="KH69" s="38"/>
      <c r="KI69" s="38"/>
      <c r="KJ69" s="38"/>
      <c r="KK69" s="38"/>
      <c r="KL69" s="38"/>
      <c r="KM69" s="38"/>
      <c r="KN69" s="38"/>
      <c r="KO69" s="38"/>
      <c r="KP69" s="38"/>
      <c r="KQ69" s="38"/>
      <c r="KR69" s="38"/>
      <c r="KS69" s="38"/>
      <c r="KT69" s="38"/>
      <c r="KU69" s="38"/>
      <c r="KV69" s="38"/>
      <c r="KW69" s="38"/>
      <c r="KX69" s="38"/>
      <c r="KY69" s="38"/>
      <c r="KZ69" s="38"/>
      <c r="LA69" s="38"/>
      <c r="LB69" s="38"/>
      <c r="LC69" s="38"/>
      <c r="LD69" s="38"/>
      <c r="LE69" s="38"/>
      <c r="LF69" s="38"/>
      <c r="LG69" s="38"/>
      <c r="LH69" s="38"/>
      <c r="LI69" s="38"/>
      <c r="LJ69" s="38"/>
      <c r="LK69" s="38"/>
      <c r="LL69" s="38"/>
      <c r="LM69" s="38"/>
      <c r="LN69" s="38"/>
      <c r="LO69" s="38"/>
      <c r="LP69" s="38"/>
      <c r="LQ69" s="38"/>
      <c r="LR69" s="38"/>
      <c r="LS69" s="38"/>
      <c r="LT69" s="38"/>
      <c r="LU69" s="38"/>
      <c r="LV69" s="38"/>
      <c r="LW69" s="38"/>
      <c r="LX69" s="38"/>
      <c r="LY69" s="38"/>
      <c r="LZ69" s="38"/>
      <c r="MA69" s="38"/>
      <c r="MB69" s="38"/>
      <c r="MC69" s="38"/>
      <c r="MD69" s="38"/>
      <c r="ME69" s="38"/>
      <c r="MF69" s="38"/>
      <c r="MG69" s="38"/>
      <c r="MH69" s="38"/>
      <c r="MI69" s="38"/>
      <c r="MJ69" s="38"/>
      <c r="MK69" s="38"/>
      <c r="ML69" s="38"/>
      <c r="MM69" s="38"/>
      <c r="MN69" s="38"/>
      <c r="MO69" s="38"/>
      <c r="MP69" s="38"/>
      <c r="MQ69" s="38"/>
      <c r="MR69" s="38"/>
      <c r="MS69" s="38"/>
      <c r="MT69" s="38"/>
      <c r="MU69" s="38"/>
      <c r="MV69" s="38"/>
      <c r="MW69" s="38"/>
      <c r="MX69" s="38"/>
      <c r="MY69" s="38"/>
      <c r="MZ69" s="38"/>
      <c r="NA69" s="38"/>
      <c r="NB69" s="38"/>
      <c r="NC69" s="38"/>
      <c r="ND69" s="38"/>
      <c r="NE69" s="38"/>
      <c r="NF69" s="38"/>
      <c r="NG69" s="38"/>
      <c r="NH69" s="38"/>
      <c r="NI69" s="38"/>
      <c r="NJ69" s="38"/>
      <c r="NK69" s="38"/>
      <c r="NL69" s="38"/>
      <c r="NM69" s="38"/>
      <c r="NN69" s="38"/>
      <c r="NO69" s="38"/>
      <c r="NP69" s="38"/>
      <c r="NQ69" s="38"/>
      <c r="NR69" s="38"/>
      <c r="NS69" s="38"/>
      <c r="NT69" s="38"/>
      <c r="NU69" s="38"/>
      <c r="NV69" s="38"/>
      <c r="NW69" s="38"/>
      <c r="NX69" s="38"/>
      <c r="NY69" s="38"/>
      <c r="NZ69" s="38"/>
      <c r="OA69" s="38"/>
      <c r="OB69" s="38"/>
      <c r="OC69" s="38"/>
      <c r="OD69" s="38"/>
      <c r="OE69" s="38"/>
      <c r="OF69" s="38"/>
      <c r="OG69" s="38"/>
      <c r="OH69" s="38"/>
      <c r="OI69" s="38"/>
      <c r="OJ69" s="38"/>
      <c r="OK69" s="38"/>
      <c r="OL69" s="38"/>
      <c r="OM69" s="38"/>
      <c r="ON69" s="38"/>
      <c r="OO69" s="38"/>
      <c r="OP69" s="38"/>
      <c r="OQ69" s="38"/>
      <c r="OR69" s="38"/>
      <c r="OS69" s="38"/>
      <c r="OT69" s="38"/>
      <c r="OU69" s="38"/>
      <c r="OV69" s="38"/>
      <c r="OW69" s="38"/>
      <c r="OX69" s="38"/>
      <c r="OY69" s="38"/>
      <c r="OZ69" s="38"/>
      <c r="PA69" s="38"/>
      <c r="PB69" s="38"/>
      <c r="PC69" s="38"/>
      <c r="PD69" s="38"/>
      <c r="PE69" s="38"/>
      <c r="PF69" s="38"/>
      <c r="PG69" s="38"/>
      <c r="PH69" s="38"/>
      <c r="PI69" s="38"/>
      <c r="PJ69" s="38"/>
      <c r="PK69" s="38"/>
      <c r="PL69" s="38"/>
      <c r="PM69" s="38"/>
      <c r="PN69" s="38"/>
      <c r="PO69" s="38"/>
      <c r="PP69" s="38"/>
      <c r="PQ69" s="38"/>
      <c r="PR69" s="38"/>
      <c r="PS69" s="38"/>
      <c r="PT69" s="38"/>
      <c r="PU69" s="38"/>
      <c r="PV69" s="38"/>
      <c r="PW69" s="38"/>
      <c r="PX69" s="38"/>
      <c r="PY69" s="38"/>
      <c r="PZ69" s="38"/>
      <c r="QA69" s="38"/>
      <c r="QB69" s="38"/>
      <c r="QC69" s="38"/>
      <c r="QD69" s="38"/>
      <c r="QE69" s="38"/>
      <c r="QF69" s="38"/>
      <c r="QG69" s="38"/>
      <c r="QH69" s="38"/>
      <c r="QI69" s="38"/>
      <c r="QJ69" s="38"/>
      <c r="QK69" s="38"/>
      <c r="QL69" s="38"/>
      <c r="QM69" s="38"/>
      <c r="QN69" s="38"/>
      <c r="QO69" s="38"/>
      <c r="QP69" s="38"/>
      <c r="QQ69" s="38"/>
      <c r="QR69" s="38"/>
      <c r="QS69" s="38"/>
      <c r="QT69" s="38"/>
      <c r="QU69" s="38"/>
      <c r="QV69" s="38"/>
      <c r="QW69" s="38"/>
      <c r="QX69" s="38"/>
      <c r="QY69" s="38"/>
      <c r="QZ69" s="38"/>
      <c r="RA69" s="38"/>
      <c r="RB69" s="38"/>
      <c r="RC69" s="38"/>
      <c r="RD69" s="38"/>
      <c r="RE69" s="38"/>
      <c r="RF69" s="38"/>
      <c r="RG69" s="38"/>
      <c r="RH69" s="38"/>
      <c r="RI69" s="38"/>
      <c r="RJ69" s="38"/>
      <c r="RK69" s="38"/>
      <c r="RL69" s="38"/>
      <c r="RM69" s="38"/>
      <c r="RN69" s="38"/>
      <c r="RO69" s="38"/>
      <c r="RP69" s="38"/>
      <c r="RQ69" s="38"/>
      <c r="RR69" s="38"/>
      <c r="RS69" s="38"/>
      <c r="RT69" s="38"/>
      <c r="RU69" s="38"/>
      <c r="RV69" s="38"/>
      <c r="RW69" s="38"/>
      <c r="RX69" s="38"/>
      <c r="RY69" s="38"/>
      <c r="RZ69" s="38"/>
      <c r="SA69" s="38"/>
      <c r="SB69" s="38"/>
      <c r="SC69" s="38"/>
      <c r="SD69" s="38"/>
      <c r="SE69" s="38"/>
      <c r="SF69" s="38"/>
      <c r="SG69" s="38"/>
      <c r="SH69" s="38"/>
      <c r="SI69" s="38"/>
      <c r="SJ69" s="38"/>
      <c r="SK69" s="38"/>
      <c r="SL69" s="38"/>
      <c r="SM69" s="38"/>
      <c r="SN69" s="38"/>
      <c r="SO69" s="38"/>
      <c r="SP69" s="38"/>
      <c r="SQ69" s="38"/>
      <c r="SR69" s="38"/>
      <c r="SS69" s="38"/>
      <c r="ST69" s="38"/>
      <c r="SU69" s="38"/>
      <c r="SV69" s="38"/>
      <c r="SW69" s="38"/>
      <c r="SX69" s="38"/>
      <c r="SY69" s="38"/>
      <c r="SZ69" s="38"/>
      <c r="TA69" s="38"/>
      <c r="TB69" s="38"/>
      <c r="TC69" s="38"/>
      <c r="TD69" s="38"/>
      <c r="TE69" s="38"/>
      <c r="TF69" s="38"/>
      <c r="TG69" s="38"/>
      <c r="TH69" s="38"/>
      <c r="TI69" s="38"/>
      <c r="TJ69" s="38"/>
      <c r="TK69" s="38"/>
      <c r="TL69" s="38"/>
      <c r="TM69" s="38"/>
      <c r="TN69" s="38"/>
      <c r="TO69" s="38"/>
      <c r="TP69" s="38"/>
      <c r="TQ69" s="38"/>
      <c r="TR69" s="38"/>
      <c r="TS69" s="38"/>
      <c r="TT69" s="38"/>
      <c r="TU69" s="38"/>
      <c r="TV69" s="38"/>
      <c r="TW69" s="38"/>
      <c r="TX69" s="38"/>
      <c r="TY69" s="38"/>
      <c r="TZ69" s="38"/>
      <c r="UA69" s="38"/>
      <c r="UB69" s="38"/>
      <c r="UC69" s="38"/>
      <c r="UD69" s="38"/>
      <c r="UE69" s="38"/>
      <c r="UF69" s="38"/>
      <c r="UG69" s="38"/>
      <c r="UH69" s="38"/>
      <c r="UI69" s="38"/>
      <c r="UJ69" s="38"/>
      <c r="UK69" s="38"/>
      <c r="UL69" s="38"/>
      <c r="UM69" s="38"/>
      <c r="UN69" s="38"/>
      <c r="UO69" s="38"/>
      <c r="UP69" s="38"/>
      <c r="UQ69" s="38"/>
      <c r="UR69" s="38"/>
      <c r="US69" s="38"/>
      <c r="UT69" s="38"/>
      <c r="UU69" s="38"/>
      <c r="UV69" s="38"/>
      <c r="UW69" s="38"/>
      <c r="UX69" s="38"/>
      <c r="UY69" s="38"/>
      <c r="UZ69" s="38"/>
      <c r="VA69" s="38"/>
      <c r="VB69" s="38"/>
      <c r="VC69" s="38"/>
      <c r="VD69" s="38"/>
      <c r="VE69" s="38"/>
      <c r="VF69" s="38"/>
      <c r="VG69" s="38"/>
      <c r="VH69" s="38"/>
      <c r="VI69" s="38"/>
      <c r="VJ69" s="38"/>
      <c r="VK69" s="38"/>
      <c r="VL69" s="38"/>
      <c r="VM69" s="38"/>
      <c r="VN69" s="38"/>
      <c r="VO69" s="38"/>
      <c r="VP69" s="38"/>
      <c r="VQ69" s="38"/>
      <c r="VR69" s="38"/>
      <c r="VS69" s="38"/>
      <c r="VT69" s="38"/>
      <c r="VU69" s="38"/>
      <c r="VV69" s="38"/>
      <c r="VW69" s="38"/>
      <c r="VX69" s="38"/>
      <c r="VY69" s="38"/>
      <c r="VZ69" s="38"/>
      <c r="WA69" s="38"/>
      <c r="WB69" s="38"/>
      <c r="WC69" s="38"/>
      <c r="WD69" s="38"/>
      <c r="WE69" s="38"/>
      <c r="WF69" s="38"/>
      <c r="WG69" s="38"/>
      <c r="WH69" s="38"/>
      <c r="WI69" s="38"/>
      <c r="WJ69" s="38"/>
      <c r="WK69" s="38"/>
      <c r="WL69" s="38"/>
      <c r="WM69" s="38"/>
      <c r="WN69" s="38"/>
      <c r="WO69" s="38"/>
      <c r="WP69" s="38"/>
      <c r="WQ69" s="38"/>
      <c r="WR69" s="38"/>
      <c r="WS69" s="38"/>
      <c r="WT69" s="38"/>
      <c r="WU69" s="38"/>
      <c r="WV69" s="38"/>
      <c r="WW69" s="38"/>
      <c r="WX69" s="38"/>
      <c r="WY69" s="38"/>
      <c r="WZ69" s="38"/>
      <c r="XA69" s="38"/>
      <c r="XB69" s="38"/>
      <c r="XC69" s="38"/>
      <c r="XD69" s="38"/>
      <c r="XE69" s="38"/>
      <c r="XF69" s="38"/>
      <c r="XG69" s="38"/>
      <c r="XH69" s="38"/>
      <c r="XI69" s="38"/>
      <c r="XJ69" s="38"/>
      <c r="XK69" s="38"/>
      <c r="XL69" s="38"/>
      <c r="XM69" s="38"/>
      <c r="XN69" s="38"/>
      <c r="XO69" s="38"/>
      <c r="XP69" s="38"/>
      <c r="XQ69" s="38"/>
      <c r="XR69" s="38"/>
      <c r="XS69" s="38"/>
      <c r="XT69" s="38"/>
      <c r="XU69" s="38"/>
      <c r="XV69" s="38"/>
      <c r="XW69" s="38"/>
      <c r="XX69" s="38"/>
      <c r="XY69" s="38"/>
      <c r="XZ69" s="38"/>
      <c r="YA69" s="38"/>
      <c r="YB69" s="38"/>
      <c r="YC69" s="38"/>
      <c r="YD69" s="38"/>
      <c r="YE69" s="38"/>
      <c r="YF69" s="38"/>
      <c r="YG69" s="38"/>
      <c r="YH69" s="38"/>
      <c r="YI69" s="38"/>
      <c r="YJ69" s="38"/>
      <c r="YK69" s="38"/>
      <c r="YL69" s="38"/>
      <c r="YM69" s="38"/>
      <c r="YN69" s="38"/>
      <c r="YO69" s="38"/>
      <c r="YP69" s="38"/>
      <c r="YQ69" s="38"/>
      <c r="YR69" s="38"/>
      <c r="YS69" s="38"/>
      <c r="YT69" s="38"/>
      <c r="YU69" s="38"/>
      <c r="YV69" s="38"/>
      <c r="YW69" s="38"/>
      <c r="YX69" s="38"/>
      <c r="YY69" s="38"/>
      <c r="YZ69" s="38"/>
      <c r="ZA69" s="38"/>
      <c r="ZB69" s="38"/>
      <c r="ZC69" s="38"/>
      <c r="ZD69" s="38"/>
      <c r="ZE69" s="38"/>
      <c r="ZF69" s="38"/>
      <c r="ZG69" s="38"/>
      <c r="ZH69" s="38"/>
      <c r="ZI69" s="38"/>
      <c r="ZJ69" s="38"/>
      <c r="ZK69" s="38"/>
      <c r="ZL69" s="38"/>
      <c r="ZM69" s="38"/>
      <c r="ZN69" s="38"/>
      <c r="ZO69" s="38"/>
      <c r="ZP69" s="38"/>
      <c r="ZQ69" s="38"/>
      <c r="ZR69" s="38"/>
      <c r="ZS69" s="38"/>
      <c r="ZT69" s="38"/>
      <c r="ZU69" s="38"/>
      <c r="ZV69" s="38"/>
      <c r="ZW69" s="38"/>
      <c r="ZX69" s="38"/>
      <c r="ZY69" s="38"/>
      <c r="ZZ69" s="38"/>
      <c r="AAA69" s="38"/>
      <c r="AAB69" s="38"/>
      <c r="AAC69" s="38"/>
      <c r="AAD69" s="38"/>
      <c r="AAE69" s="38"/>
      <c r="AAF69" s="38"/>
      <c r="AAG69" s="38"/>
      <c r="AAH69" s="38"/>
      <c r="AAI69" s="38"/>
      <c r="AAJ69" s="38"/>
      <c r="AAK69" s="38"/>
      <c r="AAL69" s="38"/>
      <c r="AAM69" s="38"/>
      <c r="AAN69" s="38"/>
      <c r="AAO69" s="38"/>
      <c r="AAP69" s="38"/>
      <c r="AAQ69" s="38"/>
      <c r="AAR69" s="38"/>
      <c r="AAS69" s="38"/>
      <c r="AAT69" s="38"/>
      <c r="AAU69" s="38"/>
      <c r="AAV69" s="38"/>
      <c r="AAW69" s="38"/>
      <c r="AAX69" s="38"/>
      <c r="AAY69" s="38"/>
      <c r="AAZ69" s="38"/>
      <c r="ABA69" s="38"/>
      <c r="ABB69" s="38"/>
      <c r="ABC69" s="38"/>
      <c r="ABD69" s="38"/>
      <c r="ABE69" s="38"/>
      <c r="ABF69" s="38"/>
      <c r="ABG69" s="38"/>
      <c r="ABH69" s="38"/>
      <c r="ABI69" s="38"/>
      <c r="ABJ69" s="38"/>
      <c r="ABK69" s="38"/>
      <c r="ABL69" s="38"/>
      <c r="ABM69" s="38"/>
      <c r="ABN69" s="38"/>
      <c r="ABO69" s="38"/>
      <c r="ABP69" s="38"/>
      <c r="ABQ69" s="38"/>
      <c r="ABR69" s="38"/>
      <c r="ABS69" s="38"/>
      <c r="ABT69" s="38"/>
      <c r="ABU69" s="38"/>
      <c r="ABV69" s="38"/>
      <c r="ABW69" s="38"/>
      <c r="ABX69" s="38"/>
      <c r="ABY69" s="38"/>
      <c r="ABZ69" s="38"/>
      <c r="ACA69" s="38"/>
      <c r="ACB69" s="38"/>
      <c r="ACC69" s="38"/>
      <c r="ACD69" s="38"/>
      <c r="ACE69" s="38"/>
      <c r="ACF69" s="38"/>
      <c r="ACG69" s="38"/>
      <c r="ACH69" s="38"/>
      <c r="ACI69" s="38"/>
      <c r="ACJ69" s="38"/>
      <c r="ACK69" s="38"/>
      <c r="ACL69" s="38"/>
      <c r="ACM69" s="38"/>
      <c r="ACN69" s="38"/>
      <c r="ACO69" s="38"/>
      <c r="ACP69" s="38"/>
      <c r="ACQ69" s="38"/>
      <c r="ACR69" s="38"/>
      <c r="ACS69" s="38"/>
      <c r="ACT69" s="38"/>
      <c r="ACU69" s="38"/>
      <c r="ACV69" s="38"/>
      <c r="ACW69" s="38"/>
      <c r="ACX69" s="38"/>
      <c r="ACY69" s="38"/>
      <c r="ACZ69" s="38"/>
      <c r="ADA69" s="38"/>
      <c r="ADB69" s="38"/>
      <c r="ADC69" s="38"/>
      <c r="ADD69" s="38"/>
      <c r="ADE69" s="38"/>
      <c r="ADF69" s="38"/>
      <c r="ADG69" s="38"/>
      <c r="ADH69" s="38"/>
      <c r="ADI69" s="38"/>
      <c r="ADJ69" s="38"/>
      <c r="ADK69" s="38"/>
      <c r="ADL69" s="38"/>
      <c r="ADM69" s="38"/>
      <c r="ADN69" s="38"/>
      <c r="ADO69" s="38"/>
      <c r="ADP69" s="38"/>
      <c r="ADQ69" s="38"/>
      <c r="ADR69" s="38"/>
      <c r="ADS69" s="38"/>
      <c r="ADT69" s="38"/>
      <c r="ADU69" s="38"/>
      <c r="ADV69" s="38"/>
      <c r="ADW69" s="38"/>
      <c r="ADX69" s="38"/>
      <c r="ADY69" s="38"/>
      <c r="ADZ69" s="38"/>
      <c r="AEA69" s="38"/>
      <c r="AEB69" s="38"/>
      <c r="AEC69" s="38"/>
      <c r="AED69" s="38"/>
      <c r="AEE69" s="38"/>
      <c r="AEF69" s="38"/>
      <c r="AEG69" s="38"/>
      <c r="AEH69" s="38"/>
      <c r="AEI69" s="38"/>
      <c r="AEJ69" s="38"/>
      <c r="AEK69" s="38"/>
      <c r="AEL69" s="38"/>
      <c r="AEM69" s="38"/>
      <c r="AEN69" s="38"/>
      <c r="AEO69" s="38"/>
      <c r="AEP69" s="38"/>
      <c r="AEQ69" s="38"/>
      <c r="AER69" s="38"/>
      <c r="AES69" s="38"/>
      <c r="AET69" s="38"/>
      <c r="AEU69" s="38"/>
      <c r="AEV69" s="38"/>
      <c r="AEW69" s="38"/>
      <c r="AEX69" s="38"/>
      <c r="AEY69" s="38"/>
      <c r="AEZ69" s="38"/>
      <c r="AFA69" s="38"/>
      <c r="AFB69" s="38"/>
      <c r="AFC69" s="38"/>
      <c r="AFD69" s="38"/>
      <c r="AFE69" s="38"/>
      <c r="AFF69" s="38"/>
      <c r="AFG69" s="38"/>
      <c r="AFH69" s="38"/>
      <c r="AFI69" s="38"/>
      <c r="AFJ69" s="38"/>
      <c r="AFK69" s="38"/>
      <c r="AFL69" s="38"/>
      <c r="AFM69" s="38"/>
      <c r="AFN69" s="38"/>
      <c r="AFO69" s="38"/>
      <c r="AFP69" s="38"/>
      <c r="AFQ69" s="38"/>
      <c r="AFR69" s="38"/>
      <c r="AFS69" s="38"/>
      <c r="AFT69" s="38"/>
      <c r="AFU69" s="38"/>
      <c r="AFV69" s="38"/>
      <c r="AFW69" s="38"/>
      <c r="AFX69" s="38"/>
      <c r="AFY69" s="38"/>
      <c r="AFZ69" s="38"/>
      <c r="AGA69" s="38"/>
      <c r="AGB69" s="38"/>
      <c r="AGC69" s="38"/>
      <c r="AGD69" s="38"/>
      <c r="AGE69" s="38"/>
      <c r="AGF69" s="38"/>
      <c r="AGG69" s="38"/>
      <c r="AGH69" s="38"/>
      <c r="AGI69" s="38"/>
      <c r="AGJ69" s="38"/>
      <c r="AGK69" s="38"/>
      <c r="AGL69" s="38"/>
      <c r="AGM69" s="38"/>
      <c r="AGN69" s="38"/>
      <c r="AGO69" s="38"/>
      <c r="AGP69" s="38"/>
      <c r="AGQ69" s="38"/>
      <c r="AGR69" s="38"/>
      <c r="AGS69" s="38"/>
      <c r="AGT69" s="38"/>
      <c r="AGU69" s="38"/>
      <c r="AGV69" s="38"/>
      <c r="AGW69" s="38"/>
      <c r="AGX69" s="38"/>
      <c r="AGY69" s="38"/>
      <c r="AGZ69" s="38"/>
      <c r="AHA69" s="38"/>
      <c r="AHB69" s="38"/>
      <c r="AHC69" s="38"/>
      <c r="AHD69" s="38"/>
      <c r="AHE69" s="38"/>
      <c r="AHF69" s="38"/>
      <c r="AHG69" s="38"/>
      <c r="AHH69" s="38"/>
      <c r="AHI69" s="38"/>
      <c r="AHJ69" s="38"/>
      <c r="AHK69" s="38"/>
      <c r="AHL69" s="38"/>
      <c r="AHM69" s="38"/>
      <c r="AHN69" s="38"/>
      <c r="AHO69" s="38"/>
      <c r="AHP69" s="38"/>
      <c r="AHQ69" s="38"/>
      <c r="AHR69" s="38"/>
      <c r="AHS69" s="38"/>
      <c r="AHT69" s="38"/>
      <c r="AHU69" s="38"/>
      <c r="AHV69" s="38"/>
    </row>
    <row r="70" spans="1:906" s="27" customFormat="1" x14ac:dyDescent="0.35">
      <c r="A70" s="83">
        <v>65</v>
      </c>
      <c r="B70" s="108" t="s">
        <v>112</v>
      </c>
      <c r="C70" s="109" t="s">
        <v>113</v>
      </c>
      <c r="D70" s="109" t="s">
        <v>51</v>
      </c>
      <c r="E70" s="125"/>
      <c r="F70" s="125"/>
      <c r="G70" s="125">
        <v>6.5</v>
      </c>
      <c r="H70" s="125">
        <v>6.75</v>
      </c>
      <c r="I70" s="37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  <c r="EX70" s="38"/>
      <c r="EY70" s="38"/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  <c r="HI70" s="38"/>
      <c r="HJ70" s="38"/>
      <c r="HK70" s="38"/>
      <c r="HL70" s="38"/>
      <c r="HM70" s="38"/>
      <c r="HN70" s="38"/>
      <c r="HO70" s="38"/>
      <c r="HP70" s="38"/>
      <c r="HQ70" s="38"/>
      <c r="HR70" s="38"/>
      <c r="HS70" s="38"/>
      <c r="HT70" s="38"/>
      <c r="HU70" s="38"/>
      <c r="HV70" s="38"/>
      <c r="HW70" s="38"/>
      <c r="HX70" s="38"/>
      <c r="HY70" s="38"/>
      <c r="HZ70" s="38"/>
      <c r="IA70" s="38"/>
      <c r="IB70" s="38"/>
      <c r="IC70" s="38"/>
      <c r="ID70" s="38"/>
      <c r="IE70" s="38"/>
      <c r="IF70" s="38"/>
      <c r="IG70" s="38"/>
      <c r="IH70" s="38"/>
      <c r="II70" s="38"/>
      <c r="IJ70" s="38"/>
      <c r="IK70" s="38"/>
      <c r="IL70" s="38"/>
      <c r="IM70" s="38"/>
      <c r="IN70" s="38"/>
      <c r="IO70" s="38"/>
      <c r="IP70" s="38"/>
      <c r="IQ70" s="38"/>
      <c r="IR70" s="38"/>
      <c r="IS70" s="38"/>
      <c r="IT70" s="38"/>
      <c r="IU70" s="38"/>
      <c r="IV70" s="38"/>
      <c r="IW70" s="38"/>
      <c r="IX70" s="38"/>
      <c r="IY70" s="38"/>
      <c r="IZ70" s="38"/>
      <c r="JA70" s="38"/>
      <c r="JB70" s="38"/>
      <c r="JC70" s="38"/>
      <c r="JD70" s="38"/>
      <c r="JE70" s="38"/>
      <c r="JF70" s="38"/>
      <c r="JG70" s="38"/>
      <c r="JH70" s="38"/>
      <c r="JI70" s="38"/>
      <c r="JJ70" s="38"/>
      <c r="JK70" s="38"/>
      <c r="JL70" s="38"/>
      <c r="JM70" s="38"/>
      <c r="JN70" s="38"/>
      <c r="JO70" s="38"/>
      <c r="JP70" s="38"/>
      <c r="JQ70" s="38"/>
      <c r="JR70" s="38"/>
      <c r="JS70" s="38"/>
      <c r="JT70" s="38"/>
      <c r="JU70" s="38"/>
      <c r="JV70" s="38"/>
      <c r="JW70" s="38"/>
      <c r="JX70" s="38"/>
      <c r="JY70" s="38"/>
      <c r="JZ70" s="38"/>
      <c r="KA70" s="38"/>
      <c r="KB70" s="38"/>
      <c r="KC70" s="38"/>
      <c r="KD70" s="38"/>
      <c r="KE70" s="38"/>
      <c r="KF70" s="38"/>
      <c r="KG70" s="38"/>
      <c r="KH70" s="38"/>
      <c r="KI70" s="38"/>
      <c r="KJ70" s="38"/>
      <c r="KK70" s="38"/>
      <c r="KL70" s="38"/>
      <c r="KM70" s="38"/>
      <c r="KN70" s="38"/>
      <c r="KO70" s="38"/>
      <c r="KP70" s="38"/>
      <c r="KQ70" s="38"/>
      <c r="KR70" s="38"/>
      <c r="KS70" s="38"/>
      <c r="KT70" s="38"/>
      <c r="KU70" s="38"/>
      <c r="KV70" s="38"/>
      <c r="KW70" s="38"/>
      <c r="KX70" s="38"/>
      <c r="KY70" s="38"/>
      <c r="KZ70" s="38"/>
      <c r="LA70" s="38"/>
      <c r="LB70" s="38"/>
      <c r="LC70" s="38"/>
      <c r="LD70" s="38"/>
      <c r="LE70" s="38"/>
      <c r="LF70" s="38"/>
      <c r="LG70" s="38"/>
      <c r="LH70" s="38"/>
      <c r="LI70" s="38"/>
      <c r="LJ70" s="38"/>
      <c r="LK70" s="38"/>
      <c r="LL70" s="38"/>
      <c r="LM70" s="38"/>
      <c r="LN70" s="38"/>
      <c r="LO70" s="38"/>
      <c r="LP70" s="38"/>
      <c r="LQ70" s="38"/>
      <c r="LR70" s="38"/>
      <c r="LS70" s="38"/>
      <c r="LT70" s="38"/>
      <c r="LU70" s="38"/>
      <c r="LV70" s="38"/>
      <c r="LW70" s="38"/>
      <c r="LX70" s="38"/>
      <c r="LY70" s="38"/>
      <c r="LZ70" s="38"/>
      <c r="MA70" s="38"/>
      <c r="MB70" s="38"/>
      <c r="MC70" s="38"/>
      <c r="MD70" s="38"/>
      <c r="ME70" s="38"/>
      <c r="MF70" s="38"/>
      <c r="MG70" s="38"/>
      <c r="MH70" s="38"/>
      <c r="MI70" s="38"/>
      <c r="MJ70" s="38"/>
      <c r="MK70" s="38"/>
      <c r="ML70" s="38"/>
      <c r="MM70" s="38"/>
      <c r="MN70" s="38"/>
      <c r="MO70" s="38"/>
      <c r="MP70" s="38"/>
      <c r="MQ70" s="38"/>
      <c r="MR70" s="38"/>
      <c r="MS70" s="38"/>
      <c r="MT70" s="38"/>
      <c r="MU70" s="38"/>
      <c r="MV70" s="38"/>
      <c r="MW70" s="38"/>
      <c r="MX70" s="38"/>
      <c r="MY70" s="38"/>
      <c r="MZ70" s="38"/>
      <c r="NA70" s="38"/>
      <c r="NB70" s="38"/>
      <c r="NC70" s="38"/>
      <c r="ND70" s="38"/>
      <c r="NE70" s="38"/>
      <c r="NF70" s="38"/>
      <c r="NG70" s="38"/>
      <c r="NH70" s="38"/>
      <c r="NI70" s="38"/>
      <c r="NJ70" s="38"/>
      <c r="NK70" s="38"/>
      <c r="NL70" s="38"/>
      <c r="NM70" s="38"/>
      <c r="NN70" s="38"/>
      <c r="NO70" s="38"/>
      <c r="NP70" s="38"/>
      <c r="NQ70" s="38"/>
      <c r="NR70" s="38"/>
      <c r="NS70" s="38"/>
      <c r="NT70" s="38"/>
      <c r="NU70" s="38"/>
      <c r="NV70" s="38"/>
      <c r="NW70" s="38"/>
      <c r="NX70" s="38"/>
      <c r="NY70" s="38"/>
      <c r="NZ70" s="38"/>
      <c r="OA70" s="38"/>
      <c r="OB70" s="38"/>
      <c r="OC70" s="38"/>
      <c r="OD70" s="38"/>
      <c r="OE70" s="38"/>
      <c r="OF70" s="38"/>
      <c r="OG70" s="38"/>
      <c r="OH70" s="38"/>
      <c r="OI70" s="38"/>
      <c r="OJ70" s="38"/>
      <c r="OK70" s="38"/>
      <c r="OL70" s="38"/>
      <c r="OM70" s="38"/>
      <c r="ON70" s="38"/>
      <c r="OO70" s="38"/>
      <c r="OP70" s="38"/>
      <c r="OQ70" s="38"/>
      <c r="OR70" s="38"/>
      <c r="OS70" s="38"/>
      <c r="OT70" s="38"/>
      <c r="OU70" s="38"/>
      <c r="OV70" s="38"/>
      <c r="OW70" s="38"/>
      <c r="OX70" s="38"/>
      <c r="OY70" s="38"/>
      <c r="OZ70" s="38"/>
      <c r="PA70" s="38"/>
      <c r="PB70" s="38"/>
      <c r="PC70" s="38"/>
      <c r="PD70" s="38"/>
      <c r="PE70" s="38"/>
      <c r="PF70" s="38"/>
      <c r="PG70" s="38"/>
      <c r="PH70" s="38"/>
      <c r="PI70" s="38"/>
      <c r="PJ70" s="38"/>
      <c r="PK70" s="38"/>
      <c r="PL70" s="38"/>
      <c r="PM70" s="38"/>
      <c r="PN70" s="38"/>
      <c r="PO70" s="38"/>
      <c r="PP70" s="38"/>
      <c r="PQ70" s="38"/>
      <c r="PR70" s="38"/>
      <c r="PS70" s="38"/>
      <c r="PT70" s="38"/>
      <c r="PU70" s="38"/>
      <c r="PV70" s="38"/>
      <c r="PW70" s="38"/>
      <c r="PX70" s="38"/>
      <c r="PY70" s="38"/>
      <c r="PZ70" s="38"/>
      <c r="QA70" s="38"/>
      <c r="QB70" s="38"/>
      <c r="QC70" s="38"/>
      <c r="QD70" s="38"/>
      <c r="QE70" s="38"/>
      <c r="QF70" s="38"/>
      <c r="QG70" s="38"/>
      <c r="QH70" s="38"/>
      <c r="QI70" s="38"/>
      <c r="QJ70" s="38"/>
      <c r="QK70" s="38"/>
      <c r="QL70" s="38"/>
      <c r="QM70" s="38"/>
      <c r="QN70" s="38"/>
      <c r="QO70" s="38"/>
      <c r="QP70" s="38"/>
      <c r="QQ70" s="38"/>
      <c r="QR70" s="38"/>
      <c r="QS70" s="38"/>
      <c r="QT70" s="38"/>
      <c r="QU70" s="38"/>
      <c r="QV70" s="38"/>
      <c r="QW70" s="38"/>
      <c r="QX70" s="38"/>
      <c r="QY70" s="38"/>
      <c r="QZ70" s="38"/>
      <c r="RA70" s="38"/>
      <c r="RB70" s="38"/>
      <c r="RC70" s="38"/>
      <c r="RD70" s="38"/>
      <c r="RE70" s="38"/>
      <c r="RF70" s="38"/>
      <c r="RG70" s="38"/>
      <c r="RH70" s="38"/>
      <c r="RI70" s="38"/>
      <c r="RJ70" s="38"/>
      <c r="RK70" s="38"/>
      <c r="RL70" s="38"/>
      <c r="RM70" s="38"/>
      <c r="RN70" s="38"/>
      <c r="RO70" s="38"/>
      <c r="RP70" s="38"/>
      <c r="RQ70" s="38"/>
      <c r="RR70" s="38"/>
      <c r="RS70" s="38"/>
      <c r="RT70" s="38"/>
      <c r="RU70" s="38"/>
      <c r="RV70" s="38"/>
      <c r="RW70" s="38"/>
      <c r="RX70" s="38"/>
      <c r="RY70" s="38"/>
      <c r="RZ70" s="38"/>
      <c r="SA70" s="38"/>
      <c r="SB70" s="38"/>
      <c r="SC70" s="38"/>
      <c r="SD70" s="38"/>
      <c r="SE70" s="38"/>
      <c r="SF70" s="38"/>
      <c r="SG70" s="38"/>
      <c r="SH70" s="38"/>
      <c r="SI70" s="38"/>
      <c r="SJ70" s="38"/>
      <c r="SK70" s="38"/>
      <c r="SL70" s="38"/>
      <c r="SM70" s="38"/>
      <c r="SN70" s="38"/>
      <c r="SO70" s="38"/>
      <c r="SP70" s="38"/>
      <c r="SQ70" s="38"/>
      <c r="SR70" s="38"/>
      <c r="SS70" s="38"/>
      <c r="ST70" s="38"/>
      <c r="SU70" s="38"/>
      <c r="SV70" s="38"/>
      <c r="SW70" s="38"/>
      <c r="SX70" s="38"/>
      <c r="SY70" s="38"/>
      <c r="SZ70" s="38"/>
      <c r="TA70" s="38"/>
      <c r="TB70" s="38"/>
      <c r="TC70" s="38"/>
      <c r="TD70" s="38"/>
      <c r="TE70" s="38"/>
      <c r="TF70" s="38"/>
      <c r="TG70" s="38"/>
      <c r="TH70" s="38"/>
      <c r="TI70" s="38"/>
      <c r="TJ70" s="38"/>
      <c r="TK70" s="38"/>
      <c r="TL70" s="38"/>
      <c r="TM70" s="38"/>
      <c r="TN70" s="38"/>
      <c r="TO70" s="38"/>
      <c r="TP70" s="38"/>
      <c r="TQ70" s="38"/>
      <c r="TR70" s="38"/>
      <c r="TS70" s="38"/>
      <c r="TT70" s="38"/>
      <c r="TU70" s="38"/>
      <c r="TV70" s="38"/>
      <c r="TW70" s="38"/>
      <c r="TX70" s="38"/>
      <c r="TY70" s="38"/>
      <c r="TZ70" s="38"/>
      <c r="UA70" s="38"/>
      <c r="UB70" s="38"/>
      <c r="UC70" s="38"/>
      <c r="UD70" s="38"/>
      <c r="UE70" s="38"/>
      <c r="UF70" s="38"/>
      <c r="UG70" s="38"/>
      <c r="UH70" s="38"/>
      <c r="UI70" s="38"/>
      <c r="UJ70" s="38"/>
      <c r="UK70" s="38"/>
      <c r="UL70" s="38"/>
      <c r="UM70" s="38"/>
      <c r="UN70" s="38"/>
      <c r="UO70" s="38"/>
      <c r="UP70" s="38"/>
      <c r="UQ70" s="38"/>
      <c r="UR70" s="38"/>
      <c r="US70" s="38"/>
      <c r="UT70" s="38"/>
      <c r="UU70" s="38"/>
      <c r="UV70" s="38"/>
      <c r="UW70" s="38"/>
      <c r="UX70" s="38"/>
      <c r="UY70" s="38"/>
      <c r="UZ70" s="38"/>
      <c r="VA70" s="38"/>
      <c r="VB70" s="38"/>
      <c r="VC70" s="38"/>
      <c r="VD70" s="38"/>
      <c r="VE70" s="38"/>
      <c r="VF70" s="38"/>
      <c r="VG70" s="38"/>
      <c r="VH70" s="38"/>
      <c r="VI70" s="38"/>
      <c r="VJ70" s="38"/>
      <c r="VK70" s="38"/>
      <c r="VL70" s="38"/>
      <c r="VM70" s="38"/>
      <c r="VN70" s="38"/>
      <c r="VO70" s="38"/>
      <c r="VP70" s="38"/>
      <c r="VQ70" s="38"/>
      <c r="VR70" s="38"/>
      <c r="VS70" s="38"/>
      <c r="VT70" s="38"/>
      <c r="VU70" s="38"/>
      <c r="VV70" s="38"/>
      <c r="VW70" s="38"/>
      <c r="VX70" s="38"/>
      <c r="VY70" s="38"/>
      <c r="VZ70" s="38"/>
      <c r="WA70" s="38"/>
      <c r="WB70" s="38"/>
      <c r="WC70" s="38"/>
      <c r="WD70" s="38"/>
      <c r="WE70" s="38"/>
      <c r="WF70" s="38"/>
      <c r="WG70" s="38"/>
      <c r="WH70" s="38"/>
      <c r="WI70" s="38"/>
      <c r="WJ70" s="38"/>
      <c r="WK70" s="38"/>
      <c r="WL70" s="38"/>
      <c r="WM70" s="38"/>
      <c r="WN70" s="38"/>
      <c r="WO70" s="38"/>
      <c r="WP70" s="38"/>
      <c r="WQ70" s="38"/>
      <c r="WR70" s="38"/>
      <c r="WS70" s="38"/>
      <c r="WT70" s="38"/>
      <c r="WU70" s="38"/>
      <c r="WV70" s="38"/>
      <c r="WW70" s="38"/>
      <c r="WX70" s="38"/>
      <c r="WY70" s="38"/>
      <c r="WZ70" s="38"/>
      <c r="XA70" s="38"/>
      <c r="XB70" s="38"/>
      <c r="XC70" s="38"/>
      <c r="XD70" s="38"/>
      <c r="XE70" s="38"/>
      <c r="XF70" s="38"/>
      <c r="XG70" s="38"/>
      <c r="XH70" s="38"/>
      <c r="XI70" s="38"/>
      <c r="XJ70" s="38"/>
      <c r="XK70" s="38"/>
      <c r="XL70" s="38"/>
      <c r="XM70" s="38"/>
      <c r="XN70" s="38"/>
      <c r="XO70" s="38"/>
      <c r="XP70" s="38"/>
      <c r="XQ70" s="38"/>
      <c r="XR70" s="38"/>
      <c r="XS70" s="38"/>
      <c r="XT70" s="38"/>
      <c r="XU70" s="38"/>
      <c r="XV70" s="38"/>
      <c r="XW70" s="38"/>
      <c r="XX70" s="38"/>
      <c r="XY70" s="38"/>
      <c r="XZ70" s="38"/>
      <c r="YA70" s="38"/>
      <c r="YB70" s="38"/>
      <c r="YC70" s="38"/>
      <c r="YD70" s="38"/>
      <c r="YE70" s="38"/>
      <c r="YF70" s="38"/>
      <c r="YG70" s="38"/>
      <c r="YH70" s="38"/>
      <c r="YI70" s="38"/>
      <c r="YJ70" s="38"/>
      <c r="YK70" s="38"/>
      <c r="YL70" s="38"/>
      <c r="YM70" s="38"/>
      <c r="YN70" s="38"/>
      <c r="YO70" s="38"/>
      <c r="YP70" s="38"/>
      <c r="YQ70" s="38"/>
      <c r="YR70" s="38"/>
      <c r="YS70" s="38"/>
      <c r="YT70" s="38"/>
      <c r="YU70" s="38"/>
      <c r="YV70" s="38"/>
      <c r="YW70" s="38"/>
      <c r="YX70" s="38"/>
      <c r="YY70" s="38"/>
      <c r="YZ70" s="38"/>
      <c r="ZA70" s="38"/>
      <c r="ZB70" s="38"/>
      <c r="ZC70" s="38"/>
      <c r="ZD70" s="38"/>
      <c r="ZE70" s="38"/>
      <c r="ZF70" s="38"/>
      <c r="ZG70" s="38"/>
      <c r="ZH70" s="38"/>
      <c r="ZI70" s="38"/>
      <c r="ZJ70" s="38"/>
      <c r="ZK70" s="38"/>
      <c r="ZL70" s="38"/>
      <c r="ZM70" s="38"/>
      <c r="ZN70" s="38"/>
      <c r="ZO70" s="38"/>
      <c r="ZP70" s="38"/>
      <c r="ZQ70" s="38"/>
      <c r="ZR70" s="38"/>
      <c r="ZS70" s="38"/>
      <c r="ZT70" s="38"/>
      <c r="ZU70" s="38"/>
      <c r="ZV70" s="38"/>
      <c r="ZW70" s="38"/>
      <c r="ZX70" s="38"/>
      <c r="ZY70" s="38"/>
      <c r="ZZ70" s="38"/>
      <c r="AAA70" s="38"/>
      <c r="AAB70" s="38"/>
      <c r="AAC70" s="38"/>
      <c r="AAD70" s="38"/>
      <c r="AAE70" s="38"/>
      <c r="AAF70" s="38"/>
      <c r="AAG70" s="38"/>
      <c r="AAH70" s="38"/>
      <c r="AAI70" s="38"/>
      <c r="AAJ70" s="38"/>
      <c r="AAK70" s="38"/>
      <c r="AAL70" s="38"/>
      <c r="AAM70" s="38"/>
      <c r="AAN70" s="38"/>
      <c r="AAO70" s="38"/>
      <c r="AAP70" s="38"/>
      <c r="AAQ70" s="38"/>
      <c r="AAR70" s="38"/>
      <c r="AAS70" s="38"/>
      <c r="AAT70" s="38"/>
      <c r="AAU70" s="38"/>
      <c r="AAV70" s="38"/>
      <c r="AAW70" s="38"/>
      <c r="AAX70" s="38"/>
      <c r="AAY70" s="38"/>
      <c r="AAZ70" s="38"/>
      <c r="ABA70" s="38"/>
      <c r="ABB70" s="38"/>
      <c r="ABC70" s="38"/>
      <c r="ABD70" s="38"/>
      <c r="ABE70" s="38"/>
      <c r="ABF70" s="38"/>
      <c r="ABG70" s="38"/>
      <c r="ABH70" s="38"/>
      <c r="ABI70" s="38"/>
      <c r="ABJ70" s="38"/>
      <c r="ABK70" s="38"/>
      <c r="ABL70" s="38"/>
      <c r="ABM70" s="38"/>
      <c r="ABN70" s="38"/>
      <c r="ABO70" s="38"/>
      <c r="ABP70" s="38"/>
      <c r="ABQ70" s="38"/>
      <c r="ABR70" s="38"/>
      <c r="ABS70" s="38"/>
      <c r="ABT70" s="38"/>
      <c r="ABU70" s="38"/>
      <c r="ABV70" s="38"/>
      <c r="ABW70" s="38"/>
      <c r="ABX70" s="38"/>
      <c r="ABY70" s="38"/>
      <c r="ABZ70" s="38"/>
      <c r="ACA70" s="38"/>
      <c r="ACB70" s="38"/>
      <c r="ACC70" s="38"/>
      <c r="ACD70" s="38"/>
      <c r="ACE70" s="38"/>
      <c r="ACF70" s="38"/>
      <c r="ACG70" s="38"/>
      <c r="ACH70" s="38"/>
      <c r="ACI70" s="38"/>
      <c r="ACJ70" s="38"/>
      <c r="ACK70" s="38"/>
      <c r="ACL70" s="38"/>
      <c r="ACM70" s="38"/>
      <c r="ACN70" s="38"/>
      <c r="ACO70" s="38"/>
      <c r="ACP70" s="38"/>
      <c r="ACQ70" s="38"/>
      <c r="ACR70" s="38"/>
      <c r="ACS70" s="38"/>
      <c r="ACT70" s="38"/>
      <c r="ACU70" s="38"/>
      <c r="ACV70" s="38"/>
      <c r="ACW70" s="38"/>
      <c r="ACX70" s="38"/>
      <c r="ACY70" s="38"/>
      <c r="ACZ70" s="38"/>
      <c r="ADA70" s="38"/>
      <c r="ADB70" s="38"/>
      <c r="ADC70" s="38"/>
      <c r="ADD70" s="38"/>
      <c r="ADE70" s="38"/>
      <c r="ADF70" s="38"/>
      <c r="ADG70" s="38"/>
      <c r="ADH70" s="38"/>
      <c r="ADI70" s="38"/>
      <c r="ADJ70" s="38"/>
      <c r="ADK70" s="38"/>
      <c r="ADL70" s="38"/>
      <c r="ADM70" s="38"/>
      <c r="ADN70" s="38"/>
      <c r="ADO70" s="38"/>
      <c r="ADP70" s="38"/>
      <c r="ADQ70" s="38"/>
      <c r="ADR70" s="38"/>
      <c r="ADS70" s="38"/>
      <c r="ADT70" s="38"/>
      <c r="ADU70" s="38"/>
      <c r="ADV70" s="38"/>
      <c r="ADW70" s="38"/>
      <c r="ADX70" s="38"/>
      <c r="ADY70" s="38"/>
      <c r="ADZ70" s="38"/>
      <c r="AEA70" s="38"/>
      <c r="AEB70" s="38"/>
      <c r="AEC70" s="38"/>
      <c r="AED70" s="38"/>
      <c r="AEE70" s="38"/>
      <c r="AEF70" s="38"/>
      <c r="AEG70" s="38"/>
      <c r="AEH70" s="38"/>
      <c r="AEI70" s="38"/>
      <c r="AEJ70" s="38"/>
      <c r="AEK70" s="38"/>
      <c r="AEL70" s="38"/>
      <c r="AEM70" s="38"/>
      <c r="AEN70" s="38"/>
      <c r="AEO70" s="38"/>
      <c r="AEP70" s="38"/>
      <c r="AEQ70" s="38"/>
      <c r="AER70" s="38"/>
      <c r="AES70" s="38"/>
      <c r="AET70" s="38"/>
      <c r="AEU70" s="38"/>
      <c r="AEV70" s="38"/>
      <c r="AEW70" s="38"/>
      <c r="AEX70" s="38"/>
      <c r="AEY70" s="38"/>
      <c r="AEZ70" s="38"/>
      <c r="AFA70" s="38"/>
      <c r="AFB70" s="38"/>
      <c r="AFC70" s="38"/>
      <c r="AFD70" s="38"/>
      <c r="AFE70" s="38"/>
      <c r="AFF70" s="38"/>
      <c r="AFG70" s="38"/>
      <c r="AFH70" s="38"/>
      <c r="AFI70" s="38"/>
      <c r="AFJ70" s="38"/>
      <c r="AFK70" s="38"/>
      <c r="AFL70" s="38"/>
      <c r="AFM70" s="38"/>
      <c r="AFN70" s="38"/>
      <c r="AFO70" s="38"/>
      <c r="AFP70" s="38"/>
      <c r="AFQ70" s="38"/>
      <c r="AFR70" s="38"/>
      <c r="AFS70" s="38"/>
      <c r="AFT70" s="38"/>
      <c r="AFU70" s="38"/>
      <c r="AFV70" s="38"/>
      <c r="AFW70" s="38"/>
      <c r="AFX70" s="38"/>
      <c r="AFY70" s="38"/>
      <c r="AFZ70" s="38"/>
      <c r="AGA70" s="38"/>
      <c r="AGB70" s="38"/>
      <c r="AGC70" s="38"/>
      <c r="AGD70" s="38"/>
      <c r="AGE70" s="38"/>
      <c r="AGF70" s="38"/>
      <c r="AGG70" s="38"/>
      <c r="AGH70" s="38"/>
      <c r="AGI70" s="38"/>
      <c r="AGJ70" s="38"/>
      <c r="AGK70" s="38"/>
      <c r="AGL70" s="38"/>
      <c r="AGM70" s="38"/>
      <c r="AGN70" s="38"/>
      <c r="AGO70" s="38"/>
      <c r="AGP70" s="38"/>
      <c r="AGQ70" s="38"/>
      <c r="AGR70" s="38"/>
      <c r="AGS70" s="38"/>
      <c r="AGT70" s="38"/>
      <c r="AGU70" s="38"/>
      <c r="AGV70" s="38"/>
      <c r="AGW70" s="38"/>
      <c r="AGX70" s="38"/>
      <c r="AGY70" s="38"/>
      <c r="AGZ70" s="38"/>
      <c r="AHA70" s="38"/>
      <c r="AHB70" s="38"/>
      <c r="AHC70" s="38"/>
      <c r="AHD70" s="38"/>
      <c r="AHE70" s="38"/>
      <c r="AHF70" s="38"/>
      <c r="AHG70" s="38"/>
      <c r="AHH70" s="38"/>
      <c r="AHI70" s="38"/>
      <c r="AHJ70" s="38"/>
      <c r="AHK70" s="38"/>
      <c r="AHL70" s="38"/>
      <c r="AHM70" s="38"/>
      <c r="AHN70" s="38"/>
      <c r="AHO70" s="38"/>
      <c r="AHP70" s="38"/>
      <c r="AHQ70" s="38"/>
      <c r="AHR70" s="38"/>
      <c r="AHS70" s="38"/>
      <c r="AHT70" s="38"/>
      <c r="AHU70" s="38"/>
      <c r="AHV70" s="38"/>
    </row>
    <row r="71" spans="1:906" s="27" customFormat="1" x14ac:dyDescent="0.35">
      <c r="A71" s="83">
        <v>66</v>
      </c>
      <c r="B71" s="108" t="s">
        <v>114</v>
      </c>
      <c r="C71" s="109"/>
      <c r="D71" s="109" t="s">
        <v>15</v>
      </c>
      <c r="E71" s="125">
        <v>3.52</v>
      </c>
      <c r="F71" s="125">
        <v>4.2</v>
      </c>
      <c r="G71" s="125">
        <v>3.25</v>
      </c>
      <c r="H71" s="125">
        <v>3.25</v>
      </c>
      <c r="I71" s="37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8"/>
      <c r="FC71" s="38"/>
      <c r="FD71" s="38"/>
      <c r="FE71" s="38"/>
      <c r="FF71" s="38"/>
      <c r="FG71" s="38"/>
      <c r="FH71" s="38"/>
      <c r="FI71" s="38"/>
      <c r="FJ71" s="38"/>
      <c r="FK71" s="38"/>
      <c r="FL71" s="38"/>
      <c r="FM71" s="38"/>
      <c r="FN71" s="38"/>
      <c r="FO71" s="38"/>
      <c r="FP71" s="38"/>
      <c r="FQ71" s="38"/>
      <c r="FR71" s="38"/>
      <c r="FS71" s="38"/>
      <c r="FT71" s="38"/>
      <c r="FU71" s="38"/>
      <c r="FV71" s="38"/>
      <c r="FW71" s="38"/>
      <c r="FX71" s="38"/>
      <c r="FY71" s="38"/>
      <c r="FZ71" s="38"/>
      <c r="GA71" s="38"/>
      <c r="GB71" s="38"/>
      <c r="GC71" s="38"/>
      <c r="GD71" s="38"/>
      <c r="GE71" s="38"/>
      <c r="GF71" s="38"/>
      <c r="GG71" s="38"/>
      <c r="GH71" s="38"/>
      <c r="GI71" s="38"/>
      <c r="GJ71" s="38"/>
      <c r="GK71" s="38"/>
      <c r="GL71" s="38"/>
      <c r="GM71" s="38"/>
      <c r="GN71" s="38"/>
      <c r="GO71" s="38"/>
      <c r="GP71" s="38"/>
      <c r="GQ71" s="38"/>
      <c r="GR71" s="38"/>
      <c r="GS71" s="38"/>
      <c r="GT71" s="38"/>
      <c r="GU71" s="38"/>
      <c r="GV71" s="38"/>
      <c r="GW71" s="38"/>
      <c r="GX71" s="38"/>
      <c r="GY71" s="38"/>
      <c r="GZ71" s="38"/>
      <c r="HA71" s="38"/>
      <c r="HB71" s="38"/>
      <c r="HC71" s="38"/>
      <c r="HD71" s="38"/>
      <c r="HE71" s="38"/>
      <c r="HF71" s="38"/>
      <c r="HG71" s="38"/>
      <c r="HH71" s="38"/>
      <c r="HI71" s="38"/>
      <c r="HJ71" s="38"/>
      <c r="HK71" s="38"/>
      <c r="HL71" s="38"/>
      <c r="HM71" s="38"/>
      <c r="HN71" s="38"/>
      <c r="HO71" s="38"/>
      <c r="HP71" s="38"/>
      <c r="HQ71" s="38"/>
      <c r="HR71" s="38"/>
      <c r="HS71" s="38"/>
      <c r="HT71" s="38"/>
      <c r="HU71" s="38"/>
      <c r="HV71" s="38"/>
      <c r="HW71" s="38"/>
      <c r="HX71" s="38"/>
      <c r="HY71" s="38"/>
      <c r="HZ71" s="38"/>
      <c r="IA71" s="38"/>
      <c r="IB71" s="38"/>
      <c r="IC71" s="38"/>
      <c r="ID71" s="38"/>
      <c r="IE71" s="38"/>
      <c r="IF71" s="38"/>
      <c r="IG71" s="38"/>
      <c r="IH71" s="38"/>
      <c r="II71" s="38"/>
      <c r="IJ71" s="38"/>
      <c r="IK71" s="38"/>
      <c r="IL71" s="38"/>
      <c r="IM71" s="38"/>
      <c r="IN71" s="38"/>
      <c r="IO71" s="38"/>
      <c r="IP71" s="38"/>
      <c r="IQ71" s="38"/>
      <c r="IR71" s="38"/>
      <c r="IS71" s="38"/>
      <c r="IT71" s="38"/>
      <c r="IU71" s="38"/>
      <c r="IV71" s="38"/>
      <c r="IW71" s="38"/>
      <c r="IX71" s="38"/>
      <c r="IY71" s="38"/>
      <c r="IZ71" s="38"/>
      <c r="JA71" s="38"/>
      <c r="JB71" s="38"/>
      <c r="JC71" s="38"/>
      <c r="JD71" s="38"/>
      <c r="JE71" s="38"/>
      <c r="JF71" s="38"/>
      <c r="JG71" s="38"/>
      <c r="JH71" s="38"/>
      <c r="JI71" s="38"/>
      <c r="JJ71" s="38"/>
      <c r="JK71" s="38"/>
      <c r="JL71" s="38"/>
      <c r="JM71" s="38"/>
      <c r="JN71" s="38"/>
      <c r="JO71" s="38"/>
      <c r="JP71" s="38"/>
      <c r="JQ71" s="38"/>
      <c r="JR71" s="38"/>
      <c r="JS71" s="38"/>
      <c r="JT71" s="38"/>
      <c r="JU71" s="38"/>
      <c r="JV71" s="38"/>
      <c r="JW71" s="38"/>
      <c r="JX71" s="38"/>
      <c r="JY71" s="38"/>
      <c r="JZ71" s="38"/>
      <c r="KA71" s="38"/>
      <c r="KB71" s="38"/>
      <c r="KC71" s="38"/>
      <c r="KD71" s="38"/>
      <c r="KE71" s="38"/>
      <c r="KF71" s="38"/>
      <c r="KG71" s="38"/>
      <c r="KH71" s="38"/>
      <c r="KI71" s="38"/>
      <c r="KJ71" s="38"/>
      <c r="KK71" s="38"/>
      <c r="KL71" s="38"/>
      <c r="KM71" s="38"/>
      <c r="KN71" s="38"/>
      <c r="KO71" s="38"/>
      <c r="KP71" s="38"/>
      <c r="KQ71" s="38"/>
      <c r="KR71" s="38"/>
      <c r="KS71" s="38"/>
      <c r="KT71" s="38"/>
      <c r="KU71" s="38"/>
      <c r="KV71" s="38"/>
      <c r="KW71" s="38"/>
      <c r="KX71" s="38"/>
      <c r="KY71" s="38"/>
      <c r="KZ71" s="38"/>
      <c r="LA71" s="38"/>
      <c r="LB71" s="38"/>
      <c r="LC71" s="38"/>
      <c r="LD71" s="38"/>
      <c r="LE71" s="38"/>
      <c r="LF71" s="38"/>
      <c r="LG71" s="38"/>
      <c r="LH71" s="38"/>
      <c r="LI71" s="38"/>
      <c r="LJ71" s="38"/>
      <c r="LK71" s="38"/>
      <c r="LL71" s="38"/>
      <c r="LM71" s="38"/>
      <c r="LN71" s="38"/>
      <c r="LO71" s="38"/>
      <c r="LP71" s="38"/>
      <c r="LQ71" s="38"/>
      <c r="LR71" s="38"/>
      <c r="LS71" s="38"/>
      <c r="LT71" s="38"/>
      <c r="LU71" s="38"/>
      <c r="LV71" s="38"/>
      <c r="LW71" s="38"/>
      <c r="LX71" s="38"/>
      <c r="LY71" s="38"/>
      <c r="LZ71" s="38"/>
      <c r="MA71" s="38"/>
      <c r="MB71" s="38"/>
      <c r="MC71" s="38"/>
      <c r="MD71" s="38"/>
      <c r="ME71" s="38"/>
      <c r="MF71" s="38"/>
      <c r="MG71" s="38"/>
      <c r="MH71" s="38"/>
      <c r="MI71" s="38"/>
      <c r="MJ71" s="38"/>
      <c r="MK71" s="38"/>
      <c r="ML71" s="38"/>
      <c r="MM71" s="38"/>
      <c r="MN71" s="38"/>
      <c r="MO71" s="38"/>
      <c r="MP71" s="38"/>
      <c r="MQ71" s="38"/>
      <c r="MR71" s="38"/>
      <c r="MS71" s="38"/>
      <c r="MT71" s="38"/>
      <c r="MU71" s="38"/>
      <c r="MV71" s="38"/>
      <c r="MW71" s="38"/>
      <c r="MX71" s="38"/>
      <c r="MY71" s="38"/>
      <c r="MZ71" s="38"/>
      <c r="NA71" s="38"/>
      <c r="NB71" s="38"/>
      <c r="NC71" s="38"/>
      <c r="ND71" s="38"/>
      <c r="NE71" s="38"/>
      <c r="NF71" s="38"/>
      <c r="NG71" s="38"/>
      <c r="NH71" s="38"/>
      <c r="NI71" s="38"/>
      <c r="NJ71" s="38"/>
      <c r="NK71" s="38"/>
      <c r="NL71" s="38"/>
      <c r="NM71" s="38"/>
      <c r="NN71" s="38"/>
      <c r="NO71" s="38"/>
      <c r="NP71" s="38"/>
      <c r="NQ71" s="38"/>
      <c r="NR71" s="38"/>
      <c r="NS71" s="38"/>
      <c r="NT71" s="38"/>
      <c r="NU71" s="38"/>
      <c r="NV71" s="38"/>
      <c r="NW71" s="38"/>
      <c r="NX71" s="38"/>
      <c r="NY71" s="38"/>
      <c r="NZ71" s="38"/>
      <c r="OA71" s="38"/>
      <c r="OB71" s="38"/>
      <c r="OC71" s="38"/>
      <c r="OD71" s="38"/>
      <c r="OE71" s="38"/>
      <c r="OF71" s="38"/>
      <c r="OG71" s="38"/>
      <c r="OH71" s="38"/>
      <c r="OI71" s="38"/>
      <c r="OJ71" s="38"/>
      <c r="OK71" s="38"/>
      <c r="OL71" s="38"/>
      <c r="OM71" s="38"/>
      <c r="ON71" s="38"/>
      <c r="OO71" s="38"/>
      <c r="OP71" s="38"/>
      <c r="OQ71" s="38"/>
      <c r="OR71" s="38"/>
      <c r="OS71" s="38"/>
      <c r="OT71" s="38"/>
      <c r="OU71" s="38"/>
      <c r="OV71" s="38"/>
      <c r="OW71" s="38"/>
      <c r="OX71" s="38"/>
      <c r="OY71" s="38"/>
      <c r="OZ71" s="38"/>
      <c r="PA71" s="38"/>
      <c r="PB71" s="38"/>
      <c r="PC71" s="38"/>
      <c r="PD71" s="38"/>
      <c r="PE71" s="38"/>
      <c r="PF71" s="38"/>
      <c r="PG71" s="38"/>
      <c r="PH71" s="38"/>
      <c r="PI71" s="38"/>
      <c r="PJ71" s="38"/>
      <c r="PK71" s="38"/>
      <c r="PL71" s="38"/>
      <c r="PM71" s="38"/>
      <c r="PN71" s="38"/>
      <c r="PO71" s="38"/>
      <c r="PP71" s="38"/>
      <c r="PQ71" s="38"/>
      <c r="PR71" s="38"/>
      <c r="PS71" s="38"/>
      <c r="PT71" s="38"/>
      <c r="PU71" s="38"/>
      <c r="PV71" s="38"/>
      <c r="PW71" s="38"/>
      <c r="PX71" s="38"/>
      <c r="PY71" s="38"/>
      <c r="PZ71" s="38"/>
      <c r="QA71" s="38"/>
      <c r="QB71" s="38"/>
      <c r="QC71" s="38"/>
      <c r="QD71" s="38"/>
      <c r="QE71" s="38"/>
      <c r="QF71" s="38"/>
      <c r="QG71" s="38"/>
      <c r="QH71" s="38"/>
      <c r="QI71" s="38"/>
      <c r="QJ71" s="38"/>
      <c r="QK71" s="38"/>
      <c r="QL71" s="38"/>
      <c r="QM71" s="38"/>
      <c r="QN71" s="38"/>
      <c r="QO71" s="38"/>
      <c r="QP71" s="38"/>
      <c r="QQ71" s="38"/>
      <c r="QR71" s="38"/>
      <c r="QS71" s="38"/>
      <c r="QT71" s="38"/>
      <c r="QU71" s="38"/>
      <c r="QV71" s="38"/>
      <c r="QW71" s="38"/>
      <c r="QX71" s="38"/>
      <c r="QY71" s="38"/>
      <c r="QZ71" s="38"/>
      <c r="RA71" s="38"/>
      <c r="RB71" s="38"/>
      <c r="RC71" s="38"/>
      <c r="RD71" s="38"/>
      <c r="RE71" s="38"/>
      <c r="RF71" s="38"/>
      <c r="RG71" s="38"/>
      <c r="RH71" s="38"/>
      <c r="RI71" s="38"/>
      <c r="RJ71" s="38"/>
      <c r="RK71" s="38"/>
      <c r="RL71" s="38"/>
      <c r="RM71" s="38"/>
      <c r="RN71" s="38"/>
      <c r="RO71" s="38"/>
      <c r="RP71" s="38"/>
      <c r="RQ71" s="38"/>
      <c r="RR71" s="38"/>
      <c r="RS71" s="38"/>
      <c r="RT71" s="38"/>
      <c r="RU71" s="38"/>
      <c r="RV71" s="38"/>
      <c r="RW71" s="38"/>
      <c r="RX71" s="38"/>
      <c r="RY71" s="38"/>
      <c r="RZ71" s="38"/>
      <c r="SA71" s="38"/>
      <c r="SB71" s="38"/>
      <c r="SC71" s="38"/>
      <c r="SD71" s="38"/>
      <c r="SE71" s="38"/>
      <c r="SF71" s="38"/>
      <c r="SG71" s="38"/>
      <c r="SH71" s="38"/>
      <c r="SI71" s="38"/>
      <c r="SJ71" s="38"/>
      <c r="SK71" s="38"/>
      <c r="SL71" s="38"/>
      <c r="SM71" s="38"/>
      <c r="SN71" s="38"/>
      <c r="SO71" s="38"/>
      <c r="SP71" s="38"/>
      <c r="SQ71" s="38"/>
      <c r="SR71" s="38"/>
      <c r="SS71" s="38"/>
      <c r="ST71" s="38"/>
      <c r="SU71" s="38"/>
      <c r="SV71" s="38"/>
      <c r="SW71" s="38"/>
      <c r="SX71" s="38"/>
      <c r="SY71" s="38"/>
      <c r="SZ71" s="38"/>
      <c r="TA71" s="38"/>
      <c r="TB71" s="38"/>
      <c r="TC71" s="38"/>
      <c r="TD71" s="38"/>
      <c r="TE71" s="38"/>
      <c r="TF71" s="38"/>
      <c r="TG71" s="38"/>
      <c r="TH71" s="38"/>
      <c r="TI71" s="38"/>
      <c r="TJ71" s="38"/>
      <c r="TK71" s="38"/>
      <c r="TL71" s="38"/>
      <c r="TM71" s="38"/>
      <c r="TN71" s="38"/>
      <c r="TO71" s="38"/>
      <c r="TP71" s="38"/>
      <c r="TQ71" s="38"/>
      <c r="TR71" s="38"/>
      <c r="TS71" s="38"/>
      <c r="TT71" s="38"/>
      <c r="TU71" s="38"/>
      <c r="TV71" s="38"/>
      <c r="TW71" s="38"/>
      <c r="TX71" s="38"/>
      <c r="TY71" s="38"/>
      <c r="TZ71" s="38"/>
      <c r="UA71" s="38"/>
      <c r="UB71" s="38"/>
      <c r="UC71" s="38"/>
      <c r="UD71" s="38"/>
      <c r="UE71" s="38"/>
      <c r="UF71" s="38"/>
      <c r="UG71" s="38"/>
      <c r="UH71" s="38"/>
      <c r="UI71" s="38"/>
      <c r="UJ71" s="38"/>
      <c r="UK71" s="38"/>
      <c r="UL71" s="38"/>
      <c r="UM71" s="38"/>
      <c r="UN71" s="38"/>
      <c r="UO71" s="38"/>
      <c r="UP71" s="38"/>
      <c r="UQ71" s="38"/>
      <c r="UR71" s="38"/>
      <c r="US71" s="38"/>
      <c r="UT71" s="38"/>
      <c r="UU71" s="38"/>
      <c r="UV71" s="38"/>
      <c r="UW71" s="38"/>
      <c r="UX71" s="38"/>
      <c r="UY71" s="38"/>
      <c r="UZ71" s="38"/>
      <c r="VA71" s="38"/>
      <c r="VB71" s="38"/>
      <c r="VC71" s="38"/>
      <c r="VD71" s="38"/>
      <c r="VE71" s="38"/>
      <c r="VF71" s="38"/>
      <c r="VG71" s="38"/>
      <c r="VH71" s="38"/>
      <c r="VI71" s="38"/>
      <c r="VJ71" s="38"/>
      <c r="VK71" s="38"/>
      <c r="VL71" s="38"/>
      <c r="VM71" s="38"/>
      <c r="VN71" s="38"/>
      <c r="VO71" s="38"/>
      <c r="VP71" s="38"/>
      <c r="VQ71" s="38"/>
      <c r="VR71" s="38"/>
      <c r="VS71" s="38"/>
      <c r="VT71" s="38"/>
      <c r="VU71" s="38"/>
      <c r="VV71" s="38"/>
      <c r="VW71" s="38"/>
      <c r="VX71" s="38"/>
      <c r="VY71" s="38"/>
      <c r="VZ71" s="38"/>
      <c r="WA71" s="38"/>
      <c r="WB71" s="38"/>
      <c r="WC71" s="38"/>
      <c r="WD71" s="38"/>
      <c r="WE71" s="38"/>
      <c r="WF71" s="38"/>
      <c r="WG71" s="38"/>
      <c r="WH71" s="38"/>
      <c r="WI71" s="38"/>
      <c r="WJ71" s="38"/>
      <c r="WK71" s="38"/>
      <c r="WL71" s="38"/>
      <c r="WM71" s="38"/>
      <c r="WN71" s="38"/>
      <c r="WO71" s="38"/>
      <c r="WP71" s="38"/>
      <c r="WQ71" s="38"/>
      <c r="WR71" s="38"/>
      <c r="WS71" s="38"/>
      <c r="WT71" s="38"/>
      <c r="WU71" s="38"/>
      <c r="WV71" s="38"/>
      <c r="WW71" s="38"/>
      <c r="WX71" s="38"/>
      <c r="WY71" s="38"/>
      <c r="WZ71" s="38"/>
      <c r="XA71" s="38"/>
      <c r="XB71" s="38"/>
      <c r="XC71" s="38"/>
      <c r="XD71" s="38"/>
      <c r="XE71" s="38"/>
      <c r="XF71" s="38"/>
      <c r="XG71" s="38"/>
      <c r="XH71" s="38"/>
      <c r="XI71" s="38"/>
      <c r="XJ71" s="38"/>
      <c r="XK71" s="38"/>
      <c r="XL71" s="38"/>
      <c r="XM71" s="38"/>
      <c r="XN71" s="38"/>
      <c r="XO71" s="38"/>
      <c r="XP71" s="38"/>
      <c r="XQ71" s="38"/>
      <c r="XR71" s="38"/>
      <c r="XS71" s="38"/>
      <c r="XT71" s="38"/>
      <c r="XU71" s="38"/>
      <c r="XV71" s="38"/>
      <c r="XW71" s="38"/>
      <c r="XX71" s="38"/>
      <c r="XY71" s="38"/>
      <c r="XZ71" s="38"/>
      <c r="YA71" s="38"/>
      <c r="YB71" s="38"/>
      <c r="YC71" s="38"/>
      <c r="YD71" s="38"/>
      <c r="YE71" s="38"/>
      <c r="YF71" s="38"/>
      <c r="YG71" s="38"/>
      <c r="YH71" s="38"/>
      <c r="YI71" s="38"/>
      <c r="YJ71" s="38"/>
      <c r="YK71" s="38"/>
      <c r="YL71" s="38"/>
      <c r="YM71" s="38"/>
      <c r="YN71" s="38"/>
      <c r="YO71" s="38"/>
      <c r="YP71" s="38"/>
      <c r="YQ71" s="38"/>
      <c r="YR71" s="38"/>
      <c r="YS71" s="38"/>
      <c r="YT71" s="38"/>
      <c r="YU71" s="38"/>
      <c r="YV71" s="38"/>
      <c r="YW71" s="38"/>
      <c r="YX71" s="38"/>
      <c r="YY71" s="38"/>
      <c r="YZ71" s="38"/>
      <c r="ZA71" s="38"/>
      <c r="ZB71" s="38"/>
      <c r="ZC71" s="38"/>
      <c r="ZD71" s="38"/>
      <c r="ZE71" s="38"/>
      <c r="ZF71" s="38"/>
      <c r="ZG71" s="38"/>
      <c r="ZH71" s="38"/>
      <c r="ZI71" s="38"/>
      <c r="ZJ71" s="38"/>
      <c r="ZK71" s="38"/>
      <c r="ZL71" s="38"/>
      <c r="ZM71" s="38"/>
      <c r="ZN71" s="38"/>
      <c r="ZO71" s="38"/>
      <c r="ZP71" s="38"/>
      <c r="ZQ71" s="38"/>
      <c r="ZR71" s="38"/>
      <c r="ZS71" s="38"/>
      <c r="ZT71" s="38"/>
      <c r="ZU71" s="38"/>
      <c r="ZV71" s="38"/>
      <c r="ZW71" s="38"/>
      <c r="ZX71" s="38"/>
      <c r="ZY71" s="38"/>
      <c r="ZZ71" s="38"/>
      <c r="AAA71" s="38"/>
      <c r="AAB71" s="38"/>
      <c r="AAC71" s="38"/>
      <c r="AAD71" s="38"/>
      <c r="AAE71" s="38"/>
      <c r="AAF71" s="38"/>
      <c r="AAG71" s="38"/>
      <c r="AAH71" s="38"/>
      <c r="AAI71" s="38"/>
      <c r="AAJ71" s="38"/>
      <c r="AAK71" s="38"/>
      <c r="AAL71" s="38"/>
      <c r="AAM71" s="38"/>
      <c r="AAN71" s="38"/>
      <c r="AAO71" s="38"/>
      <c r="AAP71" s="38"/>
      <c r="AAQ71" s="38"/>
      <c r="AAR71" s="38"/>
      <c r="AAS71" s="38"/>
      <c r="AAT71" s="38"/>
      <c r="AAU71" s="38"/>
      <c r="AAV71" s="38"/>
      <c r="AAW71" s="38"/>
      <c r="AAX71" s="38"/>
      <c r="AAY71" s="38"/>
      <c r="AAZ71" s="38"/>
      <c r="ABA71" s="38"/>
      <c r="ABB71" s="38"/>
      <c r="ABC71" s="38"/>
      <c r="ABD71" s="38"/>
      <c r="ABE71" s="38"/>
      <c r="ABF71" s="38"/>
      <c r="ABG71" s="38"/>
      <c r="ABH71" s="38"/>
      <c r="ABI71" s="38"/>
      <c r="ABJ71" s="38"/>
      <c r="ABK71" s="38"/>
      <c r="ABL71" s="38"/>
      <c r="ABM71" s="38"/>
      <c r="ABN71" s="38"/>
      <c r="ABO71" s="38"/>
      <c r="ABP71" s="38"/>
      <c r="ABQ71" s="38"/>
      <c r="ABR71" s="38"/>
      <c r="ABS71" s="38"/>
      <c r="ABT71" s="38"/>
      <c r="ABU71" s="38"/>
      <c r="ABV71" s="38"/>
      <c r="ABW71" s="38"/>
      <c r="ABX71" s="38"/>
      <c r="ABY71" s="38"/>
      <c r="ABZ71" s="38"/>
      <c r="ACA71" s="38"/>
      <c r="ACB71" s="38"/>
      <c r="ACC71" s="38"/>
      <c r="ACD71" s="38"/>
      <c r="ACE71" s="38"/>
      <c r="ACF71" s="38"/>
      <c r="ACG71" s="38"/>
      <c r="ACH71" s="38"/>
      <c r="ACI71" s="38"/>
      <c r="ACJ71" s="38"/>
      <c r="ACK71" s="38"/>
      <c r="ACL71" s="38"/>
      <c r="ACM71" s="38"/>
      <c r="ACN71" s="38"/>
      <c r="ACO71" s="38"/>
      <c r="ACP71" s="38"/>
      <c r="ACQ71" s="38"/>
      <c r="ACR71" s="38"/>
      <c r="ACS71" s="38"/>
      <c r="ACT71" s="38"/>
      <c r="ACU71" s="38"/>
      <c r="ACV71" s="38"/>
      <c r="ACW71" s="38"/>
      <c r="ACX71" s="38"/>
      <c r="ACY71" s="38"/>
      <c r="ACZ71" s="38"/>
      <c r="ADA71" s="38"/>
      <c r="ADB71" s="38"/>
      <c r="ADC71" s="38"/>
      <c r="ADD71" s="38"/>
      <c r="ADE71" s="38"/>
      <c r="ADF71" s="38"/>
      <c r="ADG71" s="38"/>
      <c r="ADH71" s="38"/>
      <c r="ADI71" s="38"/>
      <c r="ADJ71" s="38"/>
      <c r="ADK71" s="38"/>
      <c r="ADL71" s="38"/>
      <c r="ADM71" s="38"/>
      <c r="ADN71" s="38"/>
      <c r="ADO71" s="38"/>
      <c r="ADP71" s="38"/>
      <c r="ADQ71" s="38"/>
      <c r="ADR71" s="38"/>
      <c r="ADS71" s="38"/>
      <c r="ADT71" s="38"/>
      <c r="ADU71" s="38"/>
      <c r="ADV71" s="38"/>
      <c r="ADW71" s="38"/>
      <c r="ADX71" s="38"/>
      <c r="ADY71" s="38"/>
      <c r="ADZ71" s="38"/>
      <c r="AEA71" s="38"/>
      <c r="AEB71" s="38"/>
      <c r="AEC71" s="38"/>
      <c r="AED71" s="38"/>
      <c r="AEE71" s="38"/>
      <c r="AEF71" s="38"/>
      <c r="AEG71" s="38"/>
      <c r="AEH71" s="38"/>
      <c r="AEI71" s="38"/>
      <c r="AEJ71" s="38"/>
      <c r="AEK71" s="38"/>
      <c r="AEL71" s="38"/>
      <c r="AEM71" s="38"/>
      <c r="AEN71" s="38"/>
      <c r="AEO71" s="38"/>
      <c r="AEP71" s="38"/>
      <c r="AEQ71" s="38"/>
      <c r="AER71" s="38"/>
      <c r="AES71" s="38"/>
      <c r="AET71" s="38"/>
      <c r="AEU71" s="38"/>
      <c r="AEV71" s="38"/>
      <c r="AEW71" s="38"/>
      <c r="AEX71" s="38"/>
      <c r="AEY71" s="38"/>
      <c r="AEZ71" s="38"/>
      <c r="AFA71" s="38"/>
      <c r="AFB71" s="38"/>
      <c r="AFC71" s="38"/>
      <c r="AFD71" s="38"/>
      <c r="AFE71" s="38"/>
      <c r="AFF71" s="38"/>
      <c r="AFG71" s="38"/>
      <c r="AFH71" s="38"/>
      <c r="AFI71" s="38"/>
      <c r="AFJ71" s="38"/>
      <c r="AFK71" s="38"/>
      <c r="AFL71" s="38"/>
      <c r="AFM71" s="38"/>
      <c r="AFN71" s="38"/>
      <c r="AFO71" s="38"/>
      <c r="AFP71" s="38"/>
      <c r="AFQ71" s="38"/>
      <c r="AFR71" s="38"/>
      <c r="AFS71" s="38"/>
      <c r="AFT71" s="38"/>
      <c r="AFU71" s="38"/>
      <c r="AFV71" s="38"/>
      <c r="AFW71" s="38"/>
      <c r="AFX71" s="38"/>
      <c r="AFY71" s="38"/>
      <c r="AFZ71" s="38"/>
      <c r="AGA71" s="38"/>
      <c r="AGB71" s="38"/>
      <c r="AGC71" s="38"/>
      <c r="AGD71" s="38"/>
      <c r="AGE71" s="38"/>
      <c r="AGF71" s="38"/>
      <c r="AGG71" s="38"/>
      <c r="AGH71" s="38"/>
      <c r="AGI71" s="38"/>
      <c r="AGJ71" s="38"/>
      <c r="AGK71" s="38"/>
      <c r="AGL71" s="38"/>
      <c r="AGM71" s="38"/>
      <c r="AGN71" s="38"/>
      <c r="AGO71" s="38"/>
      <c r="AGP71" s="38"/>
      <c r="AGQ71" s="38"/>
      <c r="AGR71" s="38"/>
      <c r="AGS71" s="38"/>
      <c r="AGT71" s="38"/>
      <c r="AGU71" s="38"/>
      <c r="AGV71" s="38"/>
      <c r="AGW71" s="38"/>
      <c r="AGX71" s="38"/>
      <c r="AGY71" s="38"/>
      <c r="AGZ71" s="38"/>
      <c r="AHA71" s="38"/>
      <c r="AHB71" s="38"/>
      <c r="AHC71" s="38"/>
      <c r="AHD71" s="38"/>
      <c r="AHE71" s="38"/>
      <c r="AHF71" s="38"/>
      <c r="AHG71" s="38"/>
      <c r="AHH71" s="38"/>
      <c r="AHI71" s="38"/>
      <c r="AHJ71" s="38"/>
      <c r="AHK71" s="38"/>
      <c r="AHL71" s="38"/>
      <c r="AHM71" s="38"/>
      <c r="AHN71" s="38"/>
      <c r="AHO71" s="38"/>
      <c r="AHP71" s="38"/>
      <c r="AHQ71" s="38"/>
      <c r="AHR71" s="38"/>
      <c r="AHS71" s="38"/>
      <c r="AHT71" s="38"/>
      <c r="AHU71" s="38"/>
      <c r="AHV71" s="38"/>
    </row>
    <row r="72" spans="1:906" s="27" customFormat="1" x14ac:dyDescent="0.35">
      <c r="A72" s="83">
        <v>67</v>
      </c>
      <c r="B72" s="108" t="s">
        <v>115</v>
      </c>
      <c r="C72" s="109"/>
      <c r="D72" s="109" t="s">
        <v>15</v>
      </c>
      <c r="E72" s="125"/>
      <c r="F72" s="125">
        <v>3.16</v>
      </c>
      <c r="G72" s="125">
        <v>5</v>
      </c>
      <c r="H72" s="125">
        <v>5.1100000000000003</v>
      </c>
      <c r="I72" s="37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38"/>
      <c r="CO72" s="38"/>
      <c r="CP72" s="38"/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  <c r="EN72" s="38"/>
      <c r="EO72" s="38"/>
      <c r="EP72" s="38"/>
      <c r="EQ72" s="38"/>
      <c r="ER72" s="38"/>
      <c r="ES72" s="38"/>
      <c r="ET72" s="38"/>
      <c r="EU72" s="38"/>
      <c r="EV72" s="38"/>
      <c r="EW72" s="38"/>
      <c r="EX72" s="38"/>
      <c r="EY72" s="38"/>
      <c r="EZ72" s="38"/>
      <c r="FA72" s="38"/>
      <c r="FB72" s="38"/>
      <c r="FC72" s="38"/>
      <c r="FD72" s="38"/>
      <c r="FE72" s="38"/>
      <c r="FF72" s="38"/>
      <c r="FG72" s="38"/>
      <c r="FH72" s="38"/>
      <c r="FI72" s="38"/>
      <c r="FJ72" s="38"/>
      <c r="FK72" s="38"/>
      <c r="FL72" s="38"/>
      <c r="FM72" s="38"/>
      <c r="FN72" s="38"/>
      <c r="FO72" s="38"/>
      <c r="FP72" s="38"/>
      <c r="FQ72" s="38"/>
      <c r="FR72" s="38"/>
      <c r="FS72" s="38"/>
      <c r="FT72" s="38"/>
      <c r="FU72" s="38"/>
      <c r="FV72" s="38"/>
      <c r="FW72" s="38"/>
      <c r="FX72" s="38"/>
      <c r="FY72" s="38"/>
      <c r="FZ72" s="38"/>
      <c r="GA72" s="38"/>
      <c r="GB72" s="38"/>
      <c r="GC72" s="38"/>
      <c r="GD72" s="38"/>
      <c r="GE72" s="38"/>
      <c r="GF72" s="38"/>
      <c r="GG72" s="38"/>
      <c r="GH72" s="38"/>
      <c r="GI72" s="38"/>
      <c r="GJ72" s="38"/>
      <c r="GK72" s="38"/>
      <c r="GL72" s="38"/>
      <c r="GM72" s="38"/>
      <c r="GN72" s="38"/>
      <c r="GO72" s="38"/>
      <c r="GP72" s="38"/>
      <c r="GQ72" s="38"/>
      <c r="GR72" s="38"/>
      <c r="GS72" s="38"/>
      <c r="GT72" s="38"/>
      <c r="GU72" s="38"/>
      <c r="GV72" s="38"/>
      <c r="GW72" s="38"/>
      <c r="GX72" s="38"/>
      <c r="GY72" s="38"/>
      <c r="GZ72" s="38"/>
      <c r="HA72" s="38"/>
      <c r="HB72" s="38"/>
      <c r="HC72" s="38"/>
      <c r="HD72" s="38"/>
      <c r="HE72" s="38"/>
      <c r="HF72" s="38"/>
      <c r="HG72" s="38"/>
      <c r="HH72" s="38"/>
      <c r="HI72" s="38"/>
      <c r="HJ72" s="38"/>
      <c r="HK72" s="38"/>
      <c r="HL72" s="38"/>
      <c r="HM72" s="38"/>
      <c r="HN72" s="38"/>
      <c r="HO72" s="38"/>
      <c r="HP72" s="38"/>
      <c r="HQ72" s="38"/>
      <c r="HR72" s="38"/>
      <c r="HS72" s="38"/>
      <c r="HT72" s="38"/>
      <c r="HU72" s="38"/>
      <c r="HV72" s="38"/>
      <c r="HW72" s="38"/>
      <c r="HX72" s="38"/>
      <c r="HY72" s="38"/>
      <c r="HZ72" s="38"/>
      <c r="IA72" s="38"/>
      <c r="IB72" s="38"/>
      <c r="IC72" s="38"/>
      <c r="ID72" s="38"/>
      <c r="IE72" s="38"/>
      <c r="IF72" s="38"/>
      <c r="IG72" s="38"/>
      <c r="IH72" s="38"/>
      <c r="II72" s="38"/>
      <c r="IJ72" s="38"/>
      <c r="IK72" s="38"/>
      <c r="IL72" s="38"/>
      <c r="IM72" s="38"/>
      <c r="IN72" s="38"/>
      <c r="IO72" s="38"/>
      <c r="IP72" s="38"/>
      <c r="IQ72" s="38"/>
      <c r="IR72" s="38"/>
      <c r="IS72" s="38"/>
      <c r="IT72" s="38"/>
      <c r="IU72" s="38"/>
      <c r="IV72" s="38"/>
      <c r="IW72" s="38"/>
      <c r="IX72" s="38"/>
      <c r="IY72" s="38"/>
      <c r="IZ72" s="38"/>
      <c r="JA72" s="38"/>
      <c r="JB72" s="38"/>
      <c r="JC72" s="38"/>
      <c r="JD72" s="38"/>
      <c r="JE72" s="38"/>
      <c r="JF72" s="38"/>
      <c r="JG72" s="38"/>
      <c r="JH72" s="38"/>
      <c r="JI72" s="38"/>
      <c r="JJ72" s="38"/>
      <c r="JK72" s="38"/>
      <c r="JL72" s="38"/>
      <c r="JM72" s="38"/>
      <c r="JN72" s="38"/>
      <c r="JO72" s="38"/>
      <c r="JP72" s="38"/>
      <c r="JQ72" s="38"/>
      <c r="JR72" s="38"/>
      <c r="JS72" s="38"/>
      <c r="JT72" s="38"/>
      <c r="JU72" s="38"/>
      <c r="JV72" s="38"/>
      <c r="JW72" s="38"/>
      <c r="JX72" s="38"/>
      <c r="JY72" s="38"/>
      <c r="JZ72" s="38"/>
      <c r="KA72" s="38"/>
      <c r="KB72" s="38"/>
      <c r="KC72" s="38"/>
      <c r="KD72" s="38"/>
      <c r="KE72" s="38"/>
      <c r="KF72" s="38"/>
      <c r="KG72" s="38"/>
      <c r="KH72" s="38"/>
      <c r="KI72" s="38"/>
      <c r="KJ72" s="38"/>
      <c r="KK72" s="38"/>
      <c r="KL72" s="38"/>
      <c r="KM72" s="38"/>
      <c r="KN72" s="38"/>
      <c r="KO72" s="38"/>
      <c r="KP72" s="38"/>
      <c r="KQ72" s="38"/>
      <c r="KR72" s="38"/>
      <c r="KS72" s="38"/>
      <c r="KT72" s="38"/>
      <c r="KU72" s="38"/>
      <c r="KV72" s="38"/>
      <c r="KW72" s="38"/>
      <c r="KX72" s="38"/>
      <c r="KY72" s="38"/>
      <c r="KZ72" s="38"/>
      <c r="LA72" s="38"/>
      <c r="LB72" s="38"/>
      <c r="LC72" s="38"/>
      <c r="LD72" s="38"/>
      <c r="LE72" s="38"/>
      <c r="LF72" s="38"/>
      <c r="LG72" s="38"/>
      <c r="LH72" s="38"/>
      <c r="LI72" s="38"/>
      <c r="LJ72" s="38"/>
      <c r="LK72" s="38"/>
      <c r="LL72" s="38"/>
      <c r="LM72" s="38"/>
      <c r="LN72" s="38"/>
      <c r="LO72" s="38"/>
      <c r="LP72" s="38"/>
      <c r="LQ72" s="38"/>
      <c r="LR72" s="38"/>
      <c r="LS72" s="38"/>
      <c r="LT72" s="38"/>
      <c r="LU72" s="38"/>
      <c r="LV72" s="38"/>
      <c r="LW72" s="38"/>
      <c r="LX72" s="38"/>
      <c r="LY72" s="38"/>
      <c r="LZ72" s="38"/>
      <c r="MA72" s="38"/>
      <c r="MB72" s="38"/>
      <c r="MC72" s="38"/>
      <c r="MD72" s="38"/>
      <c r="ME72" s="38"/>
      <c r="MF72" s="38"/>
      <c r="MG72" s="38"/>
      <c r="MH72" s="38"/>
      <c r="MI72" s="38"/>
      <c r="MJ72" s="38"/>
      <c r="MK72" s="38"/>
      <c r="ML72" s="38"/>
      <c r="MM72" s="38"/>
      <c r="MN72" s="38"/>
      <c r="MO72" s="38"/>
      <c r="MP72" s="38"/>
      <c r="MQ72" s="38"/>
      <c r="MR72" s="38"/>
      <c r="MS72" s="38"/>
      <c r="MT72" s="38"/>
      <c r="MU72" s="38"/>
      <c r="MV72" s="38"/>
      <c r="MW72" s="38"/>
      <c r="MX72" s="38"/>
      <c r="MY72" s="38"/>
      <c r="MZ72" s="38"/>
      <c r="NA72" s="38"/>
      <c r="NB72" s="38"/>
      <c r="NC72" s="38"/>
      <c r="ND72" s="38"/>
      <c r="NE72" s="38"/>
      <c r="NF72" s="38"/>
      <c r="NG72" s="38"/>
      <c r="NH72" s="38"/>
      <c r="NI72" s="38"/>
      <c r="NJ72" s="38"/>
      <c r="NK72" s="38"/>
      <c r="NL72" s="38"/>
      <c r="NM72" s="38"/>
      <c r="NN72" s="38"/>
      <c r="NO72" s="38"/>
      <c r="NP72" s="38"/>
      <c r="NQ72" s="38"/>
      <c r="NR72" s="38"/>
      <c r="NS72" s="38"/>
      <c r="NT72" s="38"/>
      <c r="NU72" s="38"/>
      <c r="NV72" s="38"/>
      <c r="NW72" s="38"/>
      <c r="NX72" s="38"/>
      <c r="NY72" s="38"/>
      <c r="NZ72" s="38"/>
      <c r="OA72" s="38"/>
      <c r="OB72" s="38"/>
      <c r="OC72" s="38"/>
      <c r="OD72" s="38"/>
      <c r="OE72" s="38"/>
      <c r="OF72" s="38"/>
      <c r="OG72" s="38"/>
      <c r="OH72" s="38"/>
      <c r="OI72" s="38"/>
      <c r="OJ72" s="38"/>
      <c r="OK72" s="38"/>
      <c r="OL72" s="38"/>
      <c r="OM72" s="38"/>
      <c r="ON72" s="38"/>
      <c r="OO72" s="38"/>
      <c r="OP72" s="38"/>
      <c r="OQ72" s="38"/>
      <c r="OR72" s="38"/>
      <c r="OS72" s="38"/>
      <c r="OT72" s="38"/>
      <c r="OU72" s="38"/>
      <c r="OV72" s="38"/>
      <c r="OW72" s="38"/>
      <c r="OX72" s="38"/>
      <c r="OY72" s="38"/>
      <c r="OZ72" s="38"/>
      <c r="PA72" s="38"/>
      <c r="PB72" s="38"/>
      <c r="PC72" s="38"/>
      <c r="PD72" s="38"/>
      <c r="PE72" s="38"/>
      <c r="PF72" s="38"/>
      <c r="PG72" s="38"/>
      <c r="PH72" s="38"/>
      <c r="PI72" s="38"/>
      <c r="PJ72" s="38"/>
      <c r="PK72" s="38"/>
      <c r="PL72" s="38"/>
      <c r="PM72" s="38"/>
      <c r="PN72" s="38"/>
      <c r="PO72" s="38"/>
      <c r="PP72" s="38"/>
      <c r="PQ72" s="38"/>
      <c r="PR72" s="38"/>
      <c r="PS72" s="38"/>
      <c r="PT72" s="38"/>
      <c r="PU72" s="38"/>
      <c r="PV72" s="38"/>
      <c r="PW72" s="38"/>
      <c r="PX72" s="38"/>
      <c r="PY72" s="38"/>
      <c r="PZ72" s="38"/>
      <c r="QA72" s="38"/>
      <c r="QB72" s="38"/>
      <c r="QC72" s="38"/>
      <c r="QD72" s="38"/>
      <c r="QE72" s="38"/>
      <c r="QF72" s="38"/>
      <c r="QG72" s="38"/>
      <c r="QH72" s="38"/>
      <c r="QI72" s="38"/>
      <c r="QJ72" s="38"/>
      <c r="QK72" s="38"/>
      <c r="QL72" s="38"/>
      <c r="QM72" s="38"/>
      <c r="QN72" s="38"/>
      <c r="QO72" s="38"/>
      <c r="QP72" s="38"/>
      <c r="QQ72" s="38"/>
      <c r="QR72" s="38"/>
      <c r="QS72" s="38"/>
      <c r="QT72" s="38"/>
      <c r="QU72" s="38"/>
      <c r="QV72" s="38"/>
      <c r="QW72" s="38"/>
      <c r="QX72" s="38"/>
      <c r="QY72" s="38"/>
      <c r="QZ72" s="38"/>
      <c r="RA72" s="38"/>
      <c r="RB72" s="38"/>
      <c r="RC72" s="38"/>
      <c r="RD72" s="38"/>
      <c r="RE72" s="38"/>
      <c r="RF72" s="38"/>
      <c r="RG72" s="38"/>
      <c r="RH72" s="38"/>
      <c r="RI72" s="38"/>
      <c r="RJ72" s="38"/>
      <c r="RK72" s="38"/>
      <c r="RL72" s="38"/>
      <c r="RM72" s="38"/>
      <c r="RN72" s="38"/>
      <c r="RO72" s="38"/>
      <c r="RP72" s="38"/>
      <c r="RQ72" s="38"/>
      <c r="RR72" s="38"/>
      <c r="RS72" s="38"/>
      <c r="RT72" s="38"/>
      <c r="RU72" s="38"/>
      <c r="RV72" s="38"/>
      <c r="RW72" s="38"/>
      <c r="RX72" s="38"/>
      <c r="RY72" s="38"/>
      <c r="RZ72" s="38"/>
      <c r="SA72" s="38"/>
      <c r="SB72" s="38"/>
      <c r="SC72" s="38"/>
      <c r="SD72" s="38"/>
      <c r="SE72" s="38"/>
      <c r="SF72" s="38"/>
      <c r="SG72" s="38"/>
      <c r="SH72" s="38"/>
      <c r="SI72" s="38"/>
      <c r="SJ72" s="38"/>
      <c r="SK72" s="38"/>
      <c r="SL72" s="38"/>
      <c r="SM72" s="38"/>
      <c r="SN72" s="38"/>
      <c r="SO72" s="38"/>
      <c r="SP72" s="38"/>
      <c r="SQ72" s="38"/>
      <c r="SR72" s="38"/>
      <c r="SS72" s="38"/>
      <c r="ST72" s="38"/>
      <c r="SU72" s="38"/>
      <c r="SV72" s="38"/>
      <c r="SW72" s="38"/>
      <c r="SX72" s="38"/>
      <c r="SY72" s="38"/>
      <c r="SZ72" s="38"/>
      <c r="TA72" s="38"/>
      <c r="TB72" s="38"/>
      <c r="TC72" s="38"/>
      <c r="TD72" s="38"/>
      <c r="TE72" s="38"/>
      <c r="TF72" s="38"/>
      <c r="TG72" s="38"/>
      <c r="TH72" s="38"/>
      <c r="TI72" s="38"/>
      <c r="TJ72" s="38"/>
      <c r="TK72" s="38"/>
      <c r="TL72" s="38"/>
      <c r="TM72" s="38"/>
      <c r="TN72" s="38"/>
      <c r="TO72" s="38"/>
      <c r="TP72" s="38"/>
      <c r="TQ72" s="38"/>
      <c r="TR72" s="38"/>
      <c r="TS72" s="38"/>
      <c r="TT72" s="38"/>
      <c r="TU72" s="38"/>
      <c r="TV72" s="38"/>
      <c r="TW72" s="38"/>
      <c r="TX72" s="38"/>
      <c r="TY72" s="38"/>
      <c r="TZ72" s="38"/>
      <c r="UA72" s="38"/>
      <c r="UB72" s="38"/>
      <c r="UC72" s="38"/>
      <c r="UD72" s="38"/>
      <c r="UE72" s="38"/>
      <c r="UF72" s="38"/>
      <c r="UG72" s="38"/>
      <c r="UH72" s="38"/>
      <c r="UI72" s="38"/>
      <c r="UJ72" s="38"/>
      <c r="UK72" s="38"/>
      <c r="UL72" s="38"/>
      <c r="UM72" s="38"/>
      <c r="UN72" s="38"/>
      <c r="UO72" s="38"/>
      <c r="UP72" s="38"/>
      <c r="UQ72" s="38"/>
      <c r="UR72" s="38"/>
      <c r="US72" s="38"/>
      <c r="UT72" s="38"/>
      <c r="UU72" s="38"/>
      <c r="UV72" s="38"/>
      <c r="UW72" s="38"/>
      <c r="UX72" s="38"/>
      <c r="UY72" s="38"/>
      <c r="UZ72" s="38"/>
      <c r="VA72" s="38"/>
      <c r="VB72" s="38"/>
      <c r="VC72" s="38"/>
      <c r="VD72" s="38"/>
      <c r="VE72" s="38"/>
      <c r="VF72" s="38"/>
      <c r="VG72" s="38"/>
      <c r="VH72" s="38"/>
      <c r="VI72" s="38"/>
      <c r="VJ72" s="38"/>
      <c r="VK72" s="38"/>
      <c r="VL72" s="38"/>
      <c r="VM72" s="38"/>
      <c r="VN72" s="38"/>
      <c r="VO72" s="38"/>
      <c r="VP72" s="38"/>
      <c r="VQ72" s="38"/>
      <c r="VR72" s="38"/>
      <c r="VS72" s="38"/>
      <c r="VT72" s="38"/>
      <c r="VU72" s="38"/>
      <c r="VV72" s="38"/>
      <c r="VW72" s="38"/>
      <c r="VX72" s="38"/>
      <c r="VY72" s="38"/>
      <c r="VZ72" s="38"/>
      <c r="WA72" s="38"/>
      <c r="WB72" s="38"/>
      <c r="WC72" s="38"/>
      <c r="WD72" s="38"/>
      <c r="WE72" s="38"/>
      <c r="WF72" s="38"/>
      <c r="WG72" s="38"/>
      <c r="WH72" s="38"/>
      <c r="WI72" s="38"/>
      <c r="WJ72" s="38"/>
      <c r="WK72" s="38"/>
      <c r="WL72" s="38"/>
      <c r="WM72" s="38"/>
      <c r="WN72" s="38"/>
      <c r="WO72" s="38"/>
      <c r="WP72" s="38"/>
      <c r="WQ72" s="38"/>
      <c r="WR72" s="38"/>
      <c r="WS72" s="38"/>
      <c r="WT72" s="38"/>
      <c r="WU72" s="38"/>
      <c r="WV72" s="38"/>
      <c r="WW72" s="38"/>
      <c r="WX72" s="38"/>
      <c r="WY72" s="38"/>
      <c r="WZ72" s="38"/>
      <c r="XA72" s="38"/>
      <c r="XB72" s="38"/>
      <c r="XC72" s="38"/>
      <c r="XD72" s="38"/>
      <c r="XE72" s="38"/>
      <c r="XF72" s="38"/>
      <c r="XG72" s="38"/>
      <c r="XH72" s="38"/>
      <c r="XI72" s="38"/>
      <c r="XJ72" s="38"/>
      <c r="XK72" s="38"/>
      <c r="XL72" s="38"/>
      <c r="XM72" s="38"/>
      <c r="XN72" s="38"/>
      <c r="XO72" s="38"/>
      <c r="XP72" s="38"/>
      <c r="XQ72" s="38"/>
      <c r="XR72" s="38"/>
      <c r="XS72" s="38"/>
      <c r="XT72" s="38"/>
      <c r="XU72" s="38"/>
      <c r="XV72" s="38"/>
      <c r="XW72" s="38"/>
      <c r="XX72" s="38"/>
      <c r="XY72" s="38"/>
      <c r="XZ72" s="38"/>
      <c r="YA72" s="38"/>
      <c r="YB72" s="38"/>
      <c r="YC72" s="38"/>
      <c r="YD72" s="38"/>
      <c r="YE72" s="38"/>
      <c r="YF72" s="38"/>
      <c r="YG72" s="38"/>
      <c r="YH72" s="38"/>
      <c r="YI72" s="38"/>
      <c r="YJ72" s="38"/>
      <c r="YK72" s="38"/>
      <c r="YL72" s="38"/>
      <c r="YM72" s="38"/>
      <c r="YN72" s="38"/>
      <c r="YO72" s="38"/>
      <c r="YP72" s="38"/>
      <c r="YQ72" s="38"/>
      <c r="YR72" s="38"/>
      <c r="YS72" s="38"/>
      <c r="YT72" s="38"/>
      <c r="YU72" s="38"/>
      <c r="YV72" s="38"/>
      <c r="YW72" s="38"/>
      <c r="YX72" s="38"/>
      <c r="YY72" s="38"/>
      <c r="YZ72" s="38"/>
      <c r="ZA72" s="38"/>
      <c r="ZB72" s="38"/>
      <c r="ZC72" s="38"/>
      <c r="ZD72" s="38"/>
      <c r="ZE72" s="38"/>
      <c r="ZF72" s="38"/>
      <c r="ZG72" s="38"/>
      <c r="ZH72" s="38"/>
      <c r="ZI72" s="38"/>
      <c r="ZJ72" s="38"/>
      <c r="ZK72" s="38"/>
      <c r="ZL72" s="38"/>
      <c r="ZM72" s="38"/>
      <c r="ZN72" s="38"/>
      <c r="ZO72" s="38"/>
      <c r="ZP72" s="38"/>
      <c r="ZQ72" s="38"/>
      <c r="ZR72" s="38"/>
      <c r="ZS72" s="38"/>
      <c r="ZT72" s="38"/>
      <c r="ZU72" s="38"/>
      <c r="ZV72" s="38"/>
      <c r="ZW72" s="38"/>
      <c r="ZX72" s="38"/>
      <c r="ZY72" s="38"/>
      <c r="ZZ72" s="38"/>
      <c r="AAA72" s="38"/>
      <c r="AAB72" s="38"/>
      <c r="AAC72" s="38"/>
      <c r="AAD72" s="38"/>
      <c r="AAE72" s="38"/>
      <c r="AAF72" s="38"/>
      <c r="AAG72" s="38"/>
      <c r="AAH72" s="38"/>
      <c r="AAI72" s="38"/>
      <c r="AAJ72" s="38"/>
      <c r="AAK72" s="38"/>
      <c r="AAL72" s="38"/>
      <c r="AAM72" s="38"/>
      <c r="AAN72" s="38"/>
      <c r="AAO72" s="38"/>
      <c r="AAP72" s="38"/>
      <c r="AAQ72" s="38"/>
      <c r="AAR72" s="38"/>
      <c r="AAS72" s="38"/>
      <c r="AAT72" s="38"/>
      <c r="AAU72" s="38"/>
      <c r="AAV72" s="38"/>
      <c r="AAW72" s="38"/>
      <c r="AAX72" s="38"/>
      <c r="AAY72" s="38"/>
      <c r="AAZ72" s="38"/>
      <c r="ABA72" s="38"/>
      <c r="ABB72" s="38"/>
      <c r="ABC72" s="38"/>
      <c r="ABD72" s="38"/>
      <c r="ABE72" s="38"/>
      <c r="ABF72" s="38"/>
      <c r="ABG72" s="38"/>
      <c r="ABH72" s="38"/>
      <c r="ABI72" s="38"/>
      <c r="ABJ72" s="38"/>
      <c r="ABK72" s="38"/>
      <c r="ABL72" s="38"/>
      <c r="ABM72" s="38"/>
      <c r="ABN72" s="38"/>
      <c r="ABO72" s="38"/>
      <c r="ABP72" s="38"/>
      <c r="ABQ72" s="38"/>
      <c r="ABR72" s="38"/>
      <c r="ABS72" s="38"/>
      <c r="ABT72" s="38"/>
      <c r="ABU72" s="38"/>
      <c r="ABV72" s="38"/>
      <c r="ABW72" s="38"/>
      <c r="ABX72" s="38"/>
      <c r="ABY72" s="38"/>
      <c r="ABZ72" s="38"/>
      <c r="ACA72" s="38"/>
      <c r="ACB72" s="38"/>
      <c r="ACC72" s="38"/>
      <c r="ACD72" s="38"/>
      <c r="ACE72" s="38"/>
      <c r="ACF72" s="38"/>
      <c r="ACG72" s="38"/>
      <c r="ACH72" s="38"/>
      <c r="ACI72" s="38"/>
      <c r="ACJ72" s="38"/>
      <c r="ACK72" s="38"/>
      <c r="ACL72" s="38"/>
      <c r="ACM72" s="38"/>
      <c r="ACN72" s="38"/>
      <c r="ACO72" s="38"/>
      <c r="ACP72" s="38"/>
      <c r="ACQ72" s="38"/>
      <c r="ACR72" s="38"/>
      <c r="ACS72" s="38"/>
      <c r="ACT72" s="38"/>
      <c r="ACU72" s="38"/>
      <c r="ACV72" s="38"/>
      <c r="ACW72" s="38"/>
      <c r="ACX72" s="38"/>
      <c r="ACY72" s="38"/>
      <c r="ACZ72" s="38"/>
      <c r="ADA72" s="38"/>
      <c r="ADB72" s="38"/>
      <c r="ADC72" s="38"/>
      <c r="ADD72" s="38"/>
      <c r="ADE72" s="38"/>
      <c r="ADF72" s="38"/>
      <c r="ADG72" s="38"/>
      <c r="ADH72" s="38"/>
      <c r="ADI72" s="38"/>
      <c r="ADJ72" s="38"/>
      <c r="ADK72" s="38"/>
      <c r="ADL72" s="38"/>
      <c r="ADM72" s="38"/>
      <c r="ADN72" s="38"/>
      <c r="ADO72" s="38"/>
      <c r="ADP72" s="38"/>
      <c r="ADQ72" s="38"/>
      <c r="ADR72" s="38"/>
      <c r="ADS72" s="38"/>
      <c r="ADT72" s="38"/>
      <c r="ADU72" s="38"/>
      <c r="ADV72" s="38"/>
      <c r="ADW72" s="38"/>
      <c r="ADX72" s="38"/>
      <c r="ADY72" s="38"/>
      <c r="ADZ72" s="38"/>
      <c r="AEA72" s="38"/>
      <c r="AEB72" s="38"/>
      <c r="AEC72" s="38"/>
      <c r="AED72" s="38"/>
      <c r="AEE72" s="38"/>
      <c r="AEF72" s="38"/>
      <c r="AEG72" s="38"/>
      <c r="AEH72" s="38"/>
      <c r="AEI72" s="38"/>
      <c r="AEJ72" s="38"/>
      <c r="AEK72" s="38"/>
      <c r="AEL72" s="38"/>
      <c r="AEM72" s="38"/>
      <c r="AEN72" s="38"/>
      <c r="AEO72" s="38"/>
      <c r="AEP72" s="38"/>
      <c r="AEQ72" s="38"/>
      <c r="AER72" s="38"/>
      <c r="AES72" s="38"/>
      <c r="AET72" s="38"/>
      <c r="AEU72" s="38"/>
      <c r="AEV72" s="38"/>
      <c r="AEW72" s="38"/>
      <c r="AEX72" s="38"/>
      <c r="AEY72" s="38"/>
      <c r="AEZ72" s="38"/>
      <c r="AFA72" s="38"/>
      <c r="AFB72" s="38"/>
      <c r="AFC72" s="38"/>
      <c r="AFD72" s="38"/>
      <c r="AFE72" s="38"/>
      <c r="AFF72" s="38"/>
      <c r="AFG72" s="38"/>
      <c r="AFH72" s="38"/>
      <c r="AFI72" s="38"/>
      <c r="AFJ72" s="38"/>
      <c r="AFK72" s="38"/>
      <c r="AFL72" s="38"/>
      <c r="AFM72" s="38"/>
      <c r="AFN72" s="38"/>
      <c r="AFO72" s="38"/>
      <c r="AFP72" s="38"/>
      <c r="AFQ72" s="38"/>
      <c r="AFR72" s="38"/>
      <c r="AFS72" s="38"/>
      <c r="AFT72" s="38"/>
      <c r="AFU72" s="38"/>
      <c r="AFV72" s="38"/>
      <c r="AFW72" s="38"/>
      <c r="AFX72" s="38"/>
      <c r="AFY72" s="38"/>
      <c r="AFZ72" s="38"/>
      <c r="AGA72" s="38"/>
      <c r="AGB72" s="38"/>
      <c r="AGC72" s="38"/>
      <c r="AGD72" s="38"/>
      <c r="AGE72" s="38"/>
      <c r="AGF72" s="38"/>
      <c r="AGG72" s="38"/>
      <c r="AGH72" s="38"/>
      <c r="AGI72" s="38"/>
      <c r="AGJ72" s="38"/>
      <c r="AGK72" s="38"/>
      <c r="AGL72" s="38"/>
      <c r="AGM72" s="38"/>
      <c r="AGN72" s="38"/>
      <c r="AGO72" s="38"/>
      <c r="AGP72" s="38"/>
      <c r="AGQ72" s="38"/>
      <c r="AGR72" s="38"/>
      <c r="AGS72" s="38"/>
      <c r="AGT72" s="38"/>
      <c r="AGU72" s="38"/>
      <c r="AGV72" s="38"/>
      <c r="AGW72" s="38"/>
      <c r="AGX72" s="38"/>
      <c r="AGY72" s="38"/>
      <c r="AGZ72" s="38"/>
      <c r="AHA72" s="38"/>
      <c r="AHB72" s="38"/>
      <c r="AHC72" s="38"/>
      <c r="AHD72" s="38"/>
      <c r="AHE72" s="38"/>
      <c r="AHF72" s="38"/>
      <c r="AHG72" s="38"/>
      <c r="AHH72" s="38"/>
      <c r="AHI72" s="38"/>
      <c r="AHJ72" s="38"/>
      <c r="AHK72" s="38"/>
      <c r="AHL72" s="38"/>
      <c r="AHM72" s="38"/>
      <c r="AHN72" s="38"/>
      <c r="AHO72" s="38"/>
      <c r="AHP72" s="38"/>
      <c r="AHQ72" s="38"/>
      <c r="AHR72" s="38"/>
      <c r="AHS72" s="38"/>
      <c r="AHT72" s="38"/>
      <c r="AHU72" s="38"/>
      <c r="AHV72" s="38"/>
    </row>
    <row r="73" spans="1:906" s="27" customFormat="1" x14ac:dyDescent="0.35">
      <c r="A73" s="83">
        <v>68</v>
      </c>
      <c r="B73" s="108" t="s">
        <v>116</v>
      </c>
      <c r="C73" s="109"/>
      <c r="D73" s="109" t="s">
        <v>15</v>
      </c>
      <c r="E73" s="125"/>
      <c r="F73" s="125">
        <v>15.95</v>
      </c>
      <c r="G73" s="125"/>
      <c r="H73" s="125">
        <v>20</v>
      </c>
      <c r="I73" s="37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  <c r="EX73" s="38"/>
      <c r="EY73" s="38"/>
      <c r="EZ73" s="38"/>
      <c r="FA73" s="38"/>
      <c r="FB73" s="38"/>
      <c r="FC73" s="38"/>
      <c r="FD73" s="38"/>
      <c r="FE73" s="38"/>
      <c r="FF73" s="38"/>
      <c r="FG73" s="38"/>
      <c r="FH73" s="38"/>
      <c r="FI73" s="38"/>
      <c r="FJ73" s="38"/>
      <c r="FK73" s="38"/>
      <c r="FL73" s="38"/>
      <c r="FM73" s="38"/>
      <c r="FN73" s="38"/>
      <c r="FO73" s="38"/>
      <c r="FP73" s="38"/>
      <c r="FQ73" s="38"/>
      <c r="FR73" s="38"/>
      <c r="FS73" s="38"/>
      <c r="FT73" s="38"/>
      <c r="FU73" s="38"/>
      <c r="FV73" s="38"/>
      <c r="FW73" s="38"/>
      <c r="FX73" s="38"/>
      <c r="FY73" s="38"/>
      <c r="FZ73" s="38"/>
      <c r="GA73" s="38"/>
      <c r="GB73" s="38"/>
      <c r="GC73" s="38"/>
      <c r="GD73" s="38"/>
      <c r="GE73" s="38"/>
      <c r="GF73" s="38"/>
      <c r="GG73" s="38"/>
      <c r="GH73" s="38"/>
      <c r="GI73" s="38"/>
      <c r="GJ73" s="38"/>
      <c r="GK73" s="38"/>
      <c r="GL73" s="38"/>
      <c r="GM73" s="38"/>
      <c r="GN73" s="38"/>
      <c r="GO73" s="38"/>
      <c r="GP73" s="38"/>
      <c r="GQ73" s="38"/>
      <c r="GR73" s="38"/>
      <c r="GS73" s="38"/>
      <c r="GT73" s="38"/>
      <c r="GU73" s="38"/>
      <c r="GV73" s="38"/>
      <c r="GW73" s="38"/>
      <c r="GX73" s="38"/>
      <c r="GY73" s="38"/>
      <c r="GZ73" s="38"/>
      <c r="HA73" s="38"/>
      <c r="HB73" s="38"/>
      <c r="HC73" s="38"/>
      <c r="HD73" s="38"/>
      <c r="HE73" s="38"/>
      <c r="HF73" s="38"/>
      <c r="HG73" s="38"/>
      <c r="HH73" s="38"/>
      <c r="HI73" s="38"/>
      <c r="HJ73" s="38"/>
      <c r="HK73" s="38"/>
      <c r="HL73" s="38"/>
      <c r="HM73" s="38"/>
      <c r="HN73" s="38"/>
      <c r="HO73" s="38"/>
      <c r="HP73" s="38"/>
      <c r="HQ73" s="38"/>
      <c r="HR73" s="38"/>
      <c r="HS73" s="38"/>
      <c r="HT73" s="38"/>
      <c r="HU73" s="38"/>
      <c r="HV73" s="38"/>
      <c r="HW73" s="38"/>
      <c r="HX73" s="38"/>
      <c r="HY73" s="38"/>
      <c r="HZ73" s="38"/>
      <c r="IA73" s="38"/>
      <c r="IB73" s="38"/>
      <c r="IC73" s="38"/>
      <c r="ID73" s="38"/>
      <c r="IE73" s="38"/>
      <c r="IF73" s="38"/>
      <c r="IG73" s="38"/>
      <c r="IH73" s="38"/>
      <c r="II73" s="38"/>
      <c r="IJ73" s="38"/>
      <c r="IK73" s="38"/>
      <c r="IL73" s="38"/>
      <c r="IM73" s="38"/>
      <c r="IN73" s="38"/>
      <c r="IO73" s="38"/>
      <c r="IP73" s="38"/>
      <c r="IQ73" s="38"/>
      <c r="IR73" s="38"/>
      <c r="IS73" s="38"/>
      <c r="IT73" s="38"/>
      <c r="IU73" s="38"/>
      <c r="IV73" s="38"/>
      <c r="IW73" s="38"/>
      <c r="IX73" s="38"/>
      <c r="IY73" s="38"/>
      <c r="IZ73" s="38"/>
      <c r="JA73" s="38"/>
      <c r="JB73" s="38"/>
      <c r="JC73" s="38"/>
      <c r="JD73" s="38"/>
      <c r="JE73" s="38"/>
      <c r="JF73" s="38"/>
      <c r="JG73" s="38"/>
      <c r="JH73" s="38"/>
      <c r="JI73" s="38"/>
      <c r="JJ73" s="38"/>
      <c r="JK73" s="38"/>
      <c r="JL73" s="38"/>
      <c r="JM73" s="38"/>
      <c r="JN73" s="38"/>
      <c r="JO73" s="38"/>
      <c r="JP73" s="38"/>
      <c r="JQ73" s="38"/>
      <c r="JR73" s="38"/>
      <c r="JS73" s="38"/>
      <c r="JT73" s="38"/>
      <c r="JU73" s="38"/>
      <c r="JV73" s="38"/>
      <c r="JW73" s="38"/>
      <c r="JX73" s="38"/>
      <c r="JY73" s="38"/>
      <c r="JZ73" s="38"/>
      <c r="KA73" s="38"/>
      <c r="KB73" s="38"/>
      <c r="KC73" s="38"/>
      <c r="KD73" s="38"/>
      <c r="KE73" s="38"/>
      <c r="KF73" s="38"/>
      <c r="KG73" s="38"/>
      <c r="KH73" s="38"/>
      <c r="KI73" s="38"/>
      <c r="KJ73" s="38"/>
      <c r="KK73" s="38"/>
      <c r="KL73" s="38"/>
      <c r="KM73" s="38"/>
      <c r="KN73" s="38"/>
      <c r="KO73" s="38"/>
      <c r="KP73" s="38"/>
      <c r="KQ73" s="38"/>
      <c r="KR73" s="38"/>
      <c r="KS73" s="38"/>
      <c r="KT73" s="38"/>
      <c r="KU73" s="38"/>
      <c r="KV73" s="38"/>
      <c r="KW73" s="38"/>
      <c r="KX73" s="38"/>
      <c r="KY73" s="38"/>
      <c r="KZ73" s="38"/>
      <c r="LA73" s="38"/>
      <c r="LB73" s="38"/>
      <c r="LC73" s="38"/>
      <c r="LD73" s="38"/>
      <c r="LE73" s="38"/>
      <c r="LF73" s="38"/>
      <c r="LG73" s="38"/>
      <c r="LH73" s="38"/>
      <c r="LI73" s="38"/>
      <c r="LJ73" s="38"/>
      <c r="LK73" s="38"/>
      <c r="LL73" s="38"/>
      <c r="LM73" s="38"/>
      <c r="LN73" s="38"/>
      <c r="LO73" s="38"/>
      <c r="LP73" s="38"/>
      <c r="LQ73" s="38"/>
      <c r="LR73" s="38"/>
      <c r="LS73" s="38"/>
      <c r="LT73" s="38"/>
      <c r="LU73" s="38"/>
      <c r="LV73" s="38"/>
      <c r="LW73" s="38"/>
      <c r="LX73" s="38"/>
      <c r="LY73" s="38"/>
      <c r="LZ73" s="38"/>
      <c r="MA73" s="38"/>
      <c r="MB73" s="38"/>
      <c r="MC73" s="38"/>
      <c r="MD73" s="38"/>
      <c r="ME73" s="38"/>
      <c r="MF73" s="38"/>
      <c r="MG73" s="38"/>
      <c r="MH73" s="38"/>
      <c r="MI73" s="38"/>
      <c r="MJ73" s="38"/>
      <c r="MK73" s="38"/>
      <c r="ML73" s="38"/>
      <c r="MM73" s="38"/>
      <c r="MN73" s="38"/>
      <c r="MO73" s="38"/>
      <c r="MP73" s="38"/>
      <c r="MQ73" s="38"/>
      <c r="MR73" s="38"/>
      <c r="MS73" s="38"/>
      <c r="MT73" s="38"/>
      <c r="MU73" s="38"/>
      <c r="MV73" s="38"/>
      <c r="MW73" s="38"/>
      <c r="MX73" s="38"/>
      <c r="MY73" s="38"/>
      <c r="MZ73" s="38"/>
      <c r="NA73" s="38"/>
      <c r="NB73" s="38"/>
      <c r="NC73" s="38"/>
      <c r="ND73" s="38"/>
      <c r="NE73" s="38"/>
      <c r="NF73" s="38"/>
      <c r="NG73" s="38"/>
      <c r="NH73" s="38"/>
      <c r="NI73" s="38"/>
      <c r="NJ73" s="38"/>
      <c r="NK73" s="38"/>
      <c r="NL73" s="38"/>
      <c r="NM73" s="38"/>
      <c r="NN73" s="38"/>
      <c r="NO73" s="38"/>
      <c r="NP73" s="38"/>
      <c r="NQ73" s="38"/>
      <c r="NR73" s="38"/>
      <c r="NS73" s="38"/>
      <c r="NT73" s="38"/>
      <c r="NU73" s="38"/>
      <c r="NV73" s="38"/>
      <c r="NW73" s="38"/>
      <c r="NX73" s="38"/>
      <c r="NY73" s="38"/>
      <c r="NZ73" s="38"/>
      <c r="OA73" s="38"/>
      <c r="OB73" s="38"/>
      <c r="OC73" s="38"/>
      <c r="OD73" s="38"/>
      <c r="OE73" s="38"/>
      <c r="OF73" s="38"/>
      <c r="OG73" s="38"/>
      <c r="OH73" s="38"/>
      <c r="OI73" s="38"/>
      <c r="OJ73" s="38"/>
      <c r="OK73" s="38"/>
      <c r="OL73" s="38"/>
      <c r="OM73" s="38"/>
      <c r="ON73" s="38"/>
      <c r="OO73" s="38"/>
      <c r="OP73" s="38"/>
      <c r="OQ73" s="38"/>
      <c r="OR73" s="38"/>
      <c r="OS73" s="38"/>
      <c r="OT73" s="38"/>
      <c r="OU73" s="38"/>
      <c r="OV73" s="38"/>
      <c r="OW73" s="38"/>
      <c r="OX73" s="38"/>
      <c r="OY73" s="38"/>
      <c r="OZ73" s="38"/>
      <c r="PA73" s="38"/>
      <c r="PB73" s="38"/>
      <c r="PC73" s="38"/>
      <c r="PD73" s="38"/>
      <c r="PE73" s="38"/>
      <c r="PF73" s="38"/>
      <c r="PG73" s="38"/>
      <c r="PH73" s="38"/>
      <c r="PI73" s="38"/>
      <c r="PJ73" s="38"/>
      <c r="PK73" s="38"/>
      <c r="PL73" s="38"/>
      <c r="PM73" s="38"/>
      <c r="PN73" s="38"/>
      <c r="PO73" s="38"/>
      <c r="PP73" s="38"/>
      <c r="PQ73" s="38"/>
      <c r="PR73" s="38"/>
      <c r="PS73" s="38"/>
      <c r="PT73" s="38"/>
      <c r="PU73" s="38"/>
      <c r="PV73" s="38"/>
      <c r="PW73" s="38"/>
      <c r="PX73" s="38"/>
      <c r="PY73" s="38"/>
      <c r="PZ73" s="38"/>
      <c r="QA73" s="38"/>
      <c r="QB73" s="38"/>
      <c r="QC73" s="38"/>
      <c r="QD73" s="38"/>
      <c r="QE73" s="38"/>
      <c r="QF73" s="38"/>
      <c r="QG73" s="38"/>
      <c r="QH73" s="38"/>
      <c r="QI73" s="38"/>
      <c r="QJ73" s="38"/>
      <c r="QK73" s="38"/>
      <c r="QL73" s="38"/>
      <c r="QM73" s="38"/>
      <c r="QN73" s="38"/>
      <c r="QO73" s="38"/>
      <c r="QP73" s="38"/>
      <c r="QQ73" s="38"/>
      <c r="QR73" s="38"/>
      <c r="QS73" s="38"/>
      <c r="QT73" s="38"/>
      <c r="QU73" s="38"/>
      <c r="QV73" s="38"/>
      <c r="QW73" s="38"/>
      <c r="QX73" s="38"/>
      <c r="QY73" s="38"/>
      <c r="QZ73" s="38"/>
      <c r="RA73" s="38"/>
      <c r="RB73" s="38"/>
      <c r="RC73" s="38"/>
      <c r="RD73" s="38"/>
      <c r="RE73" s="38"/>
      <c r="RF73" s="38"/>
      <c r="RG73" s="38"/>
      <c r="RH73" s="38"/>
      <c r="RI73" s="38"/>
      <c r="RJ73" s="38"/>
      <c r="RK73" s="38"/>
      <c r="RL73" s="38"/>
      <c r="RM73" s="38"/>
      <c r="RN73" s="38"/>
      <c r="RO73" s="38"/>
      <c r="RP73" s="38"/>
      <c r="RQ73" s="38"/>
      <c r="RR73" s="38"/>
      <c r="RS73" s="38"/>
      <c r="RT73" s="38"/>
      <c r="RU73" s="38"/>
      <c r="RV73" s="38"/>
      <c r="RW73" s="38"/>
      <c r="RX73" s="38"/>
      <c r="RY73" s="38"/>
      <c r="RZ73" s="38"/>
      <c r="SA73" s="38"/>
      <c r="SB73" s="38"/>
      <c r="SC73" s="38"/>
      <c r="SD73" s="38"/>
      <c r="SE73" s="38"/>
      <c r="SF73" s="38"/>
      <c r="SG73" s="38"/>
      <c r="SH73" s="38"/>
      <c r="SI73" s="38"/>
      <c r="SJ73" s="38"/>
      <c r="SK73" s="38"/>
      <c r="SL73" s="38"/>
      <c r="SM73" s="38"/>
      <c r="SN73" s="38"/>
      <c r="SO73" s="38"/>
      <c r="SP73" s="38"/>
      <c r="SQ73" s="38"/>
      <c r="SR73" s="38"/>
      <c r="SS73" s="38"/>
      <c r="ST73" s="38"/>
      <c r="SU73" s="38"/>
      <c r="SV73" s="38"/>
      <c r="SW73" s="38"/>
      <c r="SX73" s="38"/>
      <c r="SY73" s="38"/>
      <c r="SZ73" s="38"/>
      <c r="TA73" s="38"/>
      <c r="TB73" s="38"/>
      <c r="TC73" s="38"/>
      <c r="TD73" s="38"/>
      <c r="TE73" s="38"/>
      <c r="TF73" s="38"/>
      <c r="TG73" s="38"/>
      <c r="TH73" s="38"/>
      <c r="TI73" s="38"/>
      <c r="TJ73" s="38"/>
      <c r="TK73" s="38"/>
      <c r="TL73" s="38"/>
      <c r="TM73" s="38"/>
      <c r="TN73" s="38"/>
      <c r="TO73" s="38"/>
      <c r="TP73" s="38"/>
      <c r="TQ73" s="38"/>
      <c r="TR73" s="38"/>
      <c r="TS73" s="38"/>
      <c r="TT73" s="38"/>
      <c r="TU73" s="38"/>
      <c r="TV73" s="38"/>
      <c r="TW73" s="38"/>
      <c r="TX73" s="38"/>
      <c r="TY73" s="38"/>
      <c r="TZ73" s="38"/>
      <c r="UA73" s="38"/>
      <c r="UB73" s="38"/>
      <c r="UC73" s="38"/>
      <c r="UD73" s="38"/>
      <c r="UE73" s="38"/>
      <c r="UF73" s="38"/>
      <c r="UG73" s="38"/>
      <c r="UH73" s="38"/>
      <c r="UI73" s="38"/>
      <c r="UJ73" s="38"/>
      <c r="UK73" s="38"/>
      <c r="UL73" s="38"/>
      <c r="UM73" s="38"/>
      <c r="UN73" s="38"/>
      <c r="UO73" s="38"/>
      <c r="UP73" s="38"/>
      <c r="UQ73" s="38"/>
      <c r="UR73" s="38"/>
      <c r="US73" s="38"/>
      <c r="UT73" s="38"/>
      <c r="UU73" s="38"/>
      <c r="UV73" s="38"/>
      <c r="UW73" s="38"/>
      <c r="UX73" s="38"/>
      <c r="UY73" s="38"/>
      <c r="UZ73" s="38"/>
      <c r="VA73" s="38"/>
      <c r="VB73" s="38"/>
      <c r="VC73" s="38"/>
      <c r="VD73" s="38"/>
      <c r="VE73" s="38"/>
      <c r="VF73" s="38"/>
      <c r="VG73" s="38"/>
      <c r="VH73" s="38"/>
      <c r="VI73" s="38"/>
      <c r="VJ73" s="38"/>
      <c r="VK73" s="38"/>
      <c r="VL73" s="38"/>
      <c r="VM73" s="38"/>
      <c r="VN73" s="38"/>
      <c r="VO73" s="38"/>
      <c r="VP73" s="38"/>
      <c r="VQ73" s="38"/>
      <c r="VR73" s="38"/>
      <c r="VS73" s="38"/>
      <c r="VT73" s="38"/>
      <c r="VU73" s="38"/>
      <c r="VV73" s="38"/>
      <c r="VW73" s="38"/>
      <c r="VX73" s="38"/>
      <c r="VY73" s="38"/>
      <c r="VZ73" s="38"/>
      <c r="WA73" s="38"/>
      <c r="WB73" s="38"/>
      <c r="WC73" s="38"/>
      <c r="WD73" s="38"/>
      <c r="WE73" s="38"/>
      <c r="WF73" s="38"/>
      <c r="WG73" s="38"/>
      <c r="WH73" s="38"/>
      <c r="WI73" s="38"/>
      <c r="WJ73" s="38"/>
      <c r="WK73" s="38"/>
      <c r="WL73" s="38"/>
      <c r="WM73" s="38"/>
      <c r="WN73" s="38"/>
      <c r="WO73" s="38"/>
      <c r="WP73" s="38"/>
      <c r="WQ73" s="38"/>
      <c r="WR73" s="38"/>
      <c r="WS73" s="38"/>
      <c r="WT73" s="38"/>
      <c r="WU73" s="38"/>
      <c r="WV73" s="38"/>
      <c r="WW73" s="38"/>
      <c r="WX73" s="38"/>
      <c r="WY73" s="38"/>
      <c r="WZ73" s="38"/>
      <c r="XA73" s="38"/>
      <c r="XB73" s="38"/>
      <c r="XC73" s="38"/>
      <c r="XD73" s="38"/>
      <c r="XE73" s="38"/>
      <c r="XF73" s="38"/>
      <c r="XG73" s="38"/>
      <c r="XH73" s="38"/>
      <c r="XI73" s="38"/>
      <c r="XJ73" s="38"/>
      <c r="XK73" s="38"/>
      <c r="XL73" s="38"/>
      <c r="XM73" s="38"/>
      <c r="XN73" s="38"/>
      <c r="XO73" s="38"/>
      <c r="XP73" s="38"/>
      <c r="XQ73" s="38"/>
      <c r="XR73" s="38"/>
      <c r="XS73" s="38"/>
      <c r="XT73" s="38"/>
      <c r="XU73" s="38"/>
      <c r="XV73" s="38"/>
      <c r="XW73" s="38"/>
      <c r="XX73" s="38"/>
      <c r="XY73" s="38"/>
      <c r="XZ73" s="38"/>
      <c r="YA73" s="38"/>
      <c r="YB73" s="38"/>
      <c r="YC73" s="38"/>
      <c r="YD73" s="38"/>
      <c r="YE73" s="38"/>
      <c r="YF73" s="38"/>
      <c r="YG73" s="38"/>
      <c r="YH73" s="38"/>
      <c r="YI73" s="38"/>
      <c r="YJ73" s="38"/>
      <c r="YK73" s="38"/>
      <c r="YL73" s="38"/>
      <c r="YM73" s="38"/>
      <c r="YN73" s="38"/>
      <c r="YO73" s="38"/>
      <c r="YP73" s="38"/>
      <c r="YQ73" s="38"/>
      <c r="YR73" s="38"/>
      <c r="YS73" s="38"/>
      <c r="YT73" s="38"/>
      <c r="YU73" s="38"/>
      <c r="YV73" s="38"/>
      <c r="YW73" s="38"/>
      <c r="YX73" s="38"/>
      <c r="YY73" s="38"/>
      <c r="YZ73" s="38"/>
      <c r="ZA73" s="38"/>
      <c r="ZB73" s="38"/>
      <c r="ZC73" s="38"/>
      <c r="ZD73" s="38"/>
      <c r="ZE73" s="38"/>
      <c r="ZF73" s="38"/>
      <c r="ZG73" s="38"/>
      <c r="ZH73" s="38"/>
      <c r="ZI73" s="38"/>
      <c r="ZJ73" s="38"/>
      <c r="ZK73" s="38"/>
      <c r="ZL73" s="38"/>
      <c r="ZM73" s="38"/>
      <c r="ZN73" s="38"/>
      <c r="ZO73" s="38"/>
      <c r="ZP73" s="38"/>
      <c r="ZQ73" s="38"/>
      <c r="ZR73" s="38"/>
      <c r="ZS73" s="38"/>
      <c r="ZT73" s="38"/>
      <c r="ZU73" s="38"/>
      <c r="ZV73" s="38"/>
      <c r="ZW73" s="38"/>
      <c r="ZX73" s="38"/>
      <c r="ZY73" s="38"/>
      <c r="ZZ73" s="38"/>
      <c r="AAA73" s="38"/>
      <c r="AAB73" s="38"/>
      <c r="AAC73" s="38"/>
      <c r="AAD73" s="38"/>
      <c r="AAE73" s="38"/>
      <c r="AAF73" s="38"/>
      <c r="AAG73" s="38"/>
      <c r="AAH73" s="38"/>
      <c r="AAI73" s="38"/>
      <c r="AAJ73" s="38"/>
      <c r="AAK73" s="38"/>
      <c r="AAL73" s="38"/>
      <c r="AAM73" s="38"/>
      <c r="AAN73" s="38"/>
      <c r="AAO73" s="38"/>
      <c r="AAP73" s="38"/>
      <c r="AAQ73" s="38"/>
      <c r="AAR73" s="38"/>
      <c r="AAS73" s="38"/>
      <c r="AAT73" s="38"/>
      <c r="AAU73" s="38"/>
      <c r="AAV73" s="38"/>
      <c r="AAW73" s="38"/>
      <c r="AAX73" s="38"/>
      <c r="AAY73" s="38"/>
      <c r="AAZ73" s="38"/>
      <c r="ABA73" s="38"/>
      <c r="ABB73" s="38"/>
      <c r="ABC73" s="38"/>
      <c r="ABD73" s="38"/>
      <c r="ABE73" s="38"/>
      <c r="ABF73" s="38"/>
      <c r="ABG73" s="38"/>
      <c r="ABH73" s="38"/>
      <c r="ABI73" s="38"/>
      <c r="ABJ73" s="38"/>
      <c r="ABK73" s="38"/>
      <c r="ABL73" s="38"/>
      <c r="ABM73" s="38"/>
      <c r="ABN73" s="38"/>
      <c r="ABO73" s="38"/>
      <c r="ABP73" s="38"/>
      <c r="ABQ73" s="38"/>
      <c r="ABR73" s="38"/>
      <c r="ABS73" s="38"/>
      <c r="ABT73" s="38"/>
      <c r="ABU73" s="38"/>
      <c r="ABV73" s="38"/>
      <c r="ABW73" s="38"/>
      <c r="ABX73" s="38"/>
      <c r="ABY73" s="38"/>
      <c r="ABZ73" s="38"/>
      <c r="ACA73" s="38"/>
      <c r="ACB73" s="38"/>
      <c r="ACC73" s="38"/>
      <c r="ACD73" s="38"/>
      <c r="ACE73" s="38"/>
      <c r="ACF73" s="38"/>
      <c r="ACG73" s="38"/>
      <c r="ACH73" s="38"/>
      <c r="ACI73" s="38"/>
      <c r="ACJ73" s="38"/>
      <c r="ACK73" s="38"/>
      <c r="ACL73" s="38"/>
      <c r="ACM73" s="38"/>
      <c r="ACN73" s="38"/>
      <c r="ACO73" s="38"/>
      <c r="ACP73" s="38"/>
      <c r="ACQ73" s="38"/>
      <c r="ACR73" s="38"/>
      <c r="ACS73" s="38"/>
      <c r="ACT73" s="38"/>
      <c r="ACU73" s="38"/>
      <c r="ACV73" s="38"/>
      <c r="ACW73" s="38"/>
      <c r="ACX73" s="38"/>
      <c r="ACY73" s="38"/>
      <c r="ACZ73" s="38"/>
      <c r="ADA73" s="38"/>
      <c r="ADB73" s="38"/>
      <c r="ADC73" s="38"/>
      <c r="ADD73" s="38"/>
      <c r="ADE73" s="38"/>
      <c r="ADF73" s="38"/>
      <c r="ADG73" s="38"/>
      <c r="ADH73" s="38"/>
      <c r="ADI73" s="38"/>
      <c r="ADJ73" s="38"/>
      <c r="ADK73" s="38"/>
      <c r="ADL73" s="38"/>
      <c r="ADM73" s="38"/>
      <c r="ADN73" s="38"/>
      <c r="ADO73" s="38"/>
      <c r="ADP73" s="38"/>
      <c r="ADQ73" s="38"/>
      <c r="ADR73" s="38"/>
      <c r="ADS73" s="38"/>
      <c r="ADT73" s="38"/>
      <c r="ADU73" s="38"/>
      <c r="ADV73" s="38"/>
      <c r="ADW73" s="38"/>
      <c r="ADX73" s="38"/>
      <c r="ADY73" s="38"/>
      <c r="ADZ73" s="38"/>
      <c r="AEA73" s="38"/>
      <c r="AEB73" s="38"/>
      <c r="AEC73" s="38"/>
      <c r="AED73" s="38"/>
      <c r="AEE73" s="38"/>
      <c r="AEF73" s="38"/>
      <c r="AEG73" s="38"/>
      <c r="AEH73" s="38"/>
      <c r="AEI73" s="38"/>
      <c r="AEJ73" s="38"/>
      <c r="AEK73" s="38"/>
      <c r="AEL73" s="38"/>
      <c r="AEM73" s="38"/>
      <c r="AEN73" s="38"/>
      <c r="AEO73" s="38"/>
      <c r="AEP73" s="38"/>
      <c r="AEQ73" s="38"/>
      <c r="AER73" s="38"/>
      <c r="AES73" s="38"/>
      <c r="AET73" s="38"/>
      <c r="AEU73" s="38"/>
      <c r="AEV73" s="38"/>
      <c r="AEW73" s="38"/>
      <c r="AEX73" s="38"/>
      <c r="AEY73" s="38"/>
      <c r="AEZ73" s="38"/>
      <c r="AFA73" s="38"/>
      <c r="AFB73" s="38"/>
      <c r="AFC73" s="38"/>
      <c r="AFD73" s="38"/>
      <c r="AFE73" s="38"/>
      <c r="AFF73" s="38"/>
      <c r="AFG73" s="38"/>
      <c r="AFH73" s="38"/>
      <c r="AFI73" s="38"/>
      <c r="AFJ73" s="38"/>
      <c r="AFK73" s="38"/>
      <c r="AFL73" s="38"/>
      <c r="AFM73" s="38"/>
      <c r="AFN73" s="38"/>
      <c r="AFO73" s="38"/>
      <c r="AFP73" s="38"/>
      <c r="AFQ73" s="38"/>
      <c r="AFR73" s="38"/>
      <c r="AFS73" s="38"/>
      <c r="AFT73" s="38"/>
      <c r="AFU73" s="38"/>
      <c r="AFV73" s="38"/>
      <c r="AFW73" s="38"/>
      <c r="AFX73" s="38"/>
      <c r="AFY73" s="38"/>
      <c r="AFZ73" s="38"/>
      <c r="AGA73" s="38"/>
      <c r="AGB73" s="38"/>
      <c r="AGC73" s="38"/>
      <c r="AGD73" s="38"/>
      <c r="AGE73" s="38"/>
      <c r="AGF73" s="38"/>
      <c r="AGG73" s="38"/>
      <c r="AGH73" s="38"/>
      <c r="AGI73" s="38"/>
      <c r="AGJ73" s="38"/>
      <c r="AGK73" s="38"/>
      <c r="AGL73" s="38"/>
      <c r="AGM73" s="38"/>
      <c r="AGN73" s="38"/>
      <c r="AGO73" s="38"/>
      <c r="AGP73" s="38"/>
      <c r="AGQ73" s="38"/>
      <c r="AGR73" s="38"/>
      <c r="AGS73" s="38"/>
      <c r="AGT73" s="38"/>
      <c r="AGU73" s="38"/>
      <c r="AGV73" s="38"/>
      <c r="AGW73" s="38"/>
      <c r="AGX73" s="38"/>
      <c r="AGY73" s="38"/>
      <c r="AGZ73" s="38"/>
      <c r="AHA73" s="38"/>
      <c r="AHB73" s="38"/>
      <c r="AHC73" s="38"/>
      <c r="AHD73" s="38"/>
      <c r="AHE73" s="38"/>
      <c r="AHF73" s="38"/>
      <c r="AHG73" s="38"/>
      <c r="AHH73" s="38"/>
      <c r="AHI73" s="38"/>
      <c r="AHJ73" s="38"/>
      <c r="AHK73" s="38"/>
      <c r="AHL73" s="38"/>
      <c r="AHM73" s="38"/>
      <c r="AHN73" s="38"/>
      <c r="AHO73" s="38"/>
      <c r="AHP73" s="38"/>
      <c r="AHQ73" s="38"/>
      <c r="AHR73" s="38"/>
      <c r="AHS73" s="38"/>
      <c r="AHT73" s="38"/>
      <c r="AHU73" s="38"/>
      <c r="AHV73" s="38"/>
    </row>
    <row r="74" spans="1:906" s="27" customFormat="1" x14ac:dyDescent="0.35">
      <c r="A74" s="83">
        <v>69</v>
      </c>
      <c r="B74" s="108" t="s">
        <v>116</v>
      </c>
      <c r="C74" s="109"/>
      <c r="D74" s="109" t="s">
        <v>40</v>
      </c>
      <c r="E74" s="125">
        <v>6.5</v>
      </c>
      <c r="F74" s="125">
        <v>5</v>
      </c>
      <c r="G74" s="125"/>
      <c r="H74" s="125">
        <v>10.75</v>
      </c>
      <c r="I74" s="37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  <c r="CM74" s="38"/>
      <c r="CN74" s="38"/>
      <c r="CO74" s="38"/>
      <c r="CP74" s="38"/>
      <c r="CQ74" s="38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38"/>
      <c r="DC74" s="38"/>
      <c r="DD74" s="38"/>
      <c r="DE74" s="38"/>
      <c r="DF74" s="38"/>
      <c r="DG74" s="38"/>
      <c r="DH74" s="38"/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38"/>
      <c r="EA74" s="38"/>
      <c r="EB74" s="38"/>
      <c r="EC74" s="38"/>
      <c r="ED74" s="38"/>
      <c r="EE74" s="38"/>
      <c r="EF74" s="38"/>
      <c r="EG74" s="38"/>
      <c r="EH74" s="38"/>
      <c r="EI74" s="38"/>
      <c r="EJ74" s="38"/>
      <c r="EK74" s="38"/>
      <c r="EL74" s="38"/>
      <c r="EM74" s="38"/>
      <c r="EN74" s="38"/>
      <c r="EO74" s="38"/>
      <c r="EP74" s="38"/>
      <c r="EQ74" s="38"/>
      <c r="ER74" s="38"/>
      <c r="ES74" s="38"/>
      <c r="ET74" s="38"/>
      <c r="EU74" s="38"/>
      <c r="EV74" s="38"/>
      <c r="EW74" s="38"/>
      <c r="EX74" s="38"/>
      <c r="EY74" s="38"/>
      <c r="EZ74" s="38"/>
      <c r="FA74" s="38"/>
      <c r="FB74" s="38"/>
      <c r="FC74" s="38"/>
      <c r="FD74" s="38"/>
      <c r="FE74" s="38"/>
      <c r="FF74" s="38"/>
      <c r="FG74" s="38"/>
      <c r="FH74" s="38"/>
      <c r="FI74" s="38"/>
      <c r="FJ74" s="38"/>
      <c r="FK74" s="38"/>
      <c r="FL74" s="38"/>
      <c r="FM74" s="38"/>
      <c r="FN74" s="38"/>
      <c r="FO74" s="38"/>
      <c r="FP74" s="38"/>
      <c r="FQ74" s="38"/>
      <c r="FR74" s="38"/>
      <c r="FS74" s="38"/>
      <c r="FT74" s="38"/>
      <c r="FU74" s="38"/>
      <c r="FV74" s="38"/>
      <c r="FW74" s="38"/>
      <c r="FX74" s="38"/>
      <c r="FY74" s="38"/>
      <c r="FZ74" s="38"/>
      <c r="GA74" s="38"/>
      <c r="GB74" s="38"/>
      <c r="GC74" s="38"/>
      <c r="GD74" s="38"/>
      <c r="GE74" s="38"/>
      <c r="GF74" s="38"/>
      <c r="GG74" s="38"/>
      <c r="GH74" s="38"/>
      <c r="GI74" s="38"/>
      <c r="GJ74" s="38"/>
      <c r="GK74" s="38"/>
      <c r="GL74" s="38"/>
      <c r="GM74" s="38"/>
      <c r="GN74" s="38"/>
      <c r="GO74" s="38"/>
      <c r="GP74" s="38"/>
      <c r="GQ74" s="38"/>
      <c r="GR74" s="38"/>
      <c r="GS74" s="38"/>
      <c r="GT74" s="38"/>
      <c r="GU74" s="38"/>
      <c r="GV74" s="38"/>
      <c r="GW74" s="38"/>
      <c r="GX74" s="38"/>
      <c r="GY74" s="38"/>
      <c r="GZ74" s="38"/>
      <c r="HA74" s="38"/>
      <c r="HB74" s="38"/>
      <c r="HC74" s="38"/>
      <c r="HD74" s="38"/>
      <c r="HE74" s="38"/>
      <c r="HF74" s="38"/>
      <c r="HG74" s="38"/>
      <c r="HH74" s="38"/>
      <c r="HI74" s="38"/>
      <c r="HJ74" s="38"/>
      <c r="HK74" s="38"/>
      <c r="HL74" s="38"/>
      <c r="HM74" s="38"/>
      <c r="HN74" s="38"/>
      <c r="HO74" s="38"/>
      <c r="HP74" s="38"/>
      <c r="HQ74" s="38"/>
      <c r="HR74" s="38"/>
      <c r="HS74" s="38"/>
      <c r="HT74" s="38"/>
      <c r="HU74" s="38"/>
      <c r="HV74" s="38"/>
      <c r="HW74" s="38"/>
      <c r="HX74" s="38"/>
      <c r="HY74" s="38"/>
      <c r="HZ74" s="38"/>
      <c r="IA74" s="38"/>
      <c r="IB74" s="38"/>
      <c r="IC74" s="38"/>
      <c r="ID74" s="38"/>
      <c r="IE74" s="38"/>
      <c r="IF74" s="38"/>
      <c r="IG74" s="38"/>
      <c r="IH74" s="38"/>
      <c r="II74" s="38"/>
      <c r="IJ74" s="38"/>
      <c r="IK74" s="38"/>
      <c r="IL74" s="38"/>
      <c r="IM74" s="38"/>
      <c r="IN74" s="38"/>
      <c r="IO74" s="38"/>
      <c r="IP74" s="38"/>
      <c r="IQ74" s="38"/>
      <c r="IR74" s="38"/>
      <c r="IS74" s="38"/>
      <c r="IT74" s="38"/>
      <c r="IU74" s="38"/>
      <c r="IV74" s="38"/>
      <c r="IW74" s="38"/>
      <c r="IX74" s="38"/>
      <c r="IY74" s="38"/>
      <c r="IZ74" s="38"/>
      <c r="JA74" s="38"/>
      <c r="JB74" s="38"/>
      <c r="JC74" s="38"/>
      <c r="JD74" s="38"/>
      <c r="JE74" s="38"/>
      <c r="JF74" s="38"/>
      <c r="JG74" s="38"/>
      <c r="JH74" s="38"/>
      <c r="JI74" s="38"/>
      <c r="JJ74" s="38"/>
      <c r="JK74" s="38"/>
      <c r="JL74" s="38"/>
      <c r="JM74" s="38"/>
      <c r="JN74" s="38"/>
      <c r="JO74" s="38"/>
      <c r="JP74" s="38"/>
      <c r="JQ74" s="38"/>
      <c r="JR74" s="38"/>
      <c r="JS74" s="38"/>
      <c r="JT74" s="38"/>
      <c r="JU74" s="38"/>
      <c r="JV74" s="38"/>
      <c r="JW74" s="38"/>
      <c r="JX74" s="38"/>
      <c r="JY74" s="38"/>
      <c r="JZ74" s="38"/>
      <c r="KA74" s="38"/>
      <c r="KB74" s="38"/>
      <c r="KC74" s="38"/>
      <c r="KD74" s="38"/>
      <c r="KE74" s="38"/>
      <c r="KF74" s="38"/>
      <c r="KG74" s="38"/>
      <c r="KH74" s="38"/>
      <c r="KI74" s="38"/>
      <c r="KJ74" s="38"/>
      <c r="KK74" s="38"/>
      <c r="KL74" s="38"/>
      <c r="KM74" s="38"/>
      <c r="KN74" s="38"/>
      <c r="KO74" s="38"/>
      <c r="KP74" s="38"/>
      <c r="KQ74" s="38"/>
      <c r="KR74" s="38"/>
      <c r="KS74" s="38"/>
      <c r="KT74" s="38"/>
      <c r="KU74" s="38"/>
      <c r="KV74" s="38"/>
      <c r="KW74" s="38"/>
      <c r="KX74" s="38"/>
      <c r="KY74" s="38"/>
      <c r="KZ74" s="38"/>
      <c r="LA74" s="38"/>
      <c r="LB74" s="38"/>
      <c r="LC74" s="38"/>
      <c r="LD74" s="38"/>
      <c r="LE74" s="38"/>
      <c r="LF74" s="38"/>
      <c r="LG74" s="38"/>
      <c r="LH74" s="38"/>
      <c r="LI74" s="38"/>
      <c r="LJ74" s="38"/>
      <c r="LK74" s="38"/>
      <c r="LL74" s="38"/>
      <c r="LM74" s="38"/>
      <c r="LN74" s="38"/>
      <c r="LO74" s="38"/>
      <c r="LP74" s="38"/>
      <c r="LQ74" s="38"/>
      <c r="LR74" s="38"/>
      <c r="LS74" s="38"/>
      <c r="LT74" s="38"/>
      <c r="LU74" s="38"/>
      <c r="LV74" s="38"/>
      <c r="LW74" s="38"/>
      <c r="LX74" s="38"/>
      <c r="LY74" s="38"/>
      <c r="LZ74" s="38"/>
      <c r="MA74" s="38"/>
      <c r="MB74" s="38"/>
      <c r="MC74" s="38"/>
      <c r="MD74" s="38"/>
      <c r="ME74" s="38"/>
      <c r="MF74" s="38"/>
      <c r="MG74" s="38"/>
      <c r="MH74" s="38"/>
      <c r="MI74" s="38"/>
      <c r="MJ74" s="38"/>
      <c r="MK74" s="38"/>
      <c r="ML74" s="38"/>
      <c r="MM74" s="38"/>
      <c r="MN74" s="38"/>
      <c r="MO74" s="38"/>
      <c r="MP74" s="38"/>
      <c r="MQ74" s="38"/>
      <c r="MR74" s="38"/>
      <c r="MS74" s="38"/>
      <c r="MT74" s="38"/>
      <c r="MU74" s="38"/>
      <c r="MV74" s="38"/>
      <c r="MW74" s="38"/>
      <c r="MX74" s="38"/>
      <c r="MY74" s="38"/>
      <c r="MZ74" s="38"/>
      <c r="NA74" s="38"/>
      <c r="NB74" s="38"/>
      <c r="NC74" s="38"/>
      <c r="ND74" s="38"/>
      <c r="NE74" s="38"/>
      <c r="NF74" s="38"/>
      <c r="NG74" s="38"/>
      <c r="NH74" s="38"/>
      <c r="NI74" s="38"/>
      <c r="NJ74" s="38"/>
      <c r="NK74" s="38"/>
      <c r="NL74" s="38"/>
      <c r="NM74" s="38"/>
      <c r="NN74" s="38"/>
      <c r="NO74" s="38"/>
      <c r="NP74" s="38"/>
      <c r="NQ74" s="38"/>
      <c r="NR74" s="38"/>
      <c r="NS74" s="38"/>
      <c r="NT74" s="38"/>
      <c r="NU74" s="38"/>
      <c r="NV74" s="38"/>
      <c r="NW74" s="38"/>
      <c r="NX74" s="38"/>
      <c r="NY74" s="38"/>
      <c r="NZ74" s="38"/>
      <c r="OA74" s="38"/>
      <c r="OB74" s="38"/>
      <c r="OC74" s="38"/>
      <c r="OD74" s="38"/>
      <c r="OE74" s="38"/>
      <c r="OF74" s="38"/>
      <c r="OG74" s="38"/>
      <c r="OH74" s="38"/>
      <c r="OI74" s="38"/>
      <c r="OJ74" s="38"/>
      <c r="OK74" s="38"/>
      <c r="OL74" s="38"/>
      <c r="OM74" s="38"/>
      <c r="ON74" s="38"/>
      <c r="OO74" s="38"/>
      <c r="OP74" s="38"/>
      <c r="OQ74" s="38"/>
      <c r="OR74" s="38"/>
      <c r="OS74" s="38"/>
      <c r="OT74" s="38"/>
      <c r="OU74" s="38"/>
      <c r="OV74" s="38"/>
      <c r="OW74" s="38"/>
      <c r="OX74" s="38"/>
      <c r="OY74" s="38"/>
      <c r="OZ74" s="38"/>
      <c r="PA74" s="38"/>
      <c r="PB74" s="38"/>
      <c r="PC74" s="38"/>
      <c r="PD74" s="38"/>
      <c r="PE74" s="38"/>
      <c r="PF74" s="38"/>
      <c r="PG74" s="38"/>
      <c r="PH74" s="38"/>
      <c r="PI74" s="38"/>
      <c r="PJ74" s="38"/>
      <c r="PK74" s="38"/>
      <c r="PL74" s="38"/>
      <c r="PM74" s="38"/>
      <c r="PN74" s="38"/>
      <c r="PO74" s="38"/>
      <c r="PP74" s="38"/>
      <c r="PQ74" s="38"/>
      <c r="PR74" s="38"/>
      <c r="PS74" s="38"/>
      <c r="PT74" s="38"/>
      <c r="PU74" s="38"/>
      <c r="PV74" s="38"/>
      <c r="PW74" s="38"/>
      <c r="PX74" s="38"/>
      <c r="PY74" s="38"/>
      <c r="PZ74" s="38"/>
      <c r="QA74" s="38"/>
      <c r="QB74" s="38"/>
      <c r="QC74" s="38"/>
      <c r="QD74" s="38"/>
      <c r="QE74" s="38"/>
      <c r="QF74" s="38"/>
      <c r="QG74" s="38"/>
      <c r="QH74" s="38"/>
      <c r="QI74" s="38"/>
      <c r="QJ74" s="38"/>
      <c r="QK74" s="38"/>
      <c r="QL74" s="38"/>
      <c r="QM74" s="38"/>
      <c r="QN74" s="38"/>
      <c r="QO74" s="38"/>
      <c r="QP74" s="38"/>
      <c r="QQ74" s="38"/>
      <c r="QR74" s="38"/>
      <c r="QS74" s="38"/>
      <c r="QT74" s="38"/>
      <c r="QU74" s="38"/>
      <c r="QV74" s="38"/>
      <c r="QW74" s="38"/>
      <c r="QX74" s="38"/>
      <c r="QY74" s="38"/>
      <c r="QZ74" s="38"/>
      <c r="RA74" s="38"/>
      <c r="RB74" s="38"/>
      <c r="RC74" s="38"/>
      <c r="RD74" s="38"/>
      <c r="RE74" s="38"/>
      <c r="RF74" s="38"/>
      <c r="RG74" s="38"/>
      <c r="RH74" s="38"/>
      <c r="RI74" s="38"/>
      <c r="RJ74" s="38"/>
      <c r="RK74" s="38"/>
      <c r="RL74" s="38"/>
      <c r="RM74" s="38"/>
      <c r="RN74" s="38"/>
      <c r="RO74" s="38"/>
      <c r="RP74" s="38"/>
      <c r="RQ74" s="38"/>
      <c r="RR74" s="38"/>
      <c r="RS74" s="38"/>
      <c r="RT74" s="38"/>
      <c r="RU74" s="38"/>
      <c r="RV74" s="38"/>
      <c r="RW74" s="38"/>
      <c r="RX74" s="38"/>
      <c r="RY74" s="38"/>
      <c r="RZ74" s="38"/>
      <c r="SA74" s="38"/>
      <c r="SB74" s="38"/>
      <c r="SC74" s="38"/>
      <c r="SD74" s="38"/>
      <c r="SE74" s="38"/>
      <c r="SF74" s="38"/>
      <c r="SG74" s="38"/>
      <c r="SH74" s="38"/>
      <c r="SI74" s="38"/>
      <c r="SJ74" s="38"/>
      <c r="SK74" s="38"/>
      <c r="SL74" s="38"/>
      <c r="SM74" s="38"/>
      <c r="SN74" s="38"/>
      <c r="SO74" s="38"/>
      <c r="SP74" s="38"/>
      <c r="SQ74" s="38"/>
      <c r="SR74" s="38"/>
      <c r="SS74" s="38"/>
      <c r="ST74" s="38"/>
      <c r="SU74" s="38"/>
      <c r="SV74" s="38"/>
      <c r="SW74" s="38"/>
      <c r="SX74" s="38"/>
      <c r="SY74" s="38"/>
      <c r="SZ74" s="38"/>
      <c r="TA74" s="38"/>
      <c r="TB74" s="38"/>
      <c r="TC74" s="38"/>
      <c r="TD74" s="38"/>
      <c r="TE74" s="38"/>
      <c r="TF74" s="38"/>
      <c r="TG74" s="38"/>
      <c r="TH74" s="38"/>
      <c r="TI74" s="38"/>
      <c r="TJ74" s="38"/>
      <c r="TK74" s="38"/>
      <c r="TL74" s="38"/>
      <c r="TM74" s="38"/>
      <c r="TN74" s="38"/>
      <c r="TO74" s="38"/>
      <c r="TP74" s="38"/>
      <c r="TQ74" s="38"/>
      <c r="TR74" s="38"/>
      <c r="TS74" s="38"/>
      <c r="TT74" s="38"/>
      <c r="TU74" s="38"/>
      <c r="TV74" s="38"/>
      <c r="TW74" s="38"/>
      <c r="TX74" s="38"/>
      <c r="TY74" s="38"/>
      <c r="TZ74" s="38"/>
      <c r="UA74" s="38"/>
      <c r="UB74" s="38"/>
      <c r="UC74" s="38"/>
      <c r="UD74" s="38"/>
      <c r="UE74" s="38"/>
      <c r="UF74" s="38"/>
      <c r="UG74" s="38"/>
      <c r="UH74" s="38"/>
      <c r="UI74" s="38"/>
      <c r="UJ74" s="38"/>
      <c r="UK74" s="38"/>
      <c r="UL74" s="38"/>
      <c r="UM74" s="38"/>
      <c r="UN74" s="38"/>
      <c r="UO74" s="38"/>
      <c r="UP74" s="38"/>
      <c r="UQ74" s="38"/>
      <c r="UR74" s="38"/>
      <c r="US74" s="38"/>
      <c r="UT74" s="38"/>
      <c r="UU74" s="38"/>
      <c r="UV74" s="38"/>
      <c r="UW74" s="38"/>
      <c r="UX74" s="38"/>
      <c r="UY74" s="38"/>
      <c r="UZ74" s="38"/>
      <c r="VA74" s="38"/>
      <c r="VB74" s="38"/>
      <c r="VC74" s="38"/>
      <c r="VD74" s="38"/>
      <c r="VE74" s="38"/>
      <c r="VF74" s="38"/>
      <c r="VG74" s="38"/>
      <c r="VH74" s="38"/>
      <c r="VI74" s="38"/>
      <c r="VJ74" s="38"/>
      <c r="VK74" s="38"/>
      <c r="VL74" s="38"/>
      <c r="VM74" s="38"/>
      <c r="VN74" s="38"/>
      <c r="VO74" s="38"/>
      <c r="VP74" s="38"/>
      <c r="VQ74" s="38"/>
      <c r="VR74" s="38"/>
      <c r="VS74" s="38"/>
      <c r="VT74" s="38"/>
      <c r="VU74" s="38"/>
      <c r="VV74" s="38"/>
      <c r="VW74" s="38"/>
      <c r="VX74" s="38"/>
      <c r="VY74" s="38"/>
      <c r="VZ74" s="38"/>
      <c r="WA74" s="38"/>
      <c r="WB74" s="38"/>
      <c r="WC74" s="38"/>
      <c r="WD74" s="38"/>
      <c r="WE74" s="38"/>
      <c r="WF74" s="38"/>
      <c r="WG74" s="38"/>
      <c r="WH74" s="38"/>
      <c r="WI74" s="38"/>
      <c r="WJ74" s="38"/>
      <c r="WK74" s="38"/>
      <c r="WL74" s="38"/>
      <c r="WM74" s="38"/>
      <c r="WN74" s="38"/>
      <c r="WO74" s="38"/>
      <c r="WP74" s="38"/>
      <c r="WQ74" s="38"/>
      <c r="WR74" s="38"/>
      <c r="WS74" s="38"/>
      <c r="WT74" s="38"/>
      <c r="WU74" s="38"/>
      <c r="WV74" s="38"/>
      <c r="WW74" s="38"/>
      <c r="WX74" s="38"/>
      <c r="WY74" s="38"/>
      <c r="WZ74" s="38"/>
      <c r="XA74" s="38"/>
      <c r="XB74" s="38"/>
      <c r="XC74" s="38"/>
      <c r="XD74" s="38"/>
      <c r="XE74" s="38"/>
      <c r="XF74" s="38"/>
      <c r="XG74" s="38"/>
      <c r="XH74" s="38"/>
      <c r="XI74" s="38"/>
      <c r="XJ74" s="38"/>
      <c r="XK74" s="38"/>
      <c r="XL74" s="38"/>
      <c r="XM74" s="38"/>
      <c r="XN74" s="38"/>
      <c r="XO74" s="38"/>
      <c r="XP74" s="38"/>
      <c r="XQ74" s="38"/>
      <c r="XR74" s="38"/>
      <c r="XS74" s="38"/>
      <c r="XT74" s="38"/>
      <c r="XU74" s="38"/>
      <c r="XV74" s="38"/>
      <c r="XW74" s="38"/>
      <c r="XX74" s="38"/>
      <c r="XY74" s="38"/>
      <c r="XZ74" s="38"/>
      <c r="YA74" s="38"/>
      <c r="YB74" s="38"/>
      <c r="YC74" s="38"/>
      <c r="YD74" s="38"/>
      <c r="YE74" s="38"/>
      <c r="YF74" s="38"/>
      <c r="YG74" s="38"/>
      <c r="YH74" s="38"/>
      <c r="YI74" s="38"/>
      <c r="YJ74" s="38"/>
      <c r="YK74" s="38"/>
      <c r="YL74" s="38"/>
      <c r="YM74" s="38"/>
      <c r="YN74" s="38"/>
      <c r="YO74" s="38"/>
      <c r="YP74" s="38"/>
      <c r="YQ74" s="38"/>
      <c r="YR74" s="38"/>
      <c r="YS74" s="38"/>
      <c r="YT74" s="38"/>
      <c r="YU74" s="38"/>
      <c r="YV74" s="38"/>
      <c r="YW74" s="38"/>
      <c r="YX74" s="38"/>
      <c r="YY74" s="38"/>
      <c r="YZ74" s="38"/>
      <c r="ZA74" s="38"/>
      <c r="ZB74" s="38"/>
      <c r="ZC74" s="38"/>
      <c r="ZD74" s="38"/>
      <c r="ZE74" s="38"/>
      <c r="ZF74" s="38"/>
      <c r="ZG74" s="38"/>
      <c r="ZH74" s="38"/>
      <c r="ZI74" s="38"/>
      <c r="ZJ74" s="38"/>
      <c r="ZK74" s="38"/>
      <c r="ZL74" s="38"/>
      <c r="ZM74" s="38"/>
      <c r="ZN74" s="38"/>
      <c r="ZO74" s="38"/>
      <c r="ZP74" s="38"/>
      <c r="ZQ74" s="38"/>
      <c r="ZR74" s="38"/>
      <c r="ZS74" s="38"/>
      <c r="ZT74" s="38"/>
      <c r="ZU74" s="38"/>
      <c r="ZV74" s="38"/>
      <c r="ZW74" s="38"/>
      <c r="ZX74" s="38"/>
      <c r="ZY74" s="38"/>
      <c r="ZZ74" s="38"/>
      <c r="AAA74" s="38"/>
      <c r="AAB74" s="38"/>
      <c r="AAC74" s="38"/>
      <c r="AAD74" s="38"/>
      <c r="AAE74" s="38"/>
      <c r="AAF74" s="38"/>
      <c r="AAG74" s="38"/>
      <c r="AAH74" s="38"/>
      <c r="AAI74" s="38"/>
      <c r="AAJ74" s="38"/>
      <c r="AAK74" s="38"/>
      <c r="AAL74" s="38"/>
      <c r="AAM74" s="38"/>
      <c r="AAN74" s="38"/>
      <c r="AAO74" s="38"/>
      <c r="AAP74" s="38"/>
      <c r="AAQ74" s="38"/>
      <c r="AAR74" s="38"/>
      <c r="AAS74" s="38"/>
      <c r="AAT74" s="38"/>
      <c r="AAU74" s="38"/>
      <c r="AAV74" s="38"/>
      <c r="AAW74" s="38"/>
      <c r="AAX74" s="38"/>
      <c r="AAY74" s="38"/>
      <c r="AAZ74" s="38"/>
      <c r="ABA74" s="38"/>
      <c r="ABB74" s="38"/>
      <c r="ABC74" s="38"/>
      <c r="ABD74" s="38"/>
      <c r="ABE74" s="38"/>
      <c r="ABF74" s="38"/>
      <c r="ABG74" s="38"/>
      <c r="ABH74" s="38"/>
      <c r="ABI74" s="38"/>
      <c r="ABJ74" s="38"/>
      <c r="ABK74" s="38"/>
      <c r="ABL74" s="38"/>
      <c r="ABM74" s="38"/>
      <c r="ABN74" s="38"/>
      <c r="ABO74" s="38"/>
      <c r="ABP74" s="38"/>
      <c r="ABQ74" s="38"/>
      <c r="ABR74" s="38"/>
      <c r="ABS74" s="38"/>
      <c r="ABT74" s="38"/>
      <c r="ABU74" s="38"/>
      <c r="ABV74" s="38"/>
      <c r="ABW74" s="38"/>
      <c r="ABX74" s="38"/>
      <c r="ABY74" s="38"/>
      <c r="ABZ74" s="38"/>
      <c r="ACA74" s="38"/>
      <c r="ACB74" s="38"/>
      <c r="ACC74" s="38"/>
      <c r="ACD74" s="38"/>
      <c r="ACE74" s="38"/>
      <c r="ACF74" s="38"/>
      <c r="ACG74" s="38"/>
      <c r="ACH74" s="38"/>
      <c r="ACI74" s="38"/>
      <c r="ACJ74" s="38"/>
      <c r="ACK74" s="38"/>
      <c r="ACL74" s="38"/>
      <c r="ACM74" s="38"/>
      <c r="ACN74" s="38"/>
      <c r="ACO74" s="38"/>
      <c r="ACP74" s="38"/>
      <c r="ACQ74" s="38"/>
      <c r="ACR74" s="38"/>
      <c r="ACS74" s="38"/>
      <c r="ACT74" s="38"/>
      <c r="ACU74" s="38"/>
      <c r="ACV74" s="38"/>
      <c r="ACW74" s="38"/>
      <c r="ACX74" s="38"/>
      <c r="ACY74" s="38"/>
      <c r="ACZ74" s="38"/>
      <c r="ADA74" s="38"/>
      <c r="ADB74" s="38"/>
      <c r="ADC74" s="38"/>
      <c r="ADD74" s="38"/>
      <c r="ADE74" s="38"/>
      <c r="ADF74" s="38"/>
      <c r="ADG74" s="38"/>
      <c r="ADH74" s="38"/>
      <c r="ADI74" s="38"/>
      <c r="ADJ74" s="38"/>
      <c r="ADK74" s="38"/>
      <c r="ADL74" s="38"/>
      <c r="ADM74" s="38"/>
      <c r="ADN74" s="38"/>
      <c r="ADO74" s="38"/>
      <c r="ADP74" s="38"/>
      <c r="ADQ74" s="38"/>
      <c r="ADR74" s="38"/>
      <c r="ADS74" s="38"/>
      <c r="ADT74" s="38"/>
      <c r="ADU74" s="38"/>
      <c r="ADV74" s="38"/>
      <c r="ADW74" s="38"/>
      <c r="ADX74" s="38"/>
      <c r="ADY74" s="38"/>
      <c r="ADZ74" s="38"/>
      <c r="AEA74" s="38"/>
      <c r="AEB74" s="38"/>
      <c r="AEC74" s="38"/>
      <c r="AED74" s="38"/>
      <c r="AEE74" s="38"/>
      <c r="AEF74" s="38"/>
      <c r="AEG74" s="38"/>
      <c r="AEH74" s="38"/>
      <c r="AEI74" s="38"/>
      <c r="AEJ74" s="38"/>
      <c r="AEK74" s="38"/>
      <c r="AEL74" s="38"/>
      <c r="AEM74" s="38"/>
      <c r="AEN74" s="38"/>
      <c r="AEO74" s="38"/>
      <c r="AEP74" s="38"/>
      <c r="AEQ74" s="38"/>
      <c r="AER74" s="38"/>
      <c r="AES74" s="38"/>
      <c r="AET74" s="38"/>
      <c r="AEU74" s="38"/>
      <c r="AEV74" s="38"/>
      <c r="AEW74" s="38"/>
      <c r="AEX74" s="38"/>
      <c r="AEY74" s="38"/>
      <c r="AEZ74" s="38"/>
      <c r="AFA74" s="38"/>
      <c r="AFB74" s="38"/>
      <c r="AFC74" s="38"/>
      <c r="AFD74" s="38"/>
      <c r="AFE74" s="38"/>
      <c r="AFF74" s="38"/>
      <c r="AFG74" s="38"/>
      <c r="AFH74" s="38"/>
      <c r="AFI74" s="38"/>
      <c r="AFJ74" s="38"/>
      <c r="AFK74" s="38"/>
      <c r="AFL74" s="38"/>
      <c r="AFM74" s="38"/>
      <c r="AFN74" s="38"/>
      <c r="AFO74" s="38"/>
      <c r="AFP74" s="38"/>
      <c r="AFQ74" s="38"/>
      <c r="AFR74" s="38"/>
      <c r="AFS74" s="38"/>
      <c r="AFT74" s="38"/>
      <c r="AFU74" s="38"/>
      <c r="AFV74" s="38"/>
      <c r="AFW74" s="38"/>
      <c r="AFX74" s="38"/>
      <c r="AFY74" s="38"/>
      <c r="AFZ74" s="38"/>
      <c r="AGA74" s="38"/>
      <c r="AGB74" s="38"/>
      <c r="AGC74" s="38"/>
      <c r="AGD74" s="38"/>
      <c r="AGE74" s="38"/>
      <c r="AGF74" s="38"/>
      <c r="AGG74" s="38"/>
      <c r="AGH74" s="38"/>
      <c r="AGI74" s="38"/>
      <c r="AGJ74" s="38"/>
      <c r="AGK74" s="38"/>
      <c r="AGL74" s="38"/>
      <c r="AGM74" s="38"/>
      <c r="AGN74" s="38"/>
      <c r="AGO74" s="38"/>
      <c r="AGP74" s="38"/>
      <c r="AGQ74" s="38"/>
      <c r="AGR74" s="38"/>
      <c r="AGS74" s="38"/>
      <c r="AGT74" s="38"/>
      <c r="AGU74" s="38"/>
      <c r="AGV74" s="38"/>
      <c r="AGW74" s="38"/>
      <c r="AGX74" s="38"/>
      <c r="AGY74" s="38"/>
      <c r="AGZ74" s="38"/>
      <c r="AHA74" s="38"/>
      <c r="AHB74" s="38"/>
      <c r="AHC74" s="38"/>
      <c r="AHD74" s="38"/>
      <c r="AHE74" s="38"/>
      <c r="AHF74" s="38"/>
      <c r="AHG74" s="38"/>
      <c r="AHH74" s="38"/>
      <c r="AHI74" s="38"/>
      <c r="AHJ74" s="38"/>
      <c r="AHK74" s="38"/>
      <c r="AHL74" s="38"/>
      <c r="AHM74" s="38"/>
      <c r="AHN74" s="38"/>
      <c r="AHO74" s="38"/>
      <c r="AHP74" s="38"/>
      <c r="AHQ74" s="38"/>
      <c r="AHR74" s="38"/>
      <c r="AHS74" s="38"/>
      <c r="AHT74" s="38"/>
      <c r="AHU74" s="38"/>
      <c r="AHV74" s="38"/>
    </row>
    <row r="75" spans="1:906" s="27" customFormat="1" x14ac:dyDescent="0.35">
      <c r="A75" s="83">
        <v>70</v>
      </c>
      <c r="B75" s="108" t="s">
        <v>117</v>
      </c>
      <c r="C75" s="109" t="s">
        <v>118</v>
      </c>
      <c r="D75" s="109" t="s">
        <v>15</v>
      </c>
      <c r="E75" s="125"/>
      <c r="F75" s="125">
        <v>3.99</v>
      </c>
      <c r="G75" s="125">
        <v>3.75</v>
      </c>
      <c r="H75" s="125"/>
      <c r="I75" s="37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</row>
    <row r="76" spans="1:906" s="27" customFormat="1" x14ac:dyDescent="0.35">
      <c r="A76" s="83">
        <v>71</v>
      </c>
      <c r="B76" s="108" t="s">
        <v>119</v>
      </c>
      <c r="C76" s="109" t="s">
        <v>120</v>
      </c>
      <c r="D76" s="109" t="s">
        <v>81</v>
      </c>
      <c r="E76" s="125">
        <v>20.99</v>
      </c>
      <c r="F76" s="125">
        <v>21.95</v>
      </c>
      <c r="G76" s="125"/>
      <c r="H76" s="125">
        <v>18.95</v>
      </c>
      <c r="I76" s="37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</row>
    <row r="77" spans="1:906" s="27" customFormat="1" x14ac:dyDescent="0.35">
      <c r="A77" s="83">
        <v>72</v>
      </c>
      <c r="B77" s="108" t="s">
        <v>121</v>
      </c>
      <c r="C77" s="109" t="s">
        <v>122</v>
      </c>
      <c r="D77" s="109" t="s">
        <v>81</v>
      </c>
      <c r="E77" s="125">
        <v>22.99</v>
      </c>
      <c r="F77" s="125">
        <v>19.95</v>
      </c>
      <c r="G77" s="125">
        <v>19.95</v>
      </c>
      <c r="H77" s="125">
        <v>22</v>
      </c>
      <c r="I77" s="37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</row>
    <row r="78" spans="1:906" s="27" customFormat="1" x14ac:dyDescent="0.35">
      <c r="A78" s="83">
        <v>73</v>
      </c>
      <c r="B78" s="108" t="s">
        <v>123</v>
      </c>
      <c r="C78" s="109" t="s">
        <v>124</v>
      </c>
      <c r="D78" s="109" t="s">
        <v>125</v>
      </c>
      <c r="E78" s="125"/>
      <c r="F78" s="125"/>
      <c r="G78" s="125"/>
      <c r="H78" s="125"/>
      <c r="I78" s="37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  <c r="EX78" s="38"/>
      <c r="EY78" s="38"/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  <c r="FK78" s="38"/>
      <c r="FL78" s="38"/>
      <c r="FM78" s="38"/>
      <c r="FN78" s="38"/>
      <c r="FO78" s="38"/>
      <c r="FP78" s="38"/>
      <c r="FQ78" s="38"/>
      <c r="FR78" s="38"/>
      <c r="FS78" s="38"/>
      <c r="FT78" s="38"/>
      <c r="FU78" s="38"/>
      <c r="FV78" s="38"/>
      <c r="FW78" s="38"/>
      <c r="FX78" s="38"/>
      <c r="FY78" s="38"/>
      <c r="FZ78" s="38"/>
      <c r="GA78" s="38"/>
      <c r="GB78" s="38"/>
      <c r="GC78" s="38"/>
      <c r="GD78" s="38"/>
      <c r="GE78" s="38"/>
      <c r="GF78" s="38"/>
      <c r="GG78" s="38"/>
      <c r="GH78" s="38"/>
      <c r="GI78" s="38"/>
      <c r="GJ78" s="38"/>
      <c r="GK78" s="38"/>
      <c r="GL78" s="38"/>
      <c r="GM78" s="38"/>
      <c r="GN78" s="38"/>
      <c r="GO78" s="38"/>
      <c r="GP78" s="38"/>
      <c r="GQ78" s="38"/>
      <c r="GR78" s="38"/>
      <c r="GS78" s="38"/>
      <c r="GT78" s="38"/>
      <c r="GU78" s="38"/>
      <c r="GV78" s="38"/>
      <c r="GW78" s="38"/>
      <c r="GX78" s="38"/>
      <c r="GY78" s="38"/>
      <c r="GZ78" s="38"/>
      <c r="HA78" s="38"/>
      <c r="HB78" s="38"/>
      <c r="HC78" s="38"/>
      <c r="HD78" s="38"/>
      <c r="HE78" s="38"/>
      <c r="HF78" s="38"/>
      <c r="HG78" s="38"/>
      <c r="HH78" s="38"/>
      <c r="HI78" s="38"/>
      <c r="HJ78" s="38"/>
      <c r="HK78" s="38"/>
      <c r="HL78" s="38"/>
      <c r="HM78" s="38"/>
      <c r="HN78" s="38"/>
      <c r="HO78" s="38"/>
      <c r="HP78" s="38"/>
      <c r="HQ78" s="38"/>
      <c r="HR78" s="38"/>
      <c r="HS78" s="38"/>
      <c r="HT78" s="38"/>
      <c r="HU78" s="38"/>
      <c r="HV78" s="38"/>
      <c r="HW78" s="38"/>
      <c r="HX78" s="38"/>
      <c r="HY78" s="38"/>
      <c r="HZ78" s="38"/>
      <c r="IA78" s="38"/>
      <c r="IB78" s="38"/>
      <c r="IC78" s="38"/>
      <c r="ID78" s="38"/>
      <c r="IE78" s="38"/>
      <c r="IF78" s="38"/>
      <c r="IG78" s="38"/>
      <c r="IH78" s="38"/>
      <c r="II78" s="38"/>
      <c r="IJ78" s="38"/>
      <c r="IK78" s="38"/>
      <c r="IL78" s="38"/>
      <c r="IM78" s="38"/>
      <c r="IN78" s="38"/>
      <c r="IO78" s="38"/>
      <c r="IP78" s="38"/>
      <c r="IQ78" s="38"/>
      <c r="IR78" s="38"/>
      <c r="IS78" s="38"/>
      <c r="IT78" s="38"/>
      <c r="IU78" s="38"/>
      <c r="IV78" s="38"/>
      <c r="IW78" s="38"/>
      <c r="IX78" s="38"/>
      <c r="IY78" s="38"/>
      <c r="IZ78" s="38"/>
      <c r="JA78" s="38"/>
      <c r="JB78" s="38"/>
      <c r="JC78" s="38"/>
      <c r="JD78" s="38"/>
      <c r="JE78" s="38"/>
      <c r="JF78" s="38"/>
      <c r="JG78" s="38"/>
      <c r="JH78" s="38"/>
      <c r="JI78" s="38"/>
      <c r="JJ78" s="38"/>
      <c r="JK78" s="38"/>
      <c r="JL78" s="38"/>
      <c r="JM78" s="38"/>
      <c r="JN78" s="38"/>
      <c r="JO78" s="38"/>
      <c r="JP78" s="38"/>
      <c r="JQ78" s="38"/>
      <c r="JR78" s="38"/>
      <c r="JS78" s="38"/>
      <c r="JT78" s="38"/>
      <c r="JU78" s="38"/>
      <c r="JV78" s="38"/>
      <c r="JW78" s="38"/>
      <c r="JX78" s="38"/>
      <c r="JY78" s="38"/>
      <c r="JZ78" s="38"/>
      <c r="KA78" s="38"/>
      <c r="KB78" s="38"/>
      <c r="KC78" s="38"/>
      <c r="KD78" s="38"/>
      <c r="KE78" s="38"/>
      <c r="KF78" s="38"/>
      <c r="KG78" s="38"/>
      <c r="KH78" s="38"/>
      <c r="KI78" s="38"/>
      <c r="KJ78" s="38"/>
      <c r="KK78" s="38"/>
      <c r="KL78" s="38"/>
      <c r="KM78" s="38"/>
      <c r="KN78" s="38"/>
      <c r="KO78" s="38"/>
      <c r="KP78" s="38"/>
      <c r="KQ78" s="38"/>
      <c r="KR78" s="38"/>
      <c r="KS78" s="38"/>
      <c r="KT78" s="38"/>
      <c r="KU78" s="38"/>
      <c r="KV78" s="38"/>
      <c r="KW78" s="38"/>
      <c r="KX78" s="38"/>
      <c r="KY78" s="38"/>
      <c r="KZ78" s="38"/>
      <c r="LA78" s="38"/>
      <c r="LB78" s="38"/>
      <c r="LC78" s="38"/>
      <c r="LD78" s="38"/>
      <c r="LE78" s="38"/>
      <c r="LF78" s="38"/>
      <c r="LG78" s="38"/>
      <c r="LH78" s="38"/>
      <c r="LI78" s="38"/>
      <c r="LJ78" s="38"/>
      <c r="LK78" s="38"/>
      <c r="LL78" s="38"/>
      <c r="LM78" s="38"/>
      <c r="LN78" s="38"/>
      <c r="LO78" s="38"/>
      <c r="LP78" s="38"/>
      <c r="LQ78" s="38"/>
      <c r="LR78" s="38"/>
      <c r="LS78" s="38"/>
      <c r="LT78" s="38"/>
      <c r="LU78" s="38"/>
      <c r="LV78" s="38"/>
      <c r="LW78" s="38"/>
      <c r="LX78" s="38"/>
      <c r="LY78" s="38"/>
      <c r="LZ78" s="38"/>
      <c r="MA78" s="38"/>
      <c r="MB78" s="38"/>
      <c r="MC78" s="38"/>
      <c r="MD78" s="38"/>
      <c r="ME78" s="38"/>
      <c r="MF78" s="38"/>
      <c r="MG78" s="38"/>
      <c r="MH78" s="38"/>
      <c r="MI78" s="38"/>
      <c r="MJ78" s="38"/>
      <c r="MK78" s="38"/>
      <c r="ML78" s="38"/>
      <c r="MM78" s="38"/>
      <c r="MN78" s="38"/>
      <c r="MO78" s="38"/>
      <c r="MP78" s="38"/>
      <c r="MQ78" s="38"/>
      <c r="MR78" s="38"/>
      <c r="MS78" s="38"/>
      <c r="MT78" s="38"/>
      <c r="MU78" s="38"/>
      <c r="MV78" s="38"/>
      <c r="MW78" s="38"/>
      <c r="MX78" s="38"/>
      <c r="MY78" s="38"/>
      <c r="MZ78" s="38"/>
      <c r="NA78" s="38"/>
      <c r="NB78" s="38"/>
      <c r="NC78" s="38"/>
      <c r="ND78" s="38"/>
      <c r="NE78" s="38"/>
      <c r="NF78" s="38"/>
      <c r="NG78" s="38"/>
      <c r="NH78" s="38"/>
      <c r="NI78" s="38"/>
      <c r="NJ78" s="38"/>
      <c r="NK78" s="38"/>
      <c r="NL78" s="38"/>
      <c r="NM78" s="38"/>
      <c r="NN78" s="38"/>
      <c r="NO78" s="38"/>
      <c r="NP78" s="38"/>
      <c r="NQ78" s="38"/>
      <c r="NR78" s="38"/>
      <c r="NS78" s="38"/>
      <c r="NT78" s="38"/>
      <c r="NU78" s="38"/>
      <c r="NV78" s="38"/>
      <c r="NW78" s="38"/>
      <c r="NX78" s="38"/>
      <c r="NY78" s="38"/>
      <c r="NZ78" s="38"/>
      <c r="OA78" s="38"/>
      <c r="OB78" s="38"/>
      <c r="OC78" s="38"/>
      <c r="OD78" s="38"/>
      <c r="OE78" s="38"/>
      <c r="OF78" s="38"/>
      <c r="OG78" s="38"/>
      <c r="OH78" s="38"/>
      <c r="OI78" s="38"/>
      <c r="OJ78" s="38"/>
      <c r="OK78" s="38"/>
      <c r="OL78" s="38"/>
      <c r="OM78" s="38"/>
      <c r="ON78" s="38"/>
      <c r="OO78" s="38"/>
      <c r="OP78" s="38"/>
      <c r="OQ78" s="38"/>
      <c r="OR78" s="38"/>
      <c r="OS78" s="38"/>
      <c r="OT78" s="38"/>
      <c r="OU78" s="38"/>
      <c r="OV78" s="38"/>
      <c r="OW78" s="38"/>
      <c r="OX78" s="38"/>
      <c r="OY78" s="38"/>
      <c r="OZ78" s="38"/>
      <c r="PA78" s="38"/>
      <c r="PB78" s="38"/>
      <c r="PC78" s="38"/>
      <c r="PD78" s="38"/>
      <c r="PE78" s="38"/>
      <c r="PF78" s="38"/>
      <c r="PG78" s="38"/>
      <c r="PH78" s="38"/>
      <c r="PI78" s="38"/>
      <c r="PJ78" s="38"/>
      <c r="PK78" s="38"/>
      <c r="PL78" s="38"/>
      <c r="PM78" s="38"/>
      <c r="PN78" s="38"/>
      <c r="PO78" s="38"/>
      <c r="PP78" s="38"/>
      <c r="PQ78" s="38"/>
      <c r="PR78" s="38"/>
      <c r="PS78" s="38"/>
      <c r="PT78" s="38"/>
      <c r="PU78" s="38"/>
      <c r="PV78" s="38"/>
      <c r="PW78" s="38"/>
      <c r="PX78" s="38"/>
      <c r="PY78" s="38"/>
      <c r="PZ78" s="38"/>
      <c r="QA78" s="38"/>
      <c r="QB78" s="38"/>
      <c r="QC78" s="38"/>
      <c r="QD78" s="38"/>
      <c r="QE78" s="38"/>
      <c r="QF78" s="38"/>
      <c r="QG78" s="38"/>
      <c r="QH78" s="38"/>
      <c r="QI78" s="38"/>
      <c r="QJ78" s="38"/>
      <c r="QK78" s="38"/>
      <c r="QL78" s="38"/>
      <c r="QM78" s="38"/>
      <c r="QN78" s="38"/>
      <c r="QO78" s="38"/>
      <c r="QP78" s="38"/>
      <c r="QQ78" s="38"/>
      <c r="QR78" s="38"/>
      <c r="QS78" s="38"/>
      <c r="QT78" s="38"/>
      <c r="QU78" s="38"/>
      <c r="QV78" s="38"/>
      <c r="QW78" s="38"/>
      <c r="QX78" s="38"/>
      <c r="QY78" s="38"/>
      <c r="QZ78" s="38"/>
      <c r="RA78" s="38"/>
      <c r="RB78" s="38"/>
      <c r="RC78" s="38"/>
      <c r="RD78" s="38"/>
      <c r="RE78" s="38"/>
      <c r="RF78" s="38"/>
      <c r="RG78" s="38"/>
      <c r="RH78" s="38"/>
      <c r="RI78" s="38"/>
      <c r="RJ78" s="38"/>
      <c r="RK78" s="38"/>
      <c r="RL78" s="38"/>
      <c r="RM78" s="38"/>
      <c r="RN78" s="38"/>
      <c r="RO78" s="38"/>
      <c r="RP78" s="38"/>
      <c r="RQ78" s="38"/>
      <c r="RR78" s="38"/>
      <c r="RS78" s="38"/>
      <c r="RT78" s="38"/>
      <c r="RU78" s="38"/>
      <c r="RV78" s="38"/>
      <c r="RW78" s="38"/>
      <c r="RX78" s="38"/>
      <c r="RY78" s="38"/>
      <c r="RZ78" s="38"/>
      <c r="SA78" s="38"/>
      <c r="SB78" s="38"/>
      <c r="SC78" s="38"/>
      <c r="SD78" s="38"/>
      <c r="SE78" s="38"/>
      <c r="SF78" s="38"/>
      <c r="SG78" s="38"/>
      <c r="SH78" s="38"/>
      <c r="SI78" s="38"/>
      <c r="SJ78" s="38"/>
      <c r="SK78" s="38"/>
      <c r="SL78" s="38"/>
      <c r="SM78" s="38"/>
      <c r="SN78" s="38"/>
      <c r="SO78" s="38"/>
      <c r="SP78" s="38"/>
      <c r="SQ78" s="38"/>
      <c r="SR78" s="38"/>
      <c r="SS78" s="38"/>
      <c r="ST78" s="38"/>
      <c r="SU78" s="38"/>
      <c r="SV78" s="38"/>
      <c r="SW78" s="38"/>
      <c r="SX78" s="38"/>
      <c r="SY78" s="38"/>
      <c r="SZ78" s="38"/>
      <c r="TA78" s="38"/>
      <c r="TB78" s="38"/>
      <c r="TC78" s="38"/>
      <c r="TD78" s="38"/>
      <c r="TE78" s="38"/>
      <c r="TF78" s="38"/>
      <c r="TG78" s="38"/>
      <c r="TH78" s="38"/>
      <c r="TI78" s="38"/>
      <c r="TJ78" s="38"/>
      <c r="TK78" s="38"/>
      <c r="TL78" s="38"/>
      <c r="TM78" s="38"/>
      <c r="TN78" s="38"/>
      <c r="TO78" s="38"/>
      <c r="TP78" s="38"/>
      <c r="TQ78" s="38"/>
      <c r="TR78" s="38"/>
      <c r="TS78" s="38"/>
      <c r="TT78" s="38"/>
      <c r="TU78" s="38"/>
      <c r="TV78" s="38"/>
      <c r="TW78" s="38"/>
      <c r="TX78" s="38"/>
      <c r="TY78" s="38"/>
      <c r="TZ78" s="38"/>
      <c r="UA78" s="38"/>
      <c r="UB78" s="38"/>
      <c r="UC78" s="38"/>
      <c r="UD78" s="38"/>
      <c r="UE78" s="38"/>
      <c r="UF78" s="38"/>
      <c r="UG78" s="38"/>
      <c r="UH78" s="38"/>
      <c r="UI78" s="38"/>
      <c r="UJ78" s="38"/>
      <c r="UK78" s="38"/>
      <c r="UL78" s="38"/>
      <c r="UM78" s="38"/>
      <c r="UN78" s="38"/>
      <c r="UO78" s="38"/>
      <c r="UP78" s="38"/>
      <c r="UQ78" s="38"/>
      <c r="UR78" s="38"/>
      <c r="US78" s="38"/>
      <c r="UT78" s="38"/>
      <c r="UU78" s="38"/>
      <c r="UV78" s="38"/>
      <c r="UW78" s="38"/>
      <c r="UX78" s="38"/>
      <c r="UY78" s="38"/>
      <c r="UZ78" s="38"/>
      <c r="VA78" s="38"/>
      <c r="VB78" s="38"/>
      <c r="VC78" s="38"/>
      <c r="VD78" s="38"/>
      <c r="VE78" s="38"/>
      <c r="VF78" s="38"/>
      <c r="VG78" s="38"/>
      <c r="VH78" s="38"/>
      <c r="VI78" s="38"/>
      <c r="VJ78" s="38"/>
      <c r="VK78" s="38"/>
      <c r="VL78" s="38"/>
      <c r="VM78" s="38"/>
      <c r="VN78" s="38"/>
      <c r="VO78" s="38"/>
      <c r="VP78" s="38"/>
      <c r="VQ78" s="38"/>
      <c r="VR78" s="38"/>
      <c r="VS78" s="38"/>
      <c r="VT78" s="38"/>
      <c r="VU78" s="38"/>
      <c r="VV78" s="38"/>
      <c r="VW78" s="38"/>
      <c r="VX78" s="38"/>
      <c r="VY78" s="38"/>
      <c r="VZ78" s="38"/>
      <c r="WA78" s="38"/>
      <c r="WB78" s="38"/>
      <c r="WC78" s="38"/>
      <c r="WD78" s="38"/>
      <c r="WE78" s="38"/>
      <c r="WF78" s="38"/>
      <c r="WG78" s="38"/>
      <c r="WH78" s="38"/>
      <c r="WI78" s="38"/>
      <c r="WJ78" s="38"/>
      <c r="WK78" s="38"/>
      <c r="WL78" s="38"/>
      <c r="WM78" s="38"/>
      <c r="WN78" s="38"/>
      <c r="WO78" s="38"/>
      <c r="WP78" s="38"/>
      <c r="WQ78" s="38"/>
      <c r="WR78" s="38"/>
      <c r="WS78" s="38"/>
      <c r="WT78" s="38"/>
      <c r="WU78" s="38"/>
      <c r="WV78" s="38"/>
      <c r="WW78" s="38"/>
      <c r="WX78" s="38"/>
      <c r="WY78" s="38"/>
      <c r="WZ78" s="38"/>
      <c r="XA78" s="38"/>
      <c r="XB78" s="38"/>
      <c r="XC78" s="38"/>
      <c r="XD78" s="38"/>
      <c r="XE78" s="38"/>
      <c r="XF78" s="38"/>
      <c r="XG78" s="38"/>
      <c r="XH78" s="38"/>
      <c r="XI78" s="38"/>
      <c r="XJ78" s="38"/>
      <c r="XK78" s="38"/>
      <c r="XL78" s="38"/>
      <c r="XM78" s="38"/>
      <c r="XN78" s="38"/>
      <c r="XO78" s="38"/>
      <c r="XP78" s="38"/>
      <c r="XQ78" s="38"/>
      <c r="XR78" s="38"/>
      <c r="XS78" s="38"/>
      <c r="XT78" s="38"/>
      <c r="XU78" s="38"/>
      <c r="XV78" s="38"/>
      <c r="XW78" s="38"/>
      <c r="XX78" s="38"/>
      <c r="XY78" s="38"/>
      <c r="XZ78" s="38"/>
      <c r="YA78" s="38"/>
      <c r="YB78" s="38"/>
      <c r="YC78" s="38"/>
      <c r="YD78" s="38"/>
      <c r="YE78" s="38"/>
      <c r="YF78" s="38"/>
      <c r="YG78" s="38"/>
      <c r="YH78" s="38"/>
      <c r="YI78" s="38"/>
      <c r="YJ78" s="38"/>
      <c r="YK78" s="38"/>
      <c r="YL78" s="38"/>
      <c r="YM78" s="38"/>
      <c r="YN78" s="38"/>
      <c r="YO78" s="38"/>
      <c r="YP78" s="38"/>
      <c r="YQ78" s="38"/>
      <c r="YR78" s="38"/>
      <c r="YS78" s="38"/>
      <c r="YT78" s="38"/>
      <c r="YU78" s="38"/>
      <c r="YV78" s="38"/>
      <c r="YW78" s="38"/>
      <c r="YX78" s="38"/>
      <c r="YY78" s="38"/>
      <c r="YZ78" s="38"/>
      <c r="ZA78" s="38"/>
      <c r="ZB78" s="38"/>
      <c r="ZC78" s="38"/>
      <c r="ZD78" s="38"/>
      <c r="ZE78" s="38"/>
      <c r="ZF78" s="38"/>
      <c r="ZG78" s="38"/>
      <c r="ZH78" s="38"/>
      <c r="ZI78" s="38"/>
      <c r="ZJ78" s="38"/>
      <c r="ZK78" s="38"/>
      <c r="ZL78" s="38"/>
      <c r="ZM78" s="38"/>
      <c r="ZN78" s="38"/>
      <c r="ZO78" s="38"/>
      <c r="ZP78" s="38"/>
      <c r="ZQ78" s="38"/>
      <c r="ZR78" s="38"/>
      <c r="ZS78" s="38"/>
      <c r="ZT78" s="38"/>
      <c r="ZU78" s="38"/>
      <c r="ZV78" s="38"/>
      <c r="ZW78" s="38"/>
      <c r="ZX78" s="38"/>
      <c r="ZY78" s="38"/>
      <c r="ZZ78" s="38"/>
      <c r="AAA78" s="38"/>
      <c r="AAB78" s="38"/>
      <c r="AAC78" s="38"/>
      <c r="AAD78" s="38"/>
      <c r="AAE78" s="38"/>
      <c r="AAF78" s="38"/>
      <c r="AAG78" s="38"/>
      <c r="AAH78" s="38"/>
      <c r="AAI78" s="38"/>
      <c r="AAJ78" s="38"/>
      <c r="AAK78" s="38"/>
      <c r="AAL78" s="38"/>
      <c r="AAM78" s="38"/>
      <c r="AAN78" s="38"/>
      <c r="AAO78" s="38"/>
      <c r="AAP78" s="38"/>
      <c r="AAQ78" s="38"/>
      <c r="AAR78" s="38"/>
      <c r="AAS78" s="38"/>
      <c r="AAT78" s="38"/>
      <c r="AAU78" s="38"/>
      <c r="AAV78" s="38"/>
      <c r="AAW78" s="38"/>
      <c r="AAX78" s="38"/>
      <c r="AAY78" s="38"/>
      <c r="AAZ78" s="38"/>
      <c r="ABA78" s="38"/>
      <c r="ABB78" s="38"/>
      <c r="ABC78" s="38"/>
      <c r="ABD78" s="38"/>
      <c r="ABE78" s="38"/>
      <c r="ABF78" s="38"/>
      <c r="ABG78" s="38"/>
      <c r="ABH78" s="38"/>
      <c r="ABI78" s="38"/>
      <c r="ABJ78" s="38"/>
      <c r="ABK78" s="38"/>
      <c r="ABL78" s="38"/>
      <c r="ABM78" s="38"/>
      <c r="ABN78" s="38"/>
      <c r="ABO78" s="38"/>
      <c r="ABP78" s="38"/>
      <c r="ABQ78" s="38"/>
      <c r="ABR78" s="38"/>
      <c r="ABS78" s="38"/>
      <c r="ABT78" s="38"/>
      <c r="ABU78" s="38"/>
      <c r="ABV78" s="38"/>
      <c r="ABW78" s="38"/>
      <c r="ABX78" s="38"/>
      <c r="ABY78" s="38"/>
      <c r="ABZ78" s="38"/>
      <c r="ACA78" s="38"/>
      <c r="ACB78" s="38"/>
      <c r="ACC78" s="38"/>
      <c r="ACD78" s="38"/>
      <c r="ACE78" s="38"/>
      <c r="ACF78" s="38"/>
      <c r="ACG78" s="38"/>
      <c r="ACH78" s="38"/>
      <c r="ACI78" s="38"/>
      <c r="ACJ78" s="38"/>
      <c r="ACK78" s="38"/>
      <c r="ACL78" s="38"/>
      <c r="ACM78" s="38"/>
      <c r="ACN78" s="38"/>
      <c r="ACO78" s="38"/>
      <c r="ACP78" s="38"/>
      <c r="ACQ78" s="38"/>
      <c r="ACR78" s="38"/>
      <c r="ACS78" s="38"/>
      <c r="ACT78" s="38"/>
      <c r="ACU78" s="38"/>
      <c r="ACV78" s="38"/>
      <c r="ACW78" s="38"/>
      <c r="ACX78" s="38"/>
      <c r="ACY78" s="38"/>
      <c r="ACZ78" s="38"/>
      <c r="ADA78" s="38"/>
      <c r="ADB78" s="38"/>
      <c r="ADC78" s="38"/>
      <c r="ADD78" s="38"/>
      <c r="ADE78" s="38"/>
      <c r="ADF78" s="38"/>
      <c r="ADG78" s="38"/>
      <c r="ADH78" s="38"/>
      <c r="ADI78" s="38"/>
      <c r="ADJ78" s="38"/>
      <c r="ADK78" s="38"/>
      <c r="ADL78" s="38"/>
      <c r="ADM78" s="38"/>
      <c r="ADN78" s="38"/>
      <c r="ADO78" s="38"/>
      <c r="ADP78" s="38"/>
      <c r="ADQ78" s="38"/>
      <c r="ADR78" s="38"/>
      <c r="ADS78" s="38"/>
      <c r="ADT78" s="38"/>
      <c r="ADU78" s="38"/>
      <c r="ADV78" s="38"/>
      <c r="ADW78" s="38"/>
      <c r="ADX78" s="38"/>
      <c r="ADY78" s="38"/>
      <c r="ADZ78" s="38"/>
      <c r="AEA78" s="38"/>
      <c r="AEB78" s="38"/>
      <c r="AEC78" s="38"/>
      <c r="AED78" s="38"/>
      <c r="AEE78" s="38"/>
      <c r="AEF78" s="38"/>
      <c r="AEG78" s="38"/>
      <c r="AEH78" s="38"/>
      <c r="AEI78" s="38"/>
      <c r="AEJ78" s="38"/>
      <c r="AEK78" s="38"/>
      <c r="AEL78" s="38"/>
      <c r="AEM78" s="38"/>
      <c r="AEN78" s="38"/>
      <c r="AEO78" s="38"/>
      <c r="AEP78" s="38"/>
      <c r="AEQ78" s="38"/>
      <c r="AER78" s="38"/>
      <c r="AES78" s="38"/>
      <c r="AET78" s="38"/>
      <c r="AEU78" s="38"/>
      <c r="AEV78" s="38"/>
      <c r="AEW78" s="38"/>
      <c r="AEX78" s="38"/>
      <c r="AEY78" s="38"/>
      <c r="AEZ78" s="38"/>
      <c r="AFA78" s="38"/>
      <c r="AFB78" s="38"/>
      <c r="AFC78" s="38"/>
      <c r="AFD78" s="38"/>
      <c r="AFE78" s="38"/>
      <c r="AFF78" s="38"/>
      <c r="AFG78" s="38"/>
      <c r="AFH78" s="38"/>
      <c r="AFI78" s="38"/>
      <c r="AFJ78" s="38"/>
      <c r="AFK78" s="38"/>
      <c r="AFL78" s="38"/>
      <c r="AFM78" s="38"/>
      <c r="AFN78" s="38"/>
      <c r="AFO78" s="38"/>
      <c r="AFP78" s="38"/>
      <c r="AFQ78" s="38"/>
      <c r="AFR78" s="38"/>
      <c r="AFS78" s="38"/>
      <c r="AFT78" s="38"/>
      <c r="AFU78" s="38"/>
      <c r="AFV78" s="38"/>
      <c r="AFW78" s="38"/>
      <c r="AFX78" s="38"/>
      <c r="AFY78" s="38"/>
      <c r="AFZ78" s="38"/>
      <c r="AGA78" s="38"/>
      <c r="AGB78" s="38"/>
      <c r="AGC78" s="38"/>
      <c r="AGD78" s="38"/>
      <c r="AGE78" s="38"/>
      <c r="AGF78" s="38"/>
      <c r="AGG78" s="38"/>
      <c r="AGH78" s="38"/>
      <c r="AGI78" s="38"/>
      <c r="AGJ78" s="38"/>
      <c r="AGK78" s="38"/>
      <c r="AGL78" s="38"/>
      <c r="AGM78" s="38"/>
      <c r="AGN78" s="38"/>
      <c r="AGO78" s="38"/>
      <c r="AGP78" s="38"/>
      <c r="AGQ78" s="38"/>
      <c r="AGR78" s="38"/>
      <c r="AGS78" s="38"/>
      <c r="AGT78" s="38"/>
      <c r="AGU78" s="38"/>
      <c r="AGV78" s="38"/>
      <c r="AGW78" s="38"/>
      <c r="AGX78" s="38"/>
      <c r="AGY78" s="38"/>
      <c r="AGZ78" s="38"/>
      <c r="AHA78" s="38"/>
      <c r="AHB78" s="38"/>
      <c r="AHC78" s="38"/>
      <c r="AHD78" s="38"/>
      <c r="AHE78" s="38"/>
      <c r="AHF78" s="38"/>
      <c r="AHG78" s="38"/>
      <c r="AHH78" s="38"/>
      <c r="AHI78" s="38"/>
      <c r="AHJ78" s="38"/>
      <c r="AHK78" s="38"/>
      <c r="AHL78" s="38"/>
      <c r="AHM78" s="38"/>
      <c r="AHN78" s="38"/>
      <c r="AHO78" s="38"/>
      <c r="AHP78" s="38"/>
      <c r="AHQ78" s="38"/>
      <c r="AHR78" s="38"/>
      <c r="AHS78" s="38"/>
      <c r="AHT78" s="38"/>
      <c r="AHU78" s="38"/>
      <c r="AHV78" s="38"/>
    </row>
    <row r="79" spans="1:906" s="27" customFormat="1" x14ac:dyDescent="0.35">
      <c r="A79" s="83">
        <v>74</v>
      </c>
      <c r="B79" s="108" t="s">
        <v>123</v>
      </c>
      <c r="C79" s="109" t="s">
        <v>126</v>
      </c>
      <c r="D79" s="109" t="s">
        <v>56</v>
      </c>
      <c r="E79" s="125"/>
      <c r="F79" s="125">
        <v>3.95</v>
      </c>
      <c r="G79" s="125"/>
      <c r="H79" s="125"/>
      <c r="I79" s="37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</row>
    <row r="80" spans="1:906" s="27" customFormat="1" x14ac:dyDescent="0.35">
      <c r="A80" s="83">
        <v>75</v>
      </c>
      <c r="B80" s="108" t="s">
        <v>127</v>
      </c>
      <c r="C80" s="109" t="s">
        <v>128</v>
      </c>
      <c r="D80" s="109" t="s">
        <v>129</v>
      </c>
      <c r="E80" s="125"/>
      <c r="F80" s="125"/>
      <c r="G80" s="125"/>
      <c r="H80" s="125"/>
      <c r="I80" s="37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8"/>
      <c r="SC80" s="38"/>
      <c r="SD80" s="38"/>
      <c r="SE80" s="38"/>
      <c r="SF80" s="38"/>
      <c r="SG80" s="38"/>
      <c r="SH80" s="38"/>
      <c r="SI80" s="38"/>
      <c r="SJ80" s="38"/>
      <c r="SK80" s="38"/>
      <c r="SL80" s="38"/>
      <c r="SM80" s="38"/>
      <c r="SN80" s="38"/>
      <c r="SO80" s="38"/>
      <c r="SP80" s="38"/>
      <c r="SQ80" s="38"/>
      <c r="SR80" s="38"/>
      <c r="SS80" s="38"/>
      <c r="ST80" s="38"/>
      <c r="SU80" s="38"/>
      <c r="SV80" s="38"/>
      <c r="SW80" s="38"/>
      <c r="SX80" s="38"/>
      <c r="SY80" s="38"/>
      <c r="SZ80" s="38"/>
      <c r="TA80" s="38"/>
      <c r="TB80" s="38"/>
      <c r="TC80" s="38"/>
      <c r="TD80" s="38"/>
      <c r="TE80" s="38"/>
      <c r="TF80" s="38"/>
      <c r="TG80" s="38"/>
      <c r="TH80" s="38"/>
      <c r="TI80" s="38"/>
      <c r="TJ80" s="38"/>
      <c r="TK80" s="38"/>
      <c r="TL80" s="38"/>
      <c r="TM80" s="38"/>
      <c r="TN80" s="38"/>
      <c r="TO80" s="38"/>
      <c r="TP80" s="38"/>
      <c r="TQ80" s="38"/>
      <c r="TR80" s="38"/>
      <c r="TS80" s="38"/>
      <c r="TT80" s="38"/>
      <c r="TU80" s="38"/>
      <c r="TV80" s="38"/>
      <c r="TW80" s="38"/>
      <c r="TX80" s="38"/>
      <c r="TY80" s="38"/>
      <c r="TZ80" s="38"/>
      <c r="UA80" s="38"/>
      <c r="UB80" s="38"/>
      <c r="UC80" s="38"/>
      <c r="UD80" s="38"/>
      <c r="UE80" s="38"/>
      <c r="UF80" s="38"/>
      <c r="UG80" s="38"/>
      <c r="UH80" s="38"/>
      <c r="UI80" s="38"/>
      <c r="UJ80" s="38"/>
      <c r="UK80" s="38"/>
      <c r="UL80" s="38"/>
      <c r="UM80" s="38"/>
      <c r="UN80" s="38"/>
      <c r="UO80" s="38"/>
      <c r="UP80" s="38"/>
      <c r="UQ80" s="38"/>
      <c r="UR80" s="38"/>
      <c r="US80" s="38"/>
      <c r="UT80" s="38"/>
      <c r="UU80" s="38"/>
      <c r="UV80" s="38"/>
      <c r="UW80" s="38"/>
      <c r="UX80" s="38"/>
      <c r="UY80" s="38"/>
      <c r="UZ80" s="38"/>
      <c r="VA80" s="38"/>
      <c r="VB80" s="38"/>
      <c r="VC80" s="38"/>
      <c r="VD80" s="38"/>
      <c r="VE80" s="38"/>
      <c r="VF80" s="38"/>
      <c r="VG80" s="38"/>
      <c r="VH80" s="38"/>
      <c r="VI80" s="38"/>
      <c r="VJ80" s="38"/>
      <c r="VK80" s="38"/>
      <c r="VL80" s="38"/>
      <c r="VM80" s="38"/>
      <c r="VN80" s="38"/>
      <c r="VO80" s="38"/>
      <c r="VP80" s="38"/>
      <c r="VQ80" s="38"/>
      <c r="VR80" s="38"/>
      <c r="VS80" s="38"/>
      <c r="VT80" s="38"/>
      <c r="VU80" s="38"/>
      <c r="VV80" s="38"/>
      <c r="VW80" s="38"/>
      <c r="VX80" s="38"/>
      <c r="VY80" s="38"/>
      <c r="VZ80" s="38"/>
      <c r="WA80" s="38"/>
      <c r="WB80" s="38"/>
      <c r="WC80" s="38"/>
      <c r="WD80" s="38"/>
      <c r="WE80" s="38"/>
      <c r="WF80" s="38"/>
      <c r="WG80" s="38"/>
      <c r="WH80" s="38"/>
      <c r="WI80" s="38"/>
      <c r="WJ80" s="38"/>
      <c r="WK80" s="38"/>
      <c r="WL80" s="38"/>
      <c r="WM80" s="38"/>
      <c r="WN80" s="38"/>
      <c r="WO80" s="38"/>
      <c r="WP80" s="38"/>
      <c r="WQ80" s="38"/>
      <c r="WR80" s="38"/>
      <c r="WS80" s="38"/>
      <c r="WT80" s="38"/>
      <c r="WU80" s="38"/>
      <c r="WV80" s="38"/>
      <c r="WW80" s="38"/>
      <c r="WX80" s="38"/>
      <c r="WY80" s="38"/>
      <c r="WZ80" s="38"/>
      <c r="XA80" s="38"/>
      <c r="XB80" s="38"/>
      <c r="XC80" s="38"/>
      <c r="XD80" s="38"/>
      <c r="XE80" s="38"/>
      <c r="XF80" s="38"/>
      <c r="XG80" s="38"/>
      <c r="XH80" s="38"/>
      <c r="XI80" s="38"/>
      <c r="XJ80" s="38"/>
      <c r="XK80" s="38"/>
      <c r="XL80" s="38"/>
      <c r="XM80" s="38"/>
      <c r="XN80" s="38"/>
      <c r="XO80" s="38"/>
      <c r="XP80" s="38"/>
      <c r="XQ80" s="38"/>
      <c r="XR80" s="38"/>
      <c r="XS80" s="38"/>
      <c r="XT80" s="38"/>
      <c r="XU80" s="38"/>
      <c r="XV80" s="38"/>
      <c r="XW80" s="38"/>
      <c r="XX80" s="38"/>
      <c r="XY80" s="38"/>
      <c r="XZ80" s="38"/>
      <c r="YA80" s="38"/>
      <c r="YB80" s="38"/>
      <c r="YC80" s="38"/>
      <c r="YD80" s="38"/>
      <c r="YE80" s="38"/>
      <c r="YF80" s="38"/>
      <c r="YG80" s="38"/>
      <c r="YH80" s="38"/>
      <c r="YI80" s="38"/>
      <c r="YJ80" s="38"/>
      <c r="YK80" s="38"/>
      <c r="YL80" s="38"/>
      <c r="YM80" s="38"/>
      <c r="YN80" s="38"/>
      <c r="YO80" s="38"/>
      <c r="YP80" s="38"/>
      <c r="YQ80" s="38"/>
      <c r="YR80" s="38"/>
      <c r="YS80" s="38"/>
      <c r="YT80" s="38"/>
      <c r="YU80" s="38"/>
      <c r="YV80" s="38"/>
      <c r="YW80" s="38"/>
      <c r="YX80" s="38"/>
      <c r="YY80" s="38"/>
      <c r="YZ80" s="38"/>
      <c r="ZA80" s="38"/>
      <c r="ZB80" s="38"/>
      <c r="ZC80" s="38"/>
      <c r="ZD80" s="38"/>
      <c r="ZE80" s="38"/>
      <c r="ZF80" s="38"/>
      <c r="ZG80" s="38"/>
      <c r="ZH80" s="38"/>
      <c r="ZI80" s="38"/>
      <c r="ZJ80" s="38"/>
      <c r="ZK80" s="38"/>
      <c r="ZL80" s="38"/>
      <c r="ZM80" s="38"/>
      <c r="ZN80" s="38"/>
      <c r="ZO80" s="38"/>
      <c r="ZP80" s="38"/>
      <c r="ZQ80" s="38"/>
      <c r="ZR80" s="38"/>
      <c r="ZS80" s="38"/>
      <c r="ZT80" s="38"/>
      <c r="ZU80" s="38"/>
      <c r="ZV80" s="38"/>
      <c r="ZW80" s="38"/>
      <c r="ZX80" s="38"/>
      <c r="ZY80" s="38"/>
      <c r="ZZ80" s="38"/>
      <c r="AAA80" s="38"/>
      <c r="AAB80" s="38"/>
      <c r="AAC80" s="38"/>
      <c r="AAD80" s="38"/>
      <c r="AAE80" s="38"/>
      <c r="AAF80" s="38"/>
      <c r="AAG80" s="38"/>
      <c r="AAH80" s="38"/>
      <c r="AAI80" s="38"/>
      <c r="AAJ80" s="38"/>
      <c r="AAK80" s="38"/>
      <c r="AAL80" s="38"/>
      <c r="AAM80" s="38"/>
      <c r="AAN80" s="38"/>
      <c r="AAO80" s="38"/>
      <c r="AAP80" s="38"/>
      <c r="AAQ80" s="38"/>
      <c r="AAR80" s="38"/>
      <c r="AAS80" s="38"/>
      <c r="AAT80" s="38"/>
      <c r="AAU80" s="38"/>
      <c r="AAV80" s="38"/>
      <c r="AAW80" s="38"/>
      <c r="AAX80" s="38"/>
      <c r="AAY80" s="38"/>
      <c r="AAZ80" s="38"/>
      <c r="ABA80" s="38"/>
      <c r="ABB80" s="38"/>
      <c r="ABC80" s="38"/>
      <c r="ABD80" s="38"/>
      <c r="ABE80" s="38"/>
      <c r="ABF80" s="38"/>
      <c r="ABG80" s="38"/>
      <c r="ABH80" s="38"/>
      <c r="ABI80" s="38"/>
      <c r="ABJ80" s="38"/>
      <c r="ABK80" s="38"/>
      <c r="ABL80" s="38"/>
      <c r="ABM80" s="38"/>
      <c r="ABN80" s="38"/>
      <c r="ABO80" s="38"/>
      <c r="ABP80" s="38"/>
      <c r="ABQ80" s="38"/>
      <c r="ABR80" s="38"/>
      <c r="ABS80" s="38"/>
      <c r="ABT80" s="38"/>
      <c r="ABU80" s="38"/>
      <c r="ABV80" s="38"/>
      <c r="ABW80" s="38"/>
      <c r="ABX80" s="38"/>
      <c r="ABY80" s="38"/>
      <c r="ABZ80" s="38"/>
      <c r="ACA80" s="38"/>
      <c r="ACB80" s="38"/>
      <c r="ACC80" s="38"/>
      <c r="ACD80" s="38"/>
      <c r="ACE80" s="38"/>
      <c r="ACF80" s="38"/>
      <c r="ACG80" s="38"/>
      <c r="ACH80" s="38"/>
      <c r="ACI80" s="38"/>
      <c r="ACJ80" s="38"/>
      <c r="ACK80" s="38"/>
      <c r="ACL80" s="38"/>
      <c r="ACM80" s="38"/>
      <c r="ACN80" s="38"/>
      <c r="ACO80" s="38"/>
      <c r="ACP80" s="38"/>
      <c r="ACQ80" s="38"/>
      <c r="ACR80" s="38"/>
      <c r="ACS80" s="38"/>
      <c r="ACT80" s="38"/>
      <c r="ACU80" s="38"/>
      <c r="ACV80" s="38"/>
      <c r="ACW80" s="38"/>
      <c r="ACX80" s="38"/>
      <c r="ACY80" s="38"/>
      <c r="ACZ80" s="38"/>
      <c r="ADA80" s="38"/>
      <c r="ADB80" s="38"/>
      <c r="ADC80" s="38"/>
      <c r="ADD80" s="38"/>
      <c r="ADE80" s="38"/>
      <c r="ADF80" s="38"/>
      <c r="ADG80" s="38"/>
      <c r="ADH80" s="38"/>
      <c r="ADI80" s="38"/>
      <c r="ADJ80" s="38"/>
      <c r="ADK80" s="38"/>
      <c r="ADL80" s="38"/>
      <c r="ADM80" s="38"/>
      <c r="ADN80" s="38"/>
      <c r="ADO80" s="38"/>
      <c r="ADP80" s="38"/>
      <c r="ADQ80" s="38"/>
      <c r="ADR80" s="38"/>
      <c r="ADS80" s="38"/>
      <c r="ADT80" s="38"/>
      <c r="ADU80" s="38"/>
      <c r="ADV80" s="38"/>
      <c r="ADW80" s="38"/>
      <c r="ADX80" s="38"/>
      <c r="ADY80" s="38"/>
      <c r="ADZ80" s="38"/>
      <c r="AEA80" s="38"/>
      <c r="AEB80" s="38"/>
      <c r="AEC80" s="38"/>
      <c r="AED80" s="38"/>
      <c r="AEE80" s="38"/>
      <c r="AEF80" s="38"/>
      <c r="AEG80" s="38"/>
      <c r="AEH80" s="38"/>
      <c r="AEI80" s="38"/>
      <c r="AEJ80" s="38"/>
      <c r="AEK80" s="38"/>
      <c r="AEL80" s="38"/>
      <c r="AEM80" s="38"/>
      <c r="AEN80" s="38"/>
      <c r="AEO80" s="38"/>
      <c r="AEP80" s="38"/>
      <c r="AEQ80" s="38"/>
      <c r="AER80" s="38"/>
      <c r="AES80" s="38"/>
      <c r="AET80" s="38"/>
      <c r="AEU80" s="38"/>
      <c r="AEV80" s="38"/>
      <c r="AEW80" s="38"/>
      <c r="AEX80" s="38"/>
      <c r="AEY80" s="38"/>
      <c r="AEZ80" s="38"/>
      <c r="AFA80" s="38"/>
      <c r="AFB80" s="38"/>
      <c r="AFC80" s="38"/>
      <c r="AFD80" s="38"/>
      <c r="AFE80" s="38"/>
      <c r="AFF80" s="38"/>
      <c r="AFG80" s="38"/>
      <c r="AFH80" s="38"/>
      <c r="AFI80" s="38"/>
      <c r="AFJ80" s="38"/>
      <c r="AFK80" s="38"/>
      <c r="AFL80" s="38"/>
      <c r="AFM80" s="38"/>
      <c r="AFN80" s="38"/>
      <c r="AFO80" s="38"/>
      <c r="AFP80" s="38"/>
      <c r="AFQ80" s="38"/>
      <c r="AFR80" s="38"/>
      <c r="AFS80" s="38"/>
      <c r="AFT80" s="38"/>
      <c r="AFU80" s="38"/>
      <c r="AFV80" s="38"/>
      <c r="AFW80" s="38"/>
      <c r="AFX80" s="38"/>
      <c r="AFY80" s="38"/>
      <c r="AFZ80" s="38"/>
      <c r="AGA80" s="38"/>
      <c r="AGB80" s="38"/>
      <c r="AGC80" s="38"/>
      <c r="AGD80" s="38"/>
      <c r="AGE80" s="38"/>
      <c r="AGF80" s="38"/>
      <c r="AGG80" s="38"/>
      <c r="AGH80" s="38"/>
      <c r="AGI80" s="38"/>
      <c r="AGJ80" s="38"/>
      <c r="AGK80" s="38"/>
      <c r="AGL80" s="38"/>
      <c r="AGM80" s="38"/>
      <c r="AGN80" s="38"/>
      <c r="AGO80" s="38"/>
      <c r="AGP80" s="38"/>
      <c r="AGQ80" s="38"/>
      <c r="AGR80" s="38"/>
      <c r="AGS80" s="38"/>
      <c r="AGT80" s="38"/>
      <c r="AGU80" s="38"/>
      <c r="AGV80" s="38"/>
      <c r="AGW80" s="38"/>
      <c r="AGX80" s="38"/>
      <c r="AGY80" s="38"/>
      <c r="AGZ80" s="38"/>
      <c r="AHA80" s="38"/>
      <c r="AHB80" s="38"/>
      <c r="AHC80" s="38"/>
      <c r="AHD80" s="38"/>
      <c r="AHE80" s="38"/>
      <c r="AHF80" s="38"/>
      <c r="AHG80" s="38"/>
      <c r="AHH80" s="38"/>
      <c r="AHI80" s="38"/>
      <c r="AHJ80" s="38"/>
      <c r="AHK80" s="38"/>
      <c r="AHL80" s="38"/>
      <c r="AHM80" s="38"/>
      <c r="AHN80" s="38"/>
      <c r="AHO80" s="38"/>
      <c r="AHP80" s="38"/>
      <c r="AHQ80" s="38"/>
      <c r="AHR80" s="38"/>
      <c r="AHS80" s="38"/>
      <c r="AHT80" s="38"/>
      <c r="AHU80" s="38"/>
      <c r="AHV80" s="38"/>
    </row>
    <row r="81" spans="1:906" s="27" customFormat="1" x14ac:dyDescent="0.35">
      <c r="A81" s="83">
        <v>76</v>
      </c>
      <c r="B81" s="108" t="s">
        <v>127</v>
      </c>
      <c r="C81" s="109" t="s">
        <v>130</v>
      </c>
      <c r="D81" s="109" t="s">
        <v>129</v>
      </c>
      <c r="E81" s="125"/>
      <c r="F81" s="125">
        <v>139.94999999999999</v>
      </c>
      <c r="G81" s="125">
        <v>145.94999999999999</v>
      </c>
      <c r="H81" s="125"/>
      <c r="I81" s="37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</row>
    <row r="82" spans="1:906" s="27" customFormat="1" x14ac:dyDescent="0.35">
      <c r="A82" s="83">
        <v>77</v>
      </c>
      <c r="B82" s="108" t="s">
        <v>127</v>
      </c>
      <c r="C82" s="109" t="s">
        <v>131</v>
      </c>
      <c r="D82" s="109" t="s">
        <v>56</v>
      </c>
      <c r="E82" s="125">
        <v>83.5</v>
      </c>
      <c r="F82" s="125">
        <v>75.95</v>
      </c>
      <c r="G82" s="125">
        <v>75</v>
      </c>
      <c r="H82" s="125">
        <v>83.95</v>
      </c>
      <c r="I82" s="37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</row>
    <row r="83" spans="1:906" s="27" customFormat="1" x14ac:dyDescent="0.35">
      <c r="A83" s="83">
        <v>78</v>
      </c>
      <c r="B83" s="108" t="s">
        <v>132</v>
      </c>
      <c r="C83" s="109" t="s">
        <v>133</v>
      </c>
      <c r="D83" s="109" t="s">
        <v>134</v>
      </c>
      <c r="E83" s="125">
        <v>25.99</v>
      </c>
      <c r="F83" s="125">
        <v>24.95</v>
      </c>
      <c r="G83" s="125">
        <v>25</v>
      </c>
      <c r="H83" s="125">
        <v>26.25</v>
      </c>
      <c r="I83" s="37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/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/>
      <c r="FI83" s="38"/>
      <c r="FJ83" s="38"/>
      <c r="FK83" s="38"/>
      <c r="FL83" s="38"/>
      <c r="FM83" s="38"/>
      <c r="FN83" s="38"/>
      <c r="FO83" s="38"/>
      <c r="FP83" s="38"/>
      <c r="FQ83" s="38"/>
      <c r="FR83" s="38"/>
      <c r="FS83" s="38"/>
      <c r="FT83" s="38"/>
      <c r="FU83" s="38"/>
      <c r="FV83" s="38"/>
      <c r="FW83" s="38"/>
      <c r="FX83" s="38"/>
      <c r="FY83" s="38"/>
      <c r="FZ83" s="38"/>
      <c r="GA83" s="38"/>
      <c r="GB83" s="38"/>
      <c r="GC83" s="38"/>
      <c r="GD83" s="38"/>
      <c r="GE83" s="38"/>
      <c r="GF83" s="38"/>
      <c r="GG83" s="38"/>
      <c r="GH83" s="38"/>
      <c r="GI83" s="38"/>
      <c r="GJ83" s="38"/>
      <c r="GK83" s="38"/>
      <c r="GL83" s="38"/>
      <c r="GM83" s="38"/>
      <c r="GN83" s="38"/>
      <c r="GO83" s="38"/>
      <c r="GP83" s="38"/>
      <c r="GQ83" s="38"/>
      <c r="GR83" s="38"/>
      <c r="GS83" s="38"/>
      <c r="GT83" s="38"/>
      <c r="GU83" s="38"/>
      <c r="GV83" s="38"/>
      <c r="GW83" s="38"/>
      <c r="GX83" s="38"/>
      <c r="GY83" s="38"/>
      <c r="GZ83" s="38"/>
      <c r="HA83" s="38"/>
      <c r="HB83" s="38"/>
      <c r="HC83" s="38"/>
      <c r="HD83" s="38"/>
      <c r="HE83" s="38"/>
      <c r="HF83" s="38"/>
      <c r="HG83" s="38"/>
      <c r="HH83" s="38"/>
      <c r="HI83" s="38"/>
      <c r="HJ83" s="38"/>
      <c r="HK83" s="38"/>
      <c r="HL83" s="38"/>
      <c r="HM83" s="38"/>
      <c r="HN83" s="38"/>
      <c r="HO83" s="38"/>
      <c r="HP83" s="38"/>
      <c r="HQ83" s="38"/>
      <c r="HR83" s="38"/>
      <c r="HS83" s="38"/>
      <c r="HT83" s="38"/>
      <c r="HU83" s="38"/>
      <c r="HV83" s="38"/>
      <c r="HW83" s="38"/>
      <c r="HX83" s="38"/>
      <c r="HY83" s="38"/>
      <c r="HZ83" s="38"/>
      <c r="IA83" s="38"/>
      <c r="IB83" s="38"/>
      <c r="IC83" s="38"/>
      <c r="ID83" s="38"/>
      <c r="IE83" s="38"/>
      <c r="IF83" s="38"/>
      <c r="IG83" s="38"/>
      <c r="IH83" s="38"/>
      <c r="II83" s="38"/>
      <c r="IJ83" s="38"/>
      <c r="IK83" s="38"/>
      <c r="IL83" s="38"/>
      <c r="IM83" s="38"/>
      <c r="IN83" s="38"/>
      <c r="IO83" s="38"/>
      <c r="IP83" s="38"/>
      <c r="IQ83" s="38"/>
      <c r="IR83" s="38"/>
      <c r="IS83" s="38"/>
      <c r="IT83" s="38"/>
      <c r="IU83" s="38"/>
      <c r="IV83" s="38"/>
      <c r="IW83" s="38"/>
      <c r="IX83" s="38"/>
      <c r="IY83" s="38"/>
      <c r="IZ83" s="38"/>
      <c r="JA83" s="38"/>
      <c r="JB83" s="38"/>
      <c r="JC83" s="38"/>
      <c r="JD83" s="38"/>
      <c r="JE83" s="38"/>
      <c r="JF83" s="38"/>
      <c r="JG83" s="38"/>
      <c r="JH83" s="38"/>
      <c r="JI83" s="38"/>
      <c r="JJ83" s="38"/>
      <c r="JK83" s="38"/>
      <c r="JL83" s="38"/>
      <c r="JM83" s="38"/>
      <c r="JN83" s="38"/>
      <c r="JO83" s="38"/>
      <c r="JP83" s="38"/>
      <c r="JQ83" s="38"/>
      <c r="JR83" s="38"/>
      <c r="JS83" s="38"/>
      <c r="JT83" s="38"/>
      <c r="JU83" s="38"/>
      <c r="JV83" s="38"/>
      <c r="JW83" s="38"/>
      <c r="JX83" s="38"/>
      <c r="JY83" s="38"/>
      <c r="JZ83" s="38"/>
      <c r="KA83" s="38"/>
      <c r="KB83" s="38"/>
      <c r="KC83" s="38"/>
      <c r="KD83" s="38"/>
      <c r="KE83" s="38"/>
      <c r="KF83" s="38"/>
      <c r="KG83" s="38"/>
      <c r="KH83" s="38"/>
      <c r="KI83" s="38"/>
      <c r="KJ83" s="38"/>
      <c r="KK83" s="38"/>
      <c r="KL83" s="38"/>
      <c r="KM83" s="38"/>
      <c r="KN83" s="38"/>
      <c r="KO83" s="38"/>
      <c r="KP83" s="38"/>
      <c r="KQ83" s="38"/>
      <c r="KR83" s="38"/>
      <c r="KS83" s="38"/>
      <c r="KT83" s="38"/>
      <c r="KU83" s="38"/>
      <c r="KV83" s="38"/>
      <c r="KW83" s="38"/>
      <c r="KX83" s="38"/>
      <c r="KY83" s="38"/>
      <c r="KZ83" s="38"/>
      <c r="LA83" s="38"/>
      <c r="LB83" s="38"/>
      <c r="LC83" s="38"/>
      <c r="LD83" s="38"/>
      <c r="LE83" s="38"/>
      <c r="LF83" s="38"/>
      <c r="LG83" s="38"/>
      <c r="LH83" s="38"/>
      <c r="LI83" s="38"/>
      <c r="LJ83" s="38"/>
      <c r="LK83" s="38"/>
      <c r="LL83" s="38"/>
      <c r="LM83" s="38"/>
      <c r="LN83" s="38"/>
      <c r="LO83" s="38"/>
      <c r="LP83" s="38"/>
      <c r="LQ83" s="38"/>
      <c r="LR83" s="38"/>
      <c r="LS83" s="38"/>
      <c r="LT83" s="38"/>
      <c r="LU83" s="38"/>
      <c r="LV83" s="38"/>
      <c r="LW83" s="38"/>
      <c r="LX83" s="38"/>
      <c r="LY83" s="38"/>
      <c r="LZ83" s="38"/>
      <c r="MA83" s="38"/>
      <c r="MB83" s="38"/>
      <c r="MC83" s="38"/>
      <c r="MD83" s="38"/>
      <c r="ME83" s="38"/>
      <c r="MF83" s="38"/>
      <c r="MG83" s="38"/>
      <c r="MH83" s="38"/>
      <c r="MI83" s="38"/>
      <c r="MJ83" s="38"/>
      <c r="MK83" s="38"/>
      <c r="ML83" s="38"/>
      <c r="MM83" s="38"/>
      <c r="MN83" s="38"/>
      <c r="MO83" s="38"/>
      <c r="MP83" s="38"/>
      <c r="MQ83" s="38"/>
      <c r="MR83" s="38"/>
      <c r="MS83" s="38"/>
      <c r="MT83" s="38"/>
      <c r="MU83" s="38"/>
      <c r="MV83" s="38"/>
      <c r="MW83" s="38"/>
      <c r="MX83" s="38"/>
      <c r="MY83" s="38"/>
      <c r="MZ83" s="38"/>
      <c r="NA83" s="38"/>
      <c r="NB83" s="38"/>
      <c r="NC83" s="38"/>
      <c r="ND83" s="38"/>
      <c r="NE83" s="38"/>
      <c r="NF83" s="38"/>
      <c r="NG83" s="38"/>
      <c r="NH83" s="38"/>
      <c r="NI83" s="38"/>
      <c r="NJ83" s="38"/>
      <c r="NK83" s="38"/>
      <c r="NL83" s="38"/>
      <c r="NM83" s="38"/>
      <c r="NN83" s="38"/>
      <c r="NO83" s="38"/>
      <c r="NP83" s="38"/>
      <c r="NQ83" s="38"/>
      <c r="NR83" s="38"/>
      <c r="NS83" s="38"/>
      <c r="NT83" s="38"/>
      <c r="NU83" s="38"/>
      <c r="NV83" s="38"/>
      <c r="NW83" s="38"/>
      <c r="NX83" s="38"/>
      <c r="NY83" s="38"/>
      <c r="NZ83" s="38"/>
      <c r="OA83" s="38"/>
      <c r="OB83" s="38"/>
      <c r="OC83" s="38"/>
      <c r="OD83" s="38"/>
      <c r="OE83" s="38"/>
      <c r="OF83" s="38"/>
      <c r="OG83" s="38"/>
      <c r="OH83" s="38"/>
      <c r="OI83" s="38"/>
      <c r="OJ83" s="38"/>
      <c r="OK83" s="38"/>
      <c r="OL83" s="38"/>
      <c r="OM83" s="38"/>
      <c r="ON83" s="38"/>
      <c r="OO83" s="38"/>
      <c r="OP83" s="38"/>
      <c r="OQ83" s="38"/>
      <c r="OR83" s="38"/>
      <c r="OS83" s="38"/>
      <c r="OT83" s="38"/>
      <c r="OU83" s="38"/>
      <c r="OV83" s="38"/>
      <c r="OW83" s="38"/>
      <c r="OX83" s="38"/>
      <c r="OY83" s="38"/>
      <c r="OZ83" s="38"/>
      <c r="PA83" s="38"/>
      <c r="PB83" s="38"/>
      <c r="PC83" s="38"/>
      <c r="PD83" s="38"/>
      <c r="PE83" s="38"/>
      <c r="PF83" s="38"/>
      <c r="PG83" s="38"/>
      <c r="PH83" s="38"/>
      <c r="PI83" s="38"/>
      <c r="PJ83" s="38"/>
      <c r="PK83" s="38"/>
      <c r="PL83" s="38"/>
      <c r="PM83" s="38"/>
      <c r="PN83" s="38"/>
      <c r="PO83" s="38"/>
      <c r="PP83" s="38"/>
      <c r="PQ83" s="38"/>
      <c r="PR83" s="38"/>
      <c r="PS83" s="38"/>
      <c r="PT83" s="38"/>
      <c r="PU83" s="38"/>
      <c r="PV83" s="38"/>
      <c r="PW83" s="38"/>
      <c r="PX83" s="38"/>
      <c r="PY83" s="38"/>
      <c r="PZ83" s="38"/>
      <c r="QA83" s="38"/>
      <c r="QB83" s="38"/>
      <c r="QC83" s="38"/>
      <c r="QD83" s="38"/>
      <c r="QE83" s="38"/>
      <c r="QF83" s="38"/>
      <c r="QG83" s="38"/>
      <c r="QH83" s="38"/>
      <c r="QI83" s="38"/>
      <c r="QJ83" s="38"/>
      <c r="QK83" s="38"/>
      <c r="QL83" s="38"/>
      <c r="QM83" s="38"/>
      <c r="QN83" s="38"/>
      <c r="QO83" s="38"/>
      <c r="QP83" s="38"/>
      <c r="QQ83" s="38"/>
      <c r="QR83" s="38"/>
      <c r="QS83" s="38"/>
      <c r="QT83" s="38"/>
      <c r="QU83" s="38"/>
      <c r="QV83" s="38"/>
      <c r="QW83" s="38"/>
      <c r="QX83" s="38"/>
      <c r="QY83" s="38"/>
      <c r="QZ83" s="38"/>
      <c r="RA83" s="38"/>
      <c r="RB83" s="38"/>
      <c r="RC83" s="38"/>
      <c r="RD83" s="38"/>
      <c r="RE83" s="38"/>
      <c r="RF83" s="38"/>
      <c r="RG83" s="38"/>
      <c r="RH83" s="38"/>
      <c r="RI83" s="38"/>
      <c r="RJ83" s="38"/>
      <c r="RK83" s="38"/>
      <c r="RL83" s="38"/>
      <c r="RM83" s="38"/>
      <c r="RN83" s="38"/>
      <c r="RO83" s="38"/>
      <c r="RP83" s="38"/>
      <c r="RQ83" s="38"/>
      <c r="RR83" s="38"/>
      <c r="RS83" s="38"/>
      <c r="RT83" s="38"/>
      <c r="RU83" s="38"/>
      <c r="RV83" s="38"/>
      <c r="RW83" s="38"/>
      <c r="RX83" s="38"/>
      <c r="RY83" s="38"/>
      <c r="RZ83" s="38"/>
      <c r="SA83" s="38"/>
      <c r="SB83" s="38"/>
      <c r="SC83" s="38"/>
      <c r="SD83" s="38"/>
      <c r="SE83" s="38"/>
      <c r="SF83" s="38"/>
      <c r="SG83" s="38"/>
      <c r="SH83" s="38"/>
      <c r="SI83" s="38"/>
      <c r="SJ83" s="38"/>
      <c r="SK83" s="38"/>
      <c r="SL83" s="38"/>
      <c r="SM83" s="38"/>
      <c r="SN83" s="38"/>
      <c r="SO83" s="38"/>
      <c r="SP83" s="38"/>
      <c r="SQ83" s="38"/>
      <c r="SR83" s="38"/>
      <c r="SS83" s="38"/>
      <c r="ST83" s="38"/>
      <c r="SU83" s="38"/>
      <c r="SV83" s="38"/>
      <c r="SW83" s="38"/>
      <c r="SX83" s="38"/>
      <c r="SY83" s="38"/>
      <c r="SZ83" s="38"/>
      <c r="TA83" s="38"/>
      <c r="TB83" s="38"/>
      <c r="TC83" s="38"/>
      <c r="TD83" s="38"/>
      <c r="TE83" s="38"/>
      <c r="TF83" s="38"/>
      <c r="TG83" s="38"/>
      <c r="TH83" s="38"/>
      <c r="TI83" s="38"/>
      <c r="TJ83" s="38"/>
      <c r="TK83" s="38"/>
      <c r="TL83" s="38"/>
      <c r="TM83" s="38"/>
      <c r="TN83" s="38"/>
      <c r="TO83" s="38"/>
      <c r="TP83" s="38"/>
      <c r="TQ83" s="38"/>
      <c r="TR83" s="38"/>
      <c r="TS83" s="38"/>
      <c r="TT83" s="38"/>
      <c r="TU83" s="38"/>
      <c r="TV83" s="38"/>
      <c r="TW83" s="38"/>
      <c r="TX83" s="38"/>
      <c r="TY83" s="38"/>
      <c r="TZ83" s="38"/>
      <c r="UA83" s="38"/>
      <c r="UB83" s="38"/>
      <c r="UC83" s="38"/>
      <c r="UD83" s="38"/>
      <c r="UE83" s="38"/>
      <c r="UF83" s="38"/>
      <c r="UG83" s="38"/>
      <c r="UH83" s="38"/>
      <c r="UI83" s="38"/>
      <c r="UJ83" s="38"/>
      <c r="UK83" s="38"/>
      <c r="UL83" s="38"/>
      <c r="UM83" s="38"/>
      <c r="UN83" s="38"/>
      <c r="UO83" s="38"/>
      <c r="UP83" s="38"/>
      <c r="UQ83" s="38"/>
      <c r="UR83" s="38"/>
      <c r="US83" s="38"/>
      <c r="UT83" s="38"/>
      <c r="UU83" s="38"/>
      <c r="UV83" s="38"/>
      <c r="UW83" s="38"/>
      <c r="UX83" s="38"/>
      <c r="UY83" s="38"/>
      <c r="UZ83" s="38"/>
      <c r="VA83" s="38"/>
      <c r="VB83" s="38"/>
      <c r="VC83" s="38"/>
      <c r="VD83" s="38"/>
      <c r="VE83" s="38"/>
      <c r="VF83" s="38"/>
      <c r="VG83" s="38"/>
      <c r="VH83" s="38"/>
      <c r="VI83" s="38"/>
      <c r="VJ83" s="38"/>
      <c r="VK83" s="38"/>
      <c r="VL83" s="38"/>
      <c r="VM83" s="38"/>
      <c r="VN83" s="38"/>
      <c r="VO83" s="38"/>
      <c r="VP83" s="38"/>
      <c r="VQ83" s="38"/>
      <c r="VR83" s="38"/>
      <c r="VS83" s="38"/>
      <c r="VT83" s="38"/>
      <c r="VU83" s="38"/>
      <c r="VV83" s="38"/>
      <c r="VW83" s="38"/>
      <c r="VX83" s="38"/>
      <c r="VY83" s="38"/>
      <c r="VZ83" s="38"/>
      <c r="WA83" s="38"/>
      <c r="WB83" s="38"/>
      <c r="WC83" s="38"/>
      <c r="WD83" s="38"/>
      <c r="WE83" s="38"/>
      <c r="WF83" s="38"/>
      <c r="WG83" s="38"/>
      <c r="WH83" s="38"/>
      <c r="WI83" s="38"/>
      <c r="WJ83" s="38"/>
      <c r="WK83" s="38"/>
      <c r="WL83" s="38"/>
      <c r="WM83" s="38"/>
      <c r="WN83" s="38"/>
      <c r="WO83" s="38"/>
      <c r="WP83" s="38"/>
      <c r="WQ83" s="38"/>
      <c r="WR83" s="38"/>
      <c r="WS83" s="38"/>
      <c r="WT83" s="38"/>
      <c r="WU83" s="38"/>
      <c r="WV83" s="38"/>
      <c r="WW83" s="38"/>
      <c r="WX83" s="38"/>
      <c r="WY83" s="38"/>
      <c r="WZ83" s="38"/>
      <c r="XA83" s="38"/>
      <c r="XB83" s="38"/>
      <c r="XC83" s="38"/>
      <c r="XD83" s="38"/>
      <c r="XE83" s="38"/>
      <c r="XF83" s="38"/>
      <c r="XG83" s="38"/>
      <c r="XH83" s="38"/>
      <c r="XI83" s="38"/>
      <c r="XJ83" s="38"/>
      <c r="XK83" s="38"/>
      <c r="XL83" s="38"/>
      <c r="XM83" s="38"/>
      <c r="XN83" s="38"/>
      <c r="XO83" s="38"/>
      <c r="XP83" s="38"/>
      <c r="XQ83" s="38"/>
      <c r="XR83" s="38"/>
      <c r="XS83" s="38"/>
      <c r="XT83" s="38"/>
      <c r="XU83" s="38"/>
      <c r="XV83" s="38"/>
      <c r="XW83" s="38"/>
      <c r="XX83" s="38"/>
      <c r="XY83" s="38"/>
      <c r="XZ83" s="38"/>
      <c r="YA83" s="38"/>
      <c r="YB83" s="38"/>
      <c r="YC83" s="38"/>
      <c r="YD83" s="38"/>
      <c r="YE83" s="38"/>
      <c r="YF83" s="38"/>
      <c r="YG83" s="38"/>
      <c r="YH83" s="38"/>
      <c r="YI83" s="38"/>
      <c r="YJ83" s="38"/>
      <c r="YK83" s="38"/>
      <c r="YL83" s="38"/>
      <c r="YM83" s="38"/>
      <c r="YN83" s="38"/>
      <c r="YO83" s="38"/>
      <c r="YP83" s="38"/>
      <c r="YQ83" s="38"/>
      <c r="YR83" s="38"/>
      <c r="YS83" s="38"/>
      <c r="YT83" s="38"/>
      <c r="YU83" s="38"/>
      <c r="YV83" s="38"/>
      <c r="YW83" s="38"/>
      <c r="YX83" s="38"/>
      <c r="YY83" s="38"/>
      <c r="YZ83" s="38"/>
      <c r="ZA83" s="38"/>
      <c r="ZB83" s="38"/>
      <c r="ZC83" s="38"/>
      <c r="ZD83" s="38"/>
      <c r="ZE83" s="38"/>
      <c r="ZF83" s="38"/>
      <c r="ZG83" s="38"/>
      <c r="ZH83" s="38"/>
      <c r="ZI83" s="38"/>
      <c r="ZJ83" s="38"/>
      <c r="ZK83" s="38"/>
      <c r="ZL83" s="38"/>
      <c r="ZM83" s="38"/>
      <c r="ZN83" s="38"/>
      <c r="ZO83" s="38"/>
      <c r="ZP83" s="38"/>
      <c r="ZQ83" s="38"/>
      <c r="ZR83" s="38"/>
      <c r="ZS83" s="38"/>
      <c r="ZT83" s="38"/>
      <c r="ZU83" s="38"/>
      <c r="ZV83" s="38"/>
      <c r="ZW83" s="38"/>
      <c r="ZX83" s="38"/>
      <c r="ZY83" s="38"/>
      <c r="ZZ83" s="38"/>
      <c r="AAA83" s="38"/>
      <c r="AAB83" s="38"/>
      <c r="AAC83" s="38"/>
      <c r="AAD83" s="38"/>
      <c r="AAE83" s="38"/>
      <c r="AAF83" s="38"/>
      <c r="AAG83" s="38"/>
      <c r="AAH83" s="38"/>
      <c r="AAI83" s="38"/>
      <c r="AAJ83" s="38"/>
      <c r="AAK83" s="38"/>
      <c r="AAL83" s="38"/>
      <c r="AAM83" s="38"/>
      <c r="AAN83" s="38"/>
      <c r="AAO83" s="38"/>
      <c r="AAP83" s="38"/>
      <c r="AAQ83" s="38"/>
      <c r="AAR83" s="38"/>
      <c r="AAS83" s="38"/>
      <c r="AAT83" s="38"/>
      <c r="AAU83" s="38"/>
      <c r="AAV83" s="38"/>
      <c r="AAW83" s="38"/>
      <c r="AAX83" s="38"/>
      <c r="AAY83" s="38"/>
      <c r="AAZ83" s="38"/>
      <c r="ABA83" s="38"/>
      <c r="ABB83" s="38"/>
      <c r="ABC83" s="38"/>
      <c r="ABD83" s="38"/>
      <c r="ABE83" s="38"/>
      <c r="ABF83" s="38"/>
      <c r="ABG83" s="38"/>
      <c r="ABH83" s="38"/>
      <c r="ABI83" s="38"/>
      <c r="ABJ83" s="38"/>
      <c r="ABK83" s="38"/>
      <c r="ABL83" s="38"/>
      <c r="ABM83" s="38"/>
      <c r="ABN83" s="38"/>
      <c r="ABO83" s="38"/>
      <c r="ABP83" s="38"/>
      <c r="ABQ83" s="38"/>
      <c r="ABR83" s="38"/>
      <c r="ABS83" s="38"/>
      <c r="ABT83" s="38"/>
      <c r="ABU83" s="38"/>
      <c r="ABV83" s="38"/>
      <c r="ABW83" s="38"/>
      <c r="ABX83" s="38"/>
      <c r="ABY83" s="38"/>
      <c r="ABZ83" s="38"/>
      <c r="ACA83" s="38"/>
      <c r="ACB83" s="38"/>
      <c r="ACC83" s="38"/>
      <c r="ACD83" s="38"/>
      <c r="ACE83" s="38"/>
      <c r="ACF83" s="38"/>
      <c r="ACG83" s="38"/>
      <c r="ACH83" s="38"/>
      <c r="ACI83" s="38"/>
      <c r="ACJ83" s="38"/>
      <c r="ACK83" s="38"/>
      <c r="ACL83" s="38"/>
      <c r="ACM83" s="38"/>
      <c r="ACN83" s="38"/>
      <c r="ACO83" s="38"/>
      <c r="ACP83" s="38"/>
      <c r="ACQ83" s="38"/>
      <c r="ACR83" s="38"/>
      <c r="ACS83" s="38"/>
      <c r="ACT83" s="38"/>
      <c r="ACU83" s="38"/>
      <c r="ACV83" s="38"/>
      <c r="ACW83" s="38"/>
      <c r="ACX83" s="38"/>
      <c r="ACY83" s="38"/>
      <c r="ACZ83" s="38"/>
      <c r="ADA83" s="38"/>
      <c r="ADB83" s="38"/>
      <c r="ADC83" s="38"/>
      <c r="ADD83" s="38"/>
      <c r="ADE83" s="38"/>
      <c r="ADF83" s="38"/>
      <c r="ADG83" s="38"/>
      <c r="ADH83" s="38"/>
      <c r="ADI83" s="38"/>
      <c r="ADJ83" s="38"/>
      <c r="ADK83" s="38"/>
      <c r="ADL83" s="38"/>
      <c r="ADM83" s="38"/>
      <c r="ADN83" s="38"/>
      <c r="ADO83" s="38"/>
      <c r="ADP83" s="38"/>
      <c r="ADQ83" s="38"/>
      <c r="ADR83" s="38"/>
      <c r="ADS83" s="38"/>
      <c r="ADT83" s="38"/>
      <c r="ADU83" s="38"/>
      <c r="ADV83" s="38"/>
      <c r="ADW83" s="38"/>
      <c r="ADX83" s="38"/>
      <c r="ADY83" s="38"/>
      <c r="ADZ83" s="38"/>
      <c r="AEA83" s="38"/>
      <c r="AEB83" s="38"/>
      <c r="AEC83" s="38"/>
      <c r="AED83" s="38"/>
      <c r="AEE83" s="38"/>
      <c r="AEF83" s="38"/>
      <c r="AEG83" s="38"/>
      <c r="AEH83" s="38"/>
      <c r="AEI83" s="38"/>
      <c r="AEJ83" s="38"/>
      <c r="AEK83" s="38"/>
      <c r="AEL83" s="38"/>
      <c r="AEM83" s="38"/>
      <c r="AEN83" s="38"/>
      <c r="AEO83" s="38"/>
      <c r="AEP83" s="38"/>
      <c r="AEQ83" s="38"/>
      <c r="AER83" s="38"/>
      <c r="AES83" s="38"/>
      <c r="AET83" s="38"/>
      <c r="AEU83" s="38"/>
      <c r="AEV83" s="38"/>
      <c r="AEW83" s="38"/>
      <c r="AEX83" s="38"/>
      <c r="AEY83" s="38"/>
      <c r="AEZ83" s="38"/>
      <c r="AFA83" s="38"/>
      <c r="AFB83" s="38"/>
      <c r="AFC83" s="38"/>
      <c r="AFD83" s="38"/>
      <c r="AFE83" s="38"/>
      <c r="AFF83" s="38"/>
      <c r="AFG83" s="38"/>
      <c r="AFH83" s="38"/>
      <c r="AFI83" s="38"/>
      <c r="AFJ83" s="38"/>
      <c r="AFK83" s="38"/>
      <c r="AFL83" s="38"/>
      <c r="AFM83" s="38"/>
      <c r="AFN83" s="38"/>
      <c r="AFO83" s="38"/>
      <c r="AFP83" s="38"/>
      <c r="AFQ83" s="38"/>
      <c r="AFR83" s="38"/>
      <c r="AFS83" s="38"/>
      <c r="AFT83" s="38"/>
      <c r="AFU83" s="38"/>
      <c r="AFV83" s="38"/>
      <c r="AFW83" s="38"/>
      <c r="AFX83" s="38"/>
      <c r="AFY83" s="38"/>
      <c r="AFZ83" s="38"/>
      <c r="AGA83" s="38"/>
      <c r="AGB83" s="38"/>
      <c r="AGC83" s="38"/>
      <c r="AGD83" s="38"/>
      <c r="AGE83" s="38"/>
      <c r="AGF83" s="38"/>
      <c r="AGG83" s="38"/>
      <c r="AGH83" s="38"/>
      <c r="AGI83" s="38"/>
      <c r="AGJ83" s="38"/>
      <c r="AGK83" s="38"/>
      <c r="AGL83" s="38"/>
      <c r="AGM83" s="38"/>
      <c r="AGN83" s="38"/>
      <c r="AGO83" s="38"/>
      <c r="AGP83" s="38"/>
      <c r="AGQ83" s="38"/>
      <c r="AGR83" s="38"/>
      <c r="AGS83" s="38"/>
      <c r="AGT83" s="38"/>
      <c r="AGU83" s="38"/>
      <c r="AGV83" s="38"/>
      <c r="AGW83" s="38"/>
      <c r="AGX83" s="38"/>
      <c r="AGY83" s="38"/>
      <c r="AGZ83" s="38"/>
      <c r="AHA83" s="38"/>
      <c r="AHB83" s="38"/>
      <c r="AHC83" s="38"/>
      <c r="AHD83" s="38"/>
      <c r="AHE83" s="38"/>
      <c r="AHF83" s="38"/>
      <c r="AHG83" s="38"/>
      <c r="AHH83" s="38"/>
      <c r="AHI83" s="38"/>
      <c r="AHJ83" s="38"/>
      <c r="AHK83" s="38"/>
      <c r="AHL83" s="38"/>
      <c r="AHM83" s="38"/>
      <c r="AHN83" s="38"/>
      <c r="AHO83" s="38"/>
      <c r="AHP83" s="38"/>
      <c r="AHQ83" s="38"/>
      <c r="AHR83" s="38"/>
      <c r="AHS83" s="38"/>
      <c r="AHT83" s="38"/>
      <c r="AHU83" s="38"/>
      <c r="AHV83" s="38"/>
    </row>
    <row r="84" spans="1:906" s="27" customFormat="1" x14ac:dyDescent="0.35">
      <c r="A84" s="83">
        <v>79</v>
      </c>
      <c r="B84" s="108" t="s">
        <v>132</v>
      </c>
      <c r="C84" s="109" t="s">
        <v>135</v>
      </c>
      <c r="D84" s="109" t="s">
        <v>134</v>
      </c>
      <c r="E84" s="125"/>
      <c r="F84" s="125">
        <v>26.95</v>
      </c>
      <c r="G84" s="125">
        <v>27.95</v>
      </c>
      <c r="H84" s="125">
        <v>28.25</v>
      </c>
      <c r="I84" s="37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8"/>
      <c r="BZ84" s="38"/>
      <c r="CA84" s="38"/>
      <c r="CB84" s="38"/>
      <c r="CC84" s="38"/>
      <c r="CD84" s="38"/>
      <c r="CE84" s="38"/>
      <c r="CF84" s="38"/>
      <c r="CG84" s="38"/>
      <c r="CH84" s="38"/>
      <c r="CI84" s="38"/>
      <c r="CJ84" s="38"/>
      <c r="CK84" s="38"/>
      <c r="CL84" s="38"/>
      <c r="CM84" s="38"/>
      <c r="CN84" s="38"/>
      <c r="CO84" s="38"/>
      <c r="CP84" s="38"/>
      <c r="CQ84" s="38"/>
      <c r="CR84" s="38"/>
      <c r="CS84" s="38"/>
      <c r="CT84" s="38"/>
      <c r="CU84" s="38"/>
      <c r="CV84" s="38"/>
      <c r="CW84" s="38"/>
      <c r="CX84" s="38"/>
      <c r="CY84" s="38"/>
      <c r="CZ84" s="38"/>
      <c r="DA84" s="38"/>
      <c r="DB84" s="38"/>
      <c r="DC84" s="38"/>
      <c r="DD84" s="38"/>
      <c r="DE84" s="38"/>
      <c r="DF84" s="38"/>
      <c r="DG84" s="38"/>
      <c r="DH84" s="38"/>
      <c r="DI84" s="38"/>
      <c r="DJ84" s="38"/>
      <c r="DK84" s="38"/>
      <c r="DL84" s="38"/>
      <c r="DM84" s="38"/>
      <c r="DN84" s="38"/>
      <c r="DO84" s="38"/>
      <c r="DP84" s="38"/>
      <c r="DQ84" s="38"/>
      <c r="DR84" s="38"/>
      <c r="DS84" s="38"/>
      <c r="DT84" s="38"/>
      <c r="DU84" s="38"/>
      <c r="DV84" s="38"/>
      <c r="DW84" s="38"/>
      <c r="DX84" s="38"/>
      <c r="DY84" s="38"/>
      <c r="DZ84" s="38"/>
      <c r="EA84" s="38"/>
      <c r="EB84" s="38"/>
      <c r="EC84" s="38"/>
      <c r="ED84" s="38"/>
      <c r="EE84" s="38"/>
      <c r="EF84" s="38"/>
      <c r="EG84" s="38"/>
      <c r="EH84" s="38"/>
      <c r="EI84" s="38"/>
      <c r="EJ84" s="38"/>
      <c r="EK84" s="38"/>
      <c r="EL84" s="38"/>
      <c r="EM84" s="38"/>
      <c r="EN84" s="38"/>
      <c r="EO84" s="38"/>
      <c r="EP84" s="38"/>
      <c r="EQ84" s="38"/>
      <c r="ER84" s="38"/>
      <c r="ES84" s="38"/>
      <c r="ET84" s="38"/>
      <c r="EU84" s="38"/>
      <c r="EV84" s="38"/>
      <c r="EW84" s="38"/>
      <c r="EX84" s="38"/>
      <c r="EY84" s="38"/>
      <c r="EZ84" s="38"/>
      <c r="FA84" s="38"/>
      <c r="FB84" s="38"/>
      <c r="FC84" s="38"/>
      <c r="FD84" s="38"/>
      <c r="FE84" s="38"/>
      <c r="FF84" s="38"/>
      <c r="FG84" s="38"/>
      <c r="FH84" s="38"/>
      <c r="FI84" s="38"/>
      <c r="FJ84" s="38"/>
      <c r="FK84" s="38"/>
      <c r="FL84" s="38"/>
      <c r="FM84" s="38"/>
      <c r="FN84" s="38"/>
      <c r="FO84" s="38"/>
      <c r="FP84" s="38"/>
      <c r="FQ84" s="38"/>
      <c r="FR84" s="38"/>
      <c r="FS84" s="38"/>
      <c r="FT84" s="38"/>
      <c r="FU84" s="38"/>
      <c r="FV84" s="38"/>
      <c r="FW84" s="38"/>
      <c r="FX84" s="38"/>
      <c r="FY84" s="38"/>
      <c r="FZ84" s="38"/>
      <c r="GA84" s="38"/>
      <c r="GB84" s="38"/>
      <c r="GC84" s="38"/>
      <c r="GD84" s="38"/>
      <c r="GE84" s="38"/>
      <c r="GF84" s="38"/>
      <c r="GG84" s="38"/>
      <c r="GH84" s="38"/>
      <c r="GI84" s="38"/>
      <c r="GJ84" s="38"/>
      <c r="GK84" s="38"/>
      <c r="GL84" s="38"/>
      <c r="GM84" s="38"/>
      <c r="GN84" s="38"/>
      <c r="GO84" s="38"/>
      <c r="GP84" s="38"/>
      <c r="GQ84" s="38"/>
      <c r="GR84" s="38"/>
      <c r="GS84" s="38"/>
      <c r="GT84" s="38"/>
      <c r="GU84" s="38"/>
      <c r="GV84" s="38"/>
      <c r="GW84" s="38"/>
      <c r="GX84" s="38"/>
      <c r="GY84" s="38"/>
      <c r="GZ84" s="38"/>
      <c r="HA84" s="38"/>
      <c r="HB84" s="38"/>
      <c r="HC84" s="38"/>
      <c r="HD84" s="38"/>
      <c r="HE84" s="38"/>
      <c r="HF84" s="38"/>
      <c r="HG84" s="38"/>
      <c r="HH84" s="38"/>
      <c r="HI84" s="38"/>
      <c r="HJ84" s="38"/>
      <c r="HK84" s="38"/>
      <c r="HL84" s="38"/>
      <c r="HM84" s="38"/>
      <c r="HN84" s="38"/>
      <c r="HO84" s="38"/>
      <c r="HP84" s="38"/>
      <c r="HQ84" s="38"/>
      <c r="HR84" s="38"/>
      <c r="HS84" s="38"/>
      <c r="HT84" s="38"/>
      <c r="HU84" s="38"/>
      <c r="HV84" s="38"/>
      <c r="HW84" s="38"/>
      <c r="HX84" s="38"/>
      <c r="HY84" s="38"/>
      <c r="HZ84" s="38"/>
      <c r="IA84" s="38"/>
      <c r="IB84" s="38"/>
      <c r="IC84" s="38"/>
      <c r="ID84" s="38"/>
      <c r="IE84" s="38"/>
      <c r="IF84" s="38"/>
      <c r="IG84" s="38"/>
      <c r="IH84" s="38"/>
      <c r="II84" s="38"/>
      <c r="IJ84" s="38"/>
      <c r="IK84" s="38"/>
      <c r="IL84" s="38"/>
      <c r="IM84" s="38"/>
      <c r="IN84" s="38"/>
      <c r="IO84" s="38"/>
      <c r="IP84" s="38"/>
      <c r="IQ84" s="38"/>
      <c r="IR84" s="38"/>
      <c r="IS84" s="38"/>
      <c r="IT84" s="38"/>
      <c r="IU84" s="38"/>
      <c r="IV84" s="38"/>
      <c r="IW84" s="38"/>
      <c r="IX84" s="38"/>
      <c r="IY84" s="38"/>
      <c r="IZ84" s="38"/>
      <c r="JA84" s="38"/>
      <c r="JB84" s="38"/>
      <c r="JC84" s="38"/>
      <c r="JD84" s="38"/>
      <c r="JE84" s="38"/>
      <c r="JF84" s="38"/>
      <c r="JG84" s="38"/>
      <c r="JH84" s="38"/>
      <c r="JI84" s="38"/>
      <c r="JJ84" s="38"/>
      <c r="JK84" s="38"/>
      <c r="JL84" s="38"/>
      <c r="JM84" s="38"/>
      <c r="JN84" s="38"/>
      <c r="JO84" s="38"/>
      <c r="JP84" s="38"/>
      <c r="JQ84" s="38"/>
      <c r="JR84" s="38"/>
      <c r="JS84" s="38"/>
      <c r="JT84" s="38"/>
      <c r="JU84" s="38"/>
      <c r="JV84" s="38"/>
      <c r="JW84" s="38"/>
      <c r="JX84" s="38"/>
      <c r="JY84" s="38"/>
      <c r="JZ84" s="38"/>
      <c r="KA84" s="38"/>
      <c r="KB84" s="38"/>
      <c r="KC84" s="38"/>
      <c r="KD84" s="38"/>
      <c r="KE84" s="38"/>
      <c r="KF84" s="38"/>
      <c r="KG84" s="38"/>
      <c r="KH84" s="38"/>
      <c r="KI84" s="38"/>
      <c r="KJ84" s="38"/>
      <c r="KK84" s="38"/>
      <c r="KL84" s="38"/>
      <c r="KM84" s="38"/>
      <c r="KN84" s="38"/>
      <c r="KO84" s="38"/>
      <c r="KP84" s="38"/>
      <c r="KQ84" s="38"/>
      <c r="KR84" s="38"/>
      <c r="KS84" s="38"/>
      <c r="KT84" s="38"/>
      <c r="KU84" s="38"/>
      <c r="KV84" s="38"/>
      <c r="KW84" s="38"/>
      <c r="KX84" s="38"/>
      <c r="KY84" s="38"/>
      <c r="KZ84" s="38"/>
      <c r="LA84" s="38"/>
      <c r="LB84" s="38"/>
      <c r="LC84" s="38"/>
      <c r="LD84" s="38"/>
      <c r="LE84" s="38"/>
      <c r="LF84" s="38"/>
      <c r="LG84" s="38"/>
      <c r="LH84" s="38"/>
      <c r="LI84" s="38"/>
      <c r="LJ84" s="38"/>
      <c r="LK84" s="38"/>
      <c r="LL84" s="38"/>
      <c r="LM84" s="38"/>
      <c r="LN84" s="38"/>
      <c r="LO84" s="38"/>
      <c r="LP84" s="38"/>
      <c r="LQ84" s="38"/>
      <c r="LR84" s="38"/>
      <c r="LS84" s="38"/>
      <c r="LT84" s="38"/>
      <c r="LU84" s="38"/>
      <c r="LV84" s="38"/>
      <c r="LW84" s="38"/>
      <c r="LX84" s="38"/>
      <c r="LY84" s="38"/>
      <c r="LZ84" s="38"/>
      <c r="MA84" s="38"/>
      <c r="MB84" s="38"/>
      <c r="MC84" s="38"/>
      <c r="MD84" s="38"/>
      <c r="ME84" s="38"/>
      <c r="MF84" s="38"/>
      <c r="MG84" s="38"/>
      <c r="MH84" s="38"/>
      <c r="MI84" s="38"/>
      <c r="MJ84" s="38"/>
      <c r="MK84" s="38"/>
      <c r="ML84" s="38"/>
      <c r="MM84" s="38"/>
      <c r="MN84" s="38"/>
      <c r="MO84" s="38"/>
      <c r="MP84" s="38"/>
      <c r="MQ84" s="38"/>
      <c r="MR84" s="38"/>
      <c r="MS84" s="38"/>
      <c r="MT84" s="38"/>
      <c r="MU84" s="38"/>
      <c r="MV84" s="38"/>
      <c r="MW84" s="38"/>
      <c r="MX84" s="38"/>
      <c r="MY84" s="38"/>
      <c r="MZ84" s="38"/>
      <c r="NA84" s="38"/>
      <c r="NB84" s="38"/>
      <c r="NC84" s="38"/>
      <c r="ND84" s="38"/>
      <c r="NE84" s="38"/>
      <c r="NF84" s="38"/>
      <c r="NG84" s="38"/>
      <c r="NH84" s="38"/>
      <c r="NI84" s="38"/>
      <c r="NJ84" s="38"/>
      <c r="NK84" s="38"/>
      <c r="NL84" s="38"/>
      <c r="NM84" s="38"/>
      <c r="NN84" s="38"/>
      <c r="NO84" s="38"/>
      <c r="NP84" s="38"/>
      <c r="NQ84" s="38"/>
      <c r="NR84" s="38"/>
      <c r="NS84" s="38"/>
      <c r="NT84" s="38"/>
      <c r="NU84" s="38"/>
      <c r="NV84" s="38"/>
      <c r="NW84" s="38"/>
      <c r="NX84" s="38"/>
      <c r="NY84" s="38"/>
      <c r="NZ84" s="38"/>
      <c r="OA84" s="38"/>
      <c r="OB84" s="38"/>
      <c r="OC84" s="38"/>
      <c r="OD84" s="38"/>
      <c r="OE84" s="38"/>
      <c r="OF84" s="38"/>
      <c r="OG84" s="38"/>
      <c r="OH84" s="38"/>
      <c r="OI84" s="38"/>
      <c r="OJ84" s="38"/>
      <c r="OK84" s="38"/>
      <c r="OL84" s="38"/>
      <c r="OM84" s="38"/>
      <c r="ON84" s="38"/>
      <c r="OO84" s="38"/>
      <c r="OP84" s="38"/>
      <c r="OQ84" s="38"/>
      <c r="OR84" s="38"/>
      <c r="OS84" s="38"/>
      <c r="OT84" s="38"/>
      <c r="OU84" s="38"/>
      <c r="OV84" s="38"/>
      <c r="OW84" s="38"/>
      <c r="OX84" s="38"/>
      <c r="OY84" s="38"/>
      <c r="OZ84" s="38"/>
      <c r="PA84" s="38"/>
      <c r="PB84" s="38"/>
      <c r="PC84" s="38"/>
      <c r="PD84" s="38"/>
      <c r="PE84" s="38"/>
      <c r="PF84" s="38"/>
      <c r="PG84" s="38"/>
      <c r="PH84" s="38"/>
      <c r="PI84" s="38"/>
      <c r="PJ84" s="38"/>
      <c r="PK84" s="38"/>
      <c r="PL84" s="38"/>
      <c r="PM84" s="38"/>
      <c r="PN84" s="38"/>
      <c r="PO84" s="38"/>
      <c r="PP84" s="38"/>
      <c r="PQ84" s="38"/>
      <c r="PR84" s="38"/>
      <c r="PS84" s="38"/>
      <c r="PT84" s="38"/>
      <c r="PU84" s="38"/>
      <c r="PV84" s="38"/>
      <c r="PW84" s="38"/>
      <c r="PX84" s="38"/>
      <c r="PY84" s="38"/>
      <c r="PZ84" s="38"/>
      <c r="QA84" s="38"/>
      <c r="QB84" s="38"/>
      <c r="QC84" s="38"/>
      <c r="QD84" s="38"/>
      <c r="QE84" s="38"/>
      <c r="QF84" s="38"/>
      <c r="QG84" s="38"/>
      <c r="QH84" s="38"/>
      <c r="QI84" s="38"/>
      <c r="QJ84" s="38"/>
      <c r="QK84" s="38"/>
      <c r="QL84" s="38"/>
      <c r="QM84" s="38"/>
      <c r="QN84" s="38"/>
      <c r="QO84" s="38"/>
      <c r="QP84" s="38"/>
      <c r="QQ84" s="38"/>
      <c r="QR84" s="38"/>
      <c r="QS84" s="38"/>
      <c r="QT84" s="38"/>
      <c r="QU84" s="38"/>
      <c r="QV84" s="38"/>
      <c r="QW84" s="38"/>
      <c r="QX84" s="38"/>
      <c r="QY84" s="38"/>
      <c r="QZ84" s="38"/>
      <c r="RA84" s="38"/>
      <c r="RB84" s="38"/>
      <c r="RC84" s="38"/>
      <c r="RD84" s="38"/>
      <c r="RE84" s="38"/>
      <c r="RF84" s="38"/>
      <c r="RG84" s="38"/>
      <c r="RH84" s="38"/>
      <c r="RI84" s="38"/>
      <c r="RJ84" s="38"/>
      <c r="RK84" s="38"/>
      <c r="RL84" s="38"/>
      <c r="RM84" s="38"/>
      <c r="RN84" s="38"/>
      <c r="RO84" s="38"/>
      <c r="RP84" s="38"/>
      <c r="RQ84" s="38"/>
      <c r="RR84" s="38"/>
      <c r="RS84" s="38"/>
      <c r="RT84" s="38"/>
      <c r="RU84" s="38"/>
      <c r="RV84" s="38"/>
      <c r="RW84" s="38"/>
      <c r="RX84" s="38"/>
      <c r="RY84" s="38"/>
      <c r="RZ84" s="38"/>
      <c r="SA84" s="38"/>
      <c r="SB84" s="38"/>
      <c r="SC84" s="38"/>
      <c r="SD84" s="38"/>
      <c r="SE84" s="38"/>
      <c r="SF84" s="38"/>
      <c r="SG84" s="38"/>
      <c r="SH84" s="38"/>
      <c r="SI84" s="38"/>
      <c r="SJ84" s="38"/>
      <c r="SK84" s="38"/>
      <c r="SL84" s="38"/>
      <c r="SM84" s="38"/>
      <c r="SN84" s="38"/>
      <c r="SO84" s="38"/>
      <c r="SP84" s="38"/>
      <c r="SQ84" s="38"/>
      <c r="SR84" s="38"/>
      <c r="SS84" s="38"/>
      <c r="ST84" s="38"/>
      <c r="SU84" s="38"/>
      <c r="SV84" s="38"/>
      <c r="SW84" s="38"/>
      <c r="SX84" s="38"/>
      <c r="SY84" s="38"/>
      <c r="SZ84" s="38"/>
      <c r="TA84" s="38"/>
      <c r="TB84" s="38"/>
      <c r="TC84" s="38"/>
      <c r="TD84" s="38"/>
      <c r="TE84" s="38"/>
      <c r="TF84" s="38"/>
      <c r="TG84" s="38"/>
      <c r="TH84" s="38"/>
      <c r="TI84" s="38"/>
      <c r="TJ84" s="38"/>
      <c r="TK84" s="38"/>
      <c r="TL84" s="38"/>
      <c r="TM84" s="38"/>
      <c r="TN84" s="38"/>
      <c r="TO84" s="38"/>
      <c r="TP84" s="38"/>
      <c r="TQ84" s="38"/>
      <c r="TR84" s="38"/>
      <c r="TS84" s="38"/>
      <c r="TT84" s="38"/>
      <c r="TU84" s="38"/>
      <c r="TV84" s="38"/>
      <c r="TW84" s="38"/>
      <c r="TX84" s="38"/>
      <c r="TY84" s="38"/>
      <c r="TZ84" s="38"/>
      <c r="UA84" s="38"/>
      <c r="UB84" s="38"/>
      <c r="UC84" s="38"/>
      <c r="UD84" s="38"/>
      <c r="UE84" s="38"/>
      <c r="UF84" s="38"/>
      <c r="UG84" s="38"/>
      <c r="UH84" s="38"/>
      <c r="UI84" s="38"/>
      <c r="UJ84" s="38"/>
      <c r="UK84" s="38"/>
      <c r="UL84" s="38"/>
      <c r="UM84" s="38"/>
      <c r="UN84" s="38"/>
      <c r="UO84" s="38"/>
      <c r="UP84" s="38"/>
      <c r="UQ84" s="38"/>
      <c r="UR84" s="38"/>
      <c r="US84" s="38"/>
      <c r="UT84" s="38"/>
      <c r="UU84" s="38"/>
      <c r="UV84" s="38"/>
      <c r="UW84" s="38"/>
      <c r="UX84" s="38"/>
      <c r="UY84" s="38"/>
      <c r="UZ84" s="38"/>
      <c r="VA84" s="38"/>
      <c r="VB84" s="38"/>
      <c r="VC84" s="38"/>
      <c r="VD84" s="38"/>
      <c r="VE84" s="38"/>
      <c r="VF84" s="38"/>
      <c r="VG84" s="38"/>
      <c r="VH84" s="38"/>
      <c r="VI84" s="38"/>
      <c r="VJ84" s="38"/>
      <c r="VK84" s="38"/>
      <c r="VL84" s="38"/>
      <c r="VM84" s="38"/>
      <c r="VN84" s="38"/>
      <c r="VO84" s="38"/>
      <c r="VP84" s="38"/>
      <c r="VQ84" s="38"/>
      <c r="VR84" s="38"/>
      <c r="VS84" s="38"/>
      <c r="VT84" s="38"/>
      <c r="VU84" s="38"/>
      <c r="VV84" s="38"/>
      <c r="VW84" s="38"/>
      <c r="VX84" s="38"/>
      <c r="VY84" s="38"/>
      <c r="VZ84" s="38"/>
      <c r="WA84" s="38"/>
      <c r="WB84" s="38"/>
      <c r="WC84" s="38"/>
      <c r="WD84" s="38"/>
      <c r="WE84" s="38"/>
      <c r="WF84" s="38"/>
      <c r="WG84" s="38"/>
      <c r="WH84" s="38"/>
      <c r="WI84" s="38"/>
      <c r="WJ84" s="38"/>
      <c r="WK84" s="38"/>
      <c r="WL84" s="38"/>
      <c r="WM84" s="38"/>
      <c r="WN84" s="38"/>
      <c r="WO84" s="38"/>
      <c r="WP84" s="38"/>
      <c r="WQ84" s="38"/>
      <c r="WR84" s="38"/>
      <c r="WS84" s="38"/>
      <c r="WT84" s="38"/>
      <c r="WU84" s="38"/>
      <c r="WV84" s="38"/>
      <c r="WW84" s="38"/>
      <c r="WX84" s="38"/>
      <c r="WY84" s="38"/>
      <c r="WZ84" s="38"/>
      <c r="XA84" s="38"/>
      <c r="XB84" s="38"/>
      <c r="XC84" s="38"/>
      <c r="XD84" s="38"/>
      <c r="XE84" s="38"/>
      <c r="XF84" s="38"/>
      <c r="XG84" s="38"/>
      <c r="XH84" s="38"/>
      <c r="XI84" s="38"/>
      <c r="XJ84" s="38"/>
      <c r="XK84" s="38"/>
      <c r="XL84" s="38"/>
      <c r="XM84" s="38"/>
      <c r="XN84" s="38"/>
      <c r="XO84" s="38"/>
      <c r="XP84" s="38"/>
      <c r="XQ84" s="38"/>
      <c r="XR84" s="38"/>
      <c r="XS84" s="38"/>
      <c r="XT84" s="38"/>
      <c r="XU84" s="38"/>
      <c r="XV84" s="38"/>
      <c r="XW84" s="38"/>
      <c r="XX84" s="38"/>
      <c r="XY84" s="38"/>
      <c r="XZ84" s="38"/>
      <c r="YA84" s="38"/>
      <c r="YB84" s="38"/>
      <c r="YC84" s="38"/>
      <c r="YD84" s="38"/>
      <c r="YE84" s="38"/>
      <c r="YF84" s="38"/>
      <c r="YG84" s="38"/>
      <c r="YH84" s="38"/>
      <c r="YI84" s="38"/>
      <c r="YJ84" s="38"/>
      <c r="YK84" s="38"/>
      <c r="YL84" s="38"/>
      <c r="YM84" s="38"/>
      <c r="YN84" s="38"/>
      <c r="YO84" s="38"/>
      <c r="YP84" s="38"/>
      <c r="YQ84" s="38"/>
      <c r="YR84" s="38"/>
      <c r="YS84" s="38"/>
      <c r="YT84" s="38"/>
      <c r="YU84" s="38"/>
      <c r="YV84" s="38"/>
      <c r="YW84" s="38"/>
      <c r="YX84" s="38"/>
      <c r="YY84" s="38"/>
      <c r="YZ84" s="38"/>
      <c r="ZA84" s="38"/>
      <c r="ZB84" s="38"/>
      <c r="ZC84" s="38"/>
      <c r="ZD84" s="38"/>
      <c r="ZE84" s="38"/>
      <c r="ZF84" s="38"/>
      <c r="ZG84" s="38"/>
      <c r="ZH84" s="38"/>
      <c r="ZI84" s="38"/>
      <c r="ZJ84" s="38"/>
      <c r="ZK84" s="38"/>
      <c r="ZL84" s="38"/>
      <c r="ZM84" s="38"/>
      <c r="ZN84" s="38"/>
      <c r="ZO84" s="38"/>
      <c r="ZP84" s="38"/>
      <c r="ZQ84" s="38"/>
      <c r="ZR84" s="38"/>
      <c r="ZS84" s="38"/>
      <c r="ZT84" s="38"/>
      <c r="ZU84" s="38"/>
      <c r="ZV84" s="38"/>
      <c r="ZW84" s="38"/>
      <c r="ZX84" s="38"/>
      <c r="ZY84" s="38"/>
      <c r="ZZ84" s="38"/>
      <c r="AAA84" s="38"/>
      <c r="AAB84" s="38"/>
      <c r="AAC84" s="38"/>
      <c r="AAD84" s="38"/>
      <c r="AAE84" s="38"/>
      <c r="AAF84" s="38"/>
      <c r="AAG84" s="38"/>
      <c r="AAH84" s="38"/>
      <c r="AAI84" s="38"/>
      <c r="AAJ84" s="38"/>
      <c r="AAK84" s="38"/>
      <c r="AAL84" s="38"/>
      <c r="AAM84" s="38"/>
      <c r="AAN84" s="38"/>
      <c r="AAO84" s="38"/>
      <c r="AAP84" s="38"/>
      <c r="AAQ84" s="38"/>
      <c r="AAR84" s="38"/>
      <c r="AAS84" s="38"/>
      <c r="AAT84" s="38"/>
      <c r="AAU84" s="38"/>
      <c r="AAV84" s="38"/>
      <c r="AAW84" s="38"/>
      <c r="AAX84" s="38"/>
      <c r="AAY84" s="38"/>
      <c r="AAZ84" s="38"/>
      <c r="ABA84" s="38"/>
      <c r="ABB84" s="38"/>
      <c r="ABC84" s="38"/>
      <c r="ABD84" s="38"/>
      <c r="ABE84" s="38"/>
      <c r="ABF84" s="38"/>
      <c r="ABG84" s="38"/>
      <c r="ABH84" s="38"/>
      <c r="ABI84" s="38"/>
      <c r="ABJ84" s="38"/>
      <c r="ABK84" s="38"/>
      <c r="ABL84" s="38"/>
      <c r="ABM84" s="38"/>
      <c r="ABN84" s="38"/>
      <c r="ABO84" s="38"/>
      <c r="ABP84" s="38"/>
      <c r="ABQ84" s="38"/>
      <c r="ABR84" s="38"/>
      <c r="ABS84" s="38"/>
      <c r="ABT84" s="38"/>
      <c r="ABU84" s="38"/>
      <c r="ABV84" s="38"/>
      <c r="ABW84" s="38"/>
      <c r="ABX84" s="38"/>
      <c r="ABY84" s="38"/>
      <c r="ABZ84" s="38"/>
      <c r="ACA84" s="38"/>
      <c r="ACB84" s="38"/>
      <c r="ACC84" s="38"/>
      <c r="ACD84" s="38"/>
      <c r="ACE84" s="38"/>
      <c r="ACF84" s="38"/>
      <c r="ACG84" s="38"/>
      <c r="ACH84" s="38"/>
      <c r="ACI84" s="38"/>
      <c r="ACJ84" s="38"/>
      <c r="ACK84" s="38"/>
      <c r="ACL84" s="38"/>
      <c r="ACM84" s="38"/>
      <c r="ACN84" s="38"/>
      <c r="ACO84" s="38"/>
      <c r="ACP84" s="38"/>
      <c r="ACQ84" s="38"/>
      <c r="ACR84" s="38"/>
      <c r="ACS84" s="38"/>
      <c r="ACT84" s="38"/>
      <c r="ACU84" s="38"/>
      <c r="ACV84" s="38"/>
      <c r="ACW84" s="38"/>
      <c r="ACX84" s="38"/>
      <c r="ACY84" s="38"/>
      <c r="ACZ84" s="38"/>
      <c r="ADA84" s="38"/>
      <c r="ADB84" s="38"/>
      <c r="ADC84" s="38"/>
      <c r="ADD84" s="38"/>
      <c r="ADE84" s="38"/>
      <c r="ADF84" s="38"/>
      <c r="ADG84" s="38"/>
      <c r="ADH84" s="38"/>
      <c r="ADI84" s="38"/>
      <c r="ADJ84" s="38"/>
      <c r="ADK84" s="38"/>
      <c r="ADL84" s="38"/>
      <c r="ADM84" s="38"/>
      <c r="ADN84" s="38"/>
      <c r="ADO84" s="38"/>
      <c r="ADP84" s="38"/>
      <c r="ADQ84" s="38"/>
      <c r="ADR84" s="38"/>
      <c r="ADS84" s="38"/>
      <c r="ADT84" s="38"/>
      <c r="ADU84" s="38"/>
      <c r="ADV84" s="38"/>
      <c r="ADW84" s="38"/>
      <c r="ADX84" s="38"/>
      <c r="ADY84" s="38"/>
      <c r="ADZ84" s="38"/>
      <c r="AEA84" s="38"/>
      <c r="AEB84" s="38"/>
      <c r="AEC84" s="38"/>
      <c r="AED84" s="38"/>
      <c r="AEE84" s="38"/>
      <c r="AEF84" s="38"/>
      <c r="AEG84" s="38"/>
      <c r="AEH84" s="38"/>
      <c r="AEI84" s="38"/>
      <c r="AEJ84" s="38"/>
      <c r="AEK84" s="38"/>
      <c r="AEL84" s="38"/>
      <c r="AEM84" s="38"/>
      <c r="AEN84" s="38"/>
      <c r="AEO84" s="38"/>
      <c r="AEP84" s="38"/>
      <c r="AEQ84" s="38"/>
      <c r="AER84" s="38"/>
      <c r="AES84" s="38"/>
      <c r="AET84" s="38"/>
      <c r="AEU84" s="38"/>
      <c r="AEV84" s="38"/>
      <c r="AEW84" s="38"/>
      <c r="AEX84" s="38"/>
      <c r="AEY84" s="38"/>
      <c r="AEZ84" s="38"/>
      <c r="AFA84" s="38"/>
      <c r="AFB84" s="38"/>
      <c r="AFC84" s="38"/>
      <c r="AFD84" s="38"/>
      <c r="AFE84" s="38"/>
      <c r="AFF84" s="38"/>
      <c r="AFG84" s="38"/>
      <c r="AFH84" s="38"/>
      <c r="AFI84" s="38"/>
      <c r="AFJ84" s="38"/>
      <c r="AFK84" s="38"/>
      <c r="AFL84" s="38"/>
      <c r="AFM84" s="38"/>
      <c r="AFN84" s="38"/>
      <c r="AFO84" s="38"/>
      <c r="AFP84" s="38"/>
      <c r="AFQ84" s="38"/>
      <c r="AFR84" s="38"/>
      <c r="AFS84" s="38"/>
      <c r="AFT84" s="38"/>
      <c r="AFU84" s="38"/>
      <c r="AFV84" s="38"/>
      <c r="AFW84" s="38"/>
      <c r="AFX84" s="38"/>
      <c r="AFY84" s="38"/>
      <c r="AFZ84" s="38"/>
      <c r="AGA84" s="38"/>
      <c r="AGB84" s="38"/>
      <c r="AGC84" s="38"/>
      <c r="AGD84" s="38"/>
      <c r="AGE84" s="38"/>
      <c r="AGF84" s="38"/>
      <c r="AGG84" s="38"/>
      <c r="AGH84" s="38"/>
      <c r="AGI84" s="38"/>
      <c r="AGJ84" s="38"/>
      <c r="AGK84" s="38"/>
      <c r="AGL84" s="38"/>
      <c r="AGM84" s="38"/>
      <c r="AGN84" s="38"/>
      <c r="AGO84" s="38"/>
      <c r="AGP84" s="38"/>
      <c r="AGQ84" s="38"/>
      <c r="AGR84" s="38"/>
      <c r="AGS84" s="38"/>
      <c r="AGT84" s="38"/>
      <c r="AGU84" s="38"/>
      <c r="AGV84" s="38"/>
      <c r="AGW84" s="38"/>
      <c r="AGX84" s="38"/>
      <c r="AGY84" s="38"/>
      <c r="AGZ84" s="38"/>
      <c r="AHA84" s="38"/>
      <c r="AHB84" s="38"/>
      <c r="AHC84" s="38"/>
      <c r="AHD84" s="38"/>
      <c r="AHE84" s="38"/>
      <c r="AHF84" s="38"/>
      <c r="AHG84" s="38"/>
      <c r="AHH84" s="38"/>
      <c r="AHI84" s="38"/>
      <c r="AHJ84" s="38"/>
      <c r="AHK84" s="38"/>
      <c r="AHL84" s="38"/>
      <c r="AHM84" s="38"/>
      <c r="AHN84" s="38"/>
      <c r="AHO84" s="38"/>
      <c r="AHP84" s="38"/>
      <c r="AHQ84" s="38"/>
      <c r="AHR84" s="38"/>
      <c r="AHS84" s="38"/>
      <c r="AHT84" s="38"/>
      <c r="AHU84" s="38"/>
      <c r="AHV84" s="38"/>
    </row>
    <row r="85" spans="1:906" s="27" customFormat="1" x14ac:dyDescent="0.35">
      <c r="A85" s="83">
        <v>80</v>
      </c>
      <c r="B85" s="108" t="s">
        <v>136</v>
      </c>
      <c r="C85" s="109" t="s">
        <v>137</v>
      </c>
      <c r="D85" s="109" t="s">
        <v>138</v>
      </c>
      <c r="E85" s="125">
        <v>15.15</v>
      </c>
      <c r="F85" s="125"/>
      <c r="G85" s="125">
        <v>13.5</v>
      </c>
      <c r="H85" s="125">
        <v>17.25</v>
      </c>
      <c r="I85" s="37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  <c r="EB85" s="38"/>
      <c r="EC85" s="38"/>
      <c r="ED85" s="38"/>
      <c r="EE85" s="38"/>
      <c r="EF85" s="38"/>
      <c r="EG85" s="38"/>
      <c r="EH85" s="38"/>
      <c r="EI85" s="38"/>
      <c r="EJ85" s="38"/>
      <c r="EK85" s="38"/>
      <c r="EL85" s="38"/>
      <c r="EM85" s="38"/>
      <c r="EN85" s="38"/>
      <c r="EO85" s="38"/>
      <c r="EP85" s="38"/>
      <c r="EQ85" s="38"/>
      <c r="ER85" s="38"/>
      <c r="ES85" s="38"/>
      <c r="ET85" s="38"/>
      <c r="EU85" s="38"/>
      <c r="EV85" s="38"/>
      <c r="EW85" s="38"/>
      <c r="EX85" s="38"/>
      <c r="EY85" s="38"/>
      <c r="EZ85" s="38"/>
      <c r="FA85" s="38"/>
      <c r="FB85" s="38"/>
      <c r="FC85" s="38"/>
      <c r="FD85" s="38"/>
      <c r="FE85" s="38"/>
      <c r="FF85" s="38"/>
      <c r="FG85" s="38"/>
      <c r="FH85" s="38"/>
      <c r="FI85" s="38"/>
      <c r="FJ85" s="38"/>
      <c r="FK85" s="38"/>
      <c r="FL85" s="38"/>
      <c r="FM85" s="38"/>
      <c r="FN85" s="38"/>
      <c r="FO85" s="38"/>
      <c r="FP85" s="38"/>
      <c r="FQ85" s="38"/>
      <c r="FR85" s="38"/>
      <c r="FS85" s="38"/>
      <c r="FT85" s="38"/>
      <c r="FU85" s="38"/>
      <c r="FV85" s="38"/>
      <c r="FW85" s="38"/>
      <c r="FX85" s="38"/>
      <c r="FY85" s="38"/>
      <c r="FZ85" s="38"/>
      <c r="GA85" s="38"/>
      <c r="GB85" s="38"/>
      <c r="GC85" s="38"/>
      <c r="GD85" s="38"/>
      <c r="GE85" s="38"/>
      <c r="GF85" s="38"/>
      <c r="GG85" s="38"/>
      <c r="GH85" s="38"/>
      <c r="GI85" s="38"/>
      <c r="GJ85" s="38"/>
      <c r="GK85" s="38"/>
      <c r="GL85" s="38"/>
      <c r="GM85" s="38"/>
      <c r="GN85" s="38"/>
      <c r="GO85" s="38"/>
      <c r="GP85" s="38"/>
      <c r="GQ85" s="38"/>
      <c r="GR85" s="38"/>
      <c r="GS85" s="38"/>
      <c r="GT85" s="38"/>
      <c r="GU85" s="38"/>
      <c r="GV85" s="38"/>
      <c r="GW85" s="38"/>
      <c r="GX85" s="38"/>
      <c r="GY85" s="38"/>
      <c r="GZ85" s="38"/>
      <c r="HA85" s="38"/>
      <c r="HB85" s="38"/>
      <c r="HC85" s="38"/>
      <c r="HD85" s="38"/>
      <c r="HE85" s="38"/>
      <c r="HF85" s="38"/>
      <c r="HG85" s="38"/>
      <c r="HH85" s="38"/>
      <c r="HI85" s="38"/>
      <c r="HJ85" s="38"/>
      <c r="HK85" s="38"/>
      <c r="HL85" s="38"/>
      <c r="HM85" s="38"/>
      <c r="HN85" s="38"/>
      <c r="HO85" s="38"/>
      <c r="HP85" s="38"/>
      <c r="HQ85" s="38"/>
      <c r="HR85" s="38"/>
      <c r="HS85" s="38"/>
      <c r="HT85" s="38"/>
      <c r="HU85" s="38"/>
      <c r="HV85" s="38"/>
      <c r="HW85" s="38"/>
      <c r="HX85" s="38"/>
      <c r="HY85" s="38"/>
      <c r="HZ85" s="38"/>
      <c r="IA85" s="38"/>
      <c r="IB85" s="38"/>
      <c r="IC85" s="38"/>
      <c r="ID85" s="38"/>
      <c r="IE85" s="38"/>
      <c r="IF85" s="38"/>
      <c r="IG85" s="38"/>
      <c r="IH85" s="38"/>
      <c r="II85" s="38"/>
      <c r="IJ85" s="38"/>
      <c r="IK85" s="38"/>
      <c r="IL85" s="38"/>
      <c r="IM85" s="38"/>
      <c r="IN85" s="38"/>
      <c r="IO85" s="38"/>
      <c r="IP85" s="38"/>
      <c r="IQ85" s="38"/>
      <c r="IR85" s="38"/>
      <c r="IS85" s="38"/>
      <c r="IT85" s="38"/>
      <c r="IU85" s="38"/>
      <c r="IV85" s="38"/>
      <c r="IW85" s="38"/>
      <c r="IX85" s="38"/>
      <c r="IY85" s="38"/>
      <c r="IZ85" s="38"/>
      <c r="JA85" s="38"/>
      <c r="JB85" s="38"/>
      <c r="JC85" s="38"/>
      <c r="JD85" s="38"/>
      <c r="JE85" s="38"/>
      <c r="JF85" s="38"/>
      <c r="JG85" s="38"/>
      <c r="JH85" s="38"/>
      <c r="JI85" s="38"/>
      <c r="JJ85" s="38"/>
      <c r="JK85" s="38"/>
      <c r="JL85" s="38"/>
      <c r="JM85" s="38"/>
      <c r="JN85" s="38"/>
      <c r="JO85" s="38"/>
      <c r="JP85" s="38"/>
      <c r="JQ85" s="38"/>
      <c r="JR85" s="38"/>
      <c r="JS85" s="38"/>
      <c r="JT85" s="38"/>
      <c r="JU85" s="38"/>
      <c r="JV85" s="38"/>
      <c r="JW85" s="38"/>
      <c r="JX85" s="38"/>
      <c r="JY85" s="38"/>
      <c r="JZ85" s="38"/>
      <c r="KA85" s="38"/>
      <c r="KB85" s="38"/>
      <c r="KC85" s="38"/>
      <c r="KD85" s="38"/>
      <c r="KE85" s="38"/>
      <c r="KF85" s="38"/>
      <c r="KG85" s="38"/>
      <c r="KH85" s="38"/>
      <c r="KI85" s="38"/>
      <c r="KJ85" s="38"/>
      <c r="KK85" s="38"/>
      <c r="KL85" s="38"/>
      <c r="KM85" s="38"/>
      <c r="KN85" s="38"/>
      <c r="KO85" s="38"/>
      <c r="KP85" s="38"/>
      <c r="KQ85" s="38"/>
      <c r="KR85" s="38"/>
      <c r="KS85" s="38"/>
      <c r="KT85" s="38"/>
      <c r="KU85" s="38"/>
      <c r="KV85" s="38"/>
      <c r="KW85" s="38"/>
      <c r="KX85" s="38"/>
      <c r="KY85" s="38"/>
      <c r="KZ85" s="38"/>
      <c r="LA85" s="38"/>
      <c r="LB85" s="38"/>
      <c r="LC85" s="38"/>
      <c r="LD85" s="38"/>
      <c r="LE85" s="38"/>
      <c r="LF85" s="38"/>
      <c r="LG85" s="38"/>
      <c r="LH85" s="38"/>
      <c r="LI85" s="38"/>
      <c r="LJ85" s="38"/>
      <c r="LK85" s="38"/>
      <c r="LL85" s="38"/>
      <c r="LM85" s="38"/>
      <c r="LN85" s="38"/>
      <c r="LO85" s="38"/>
      <c r="LP85" s="38"/>
      <c r="LQ85" s="38"/>
      <c r="LR85" s="38"/>
      <c r="LS85" s="38"/>
      <c r="LT85" s="38"/>
      <c r="LU85" s="38"/>
      <c r="LV85" s="38"/>
      <c r="LW85" s="38"/>
      <c r="LX85" s="38"/>
      <c r="LY85" s="38"/>
      <c r="LZ85" s="38"/>
      <c r="MA85" s="38"/>
      <c r="MB85" s="38"/>
      <c r="MC85" s="38"/>
      <c r="MD85" s="38"/>
      <c r="ME85" s="38"/>
      <c r="MF85" s="38"/>
      <c r="MG85" s="38"/>
      <c r="MH85" s="38"/>
      <c r="MI85" s="38"/>
      <c r="MJ85" s="38"/>
      <c r="MK85" s="38"/>
      <c r="ML85" s="38"/>
      <c r="MM85" s="38"/>
      <c r="MN85" s="38"/>
      <c r="MO85" s="38"/>
      <c r="MP85" s="38"/>
      <c r="MQ85" s="38"/>
      <c r="MR85" s="38"/>
      <c r="MS85" s="38"/>
      <c r="MT85" s="38"/>
      <c r="MU85" s="38"/>
      <c r="MV85" s="38"/>
      <c r="MW85" s="38"/>
      <c r="MX85" s="38"/>
      <c r="MY85" s="38"/>
      <c r="MZ85" s="38"/>
      <c r="NA85" s="38"/>
      <c r="NB85" s="38"/>
      <c r="NC85" s="38"/>
      <c r="ND85" s="38"/>
      <c r="NE85" s="38"/>
      <c r="NF85" s="38"/>
      <c r="NG85" s="38"/>
      <c r="NH85" s="38"/>
      <c r="NI85" s="38"/>
      <c r="NJ85" s="38"/>
      <c r="NK85" s="38"/>
      <c r="NL85" s="38"/>
      <c r="NM85" s="38"/>
      <c r="NN85" s="38"/>
      <c r="NO85" s="38"/>
      <c r="NP85" s="38"/>
      <c r="NQ85" s="38"/>
      <c r="NR85" s="38"/>
      <c r="NS85" s="38"/>
      <c r="NT85" s="38"/>
      <c r="NU85" s="38"/>
      <c r="NV85" s="38"/>
      <c r="NW85" s="38"/>
      <c r="NX85" s="38"/>
      <c r="NY85" s="38"/>
      <c r="NZ85" s="38"/>
      <c r="OA85" s="38"/>
      <c r="OB85" s="38"/>
      <c r="OC85" s="38"/>
      <c r="OD85" s="38"/>
      <c r="OE85" s="38"/>
      <c r="OF85" s="38"/>
      <c r="OG85" s="38"/>
      <c r="OH85" s="38"/>
      <c r="OI85" s="38"/>
      <c r="OJ85" s="38"/>
      <c r="OK85" s="38"/>
      <c r="OL85" s="38"/>
      <c r="OM85" s="38"/>
      <c r="ON85" s="38"/>
      <c r="OO85" s="38"/>
      <c r="OP85" s="38"/>
      <c r="OQ85" s="38"/>
      <c r="OR85" s="38"/>
      <c r="OS85" s="38"/>
      <c r="OT85" s="38"/>
      <c r="OU85" s="38"/>
      <c r="OV85" s="38"/>
      <c r="OW85" s="38"/>
      <c r="OX85" s="38"/>
      <c r="OY85" s="38"/>
      <c r="OZ85" s="38"/>
      <c r="PA85" s="38"/>
      <c r="PB85" s="38"/>
      <c r="PC85" s="38"/>
      <c r="PD85" s="38"/>
      <c r="PE85" s="38"/>
      <c r="PF85" s="38"/>
      <c r="PG85" s="38"/>
      <c r="PH85" s="38"/>
      <c r="PI85" s="38"/>
      <c r="PJ85" s="38"/>
      <c r="PK85" s="38"/>
      <c r="PL85" s="38"/>
      <c r="PM85" s="38"/>
      <c r="PN85" s="38"/>
      <c r="PO85" s="38"/>
      <c r="PP85" s="38"/>
      <c r="PQ85" s="38"/>
      <c r="PR85" s="38"/>
      <c r="PS85" s="38"/>
      <c r="PT85" s="38"/>
      <c r="PU85" s="38"/>
      <c r="PV85" s="38"/>
      <c r="PW85" s="38"/>
      <c r="PX85" s="38"/>
      <c r="PY85" s="38"/>
      <c r="PZ85" s="38"/>
      <c r="QA85" s="38"/>
      <c r="QB85" s="38"/>
      <c r="QC85" s="38"/>
      <c r="QD85" s="38"/>
      <c r="QE85" s="38"/>
      <c r="QF85" s="38"/>
      <c r="QG85" s="38"/>
      <c r="QH85" s="38"/>
      <c r="QI85" s="38"/>
      <c r="QJ85" s="38"/>
      <c r="QK85" s="38"/>
      <c r="QL85" s="38"/>
      <c r="QM85" s="38"/>
      <c r="QN85" s="38"/>
      <c r="QO85" s="38"/>
      <c r="QP85" s="38"/>
      <c r="QQ85" s="38"/>
      <c r="QR85" s="38"/>
      <c r="QS85" s="38"/>
      <c r="QT85" s="38"/>
      <c r="QU85" s="38"/>
      <c r="QV85" s="38"/>
      <c r="QW85" s="38"/>
      <c r="QX85" s="38"/>
      <c r="QY85" s="38"/>
      <c r="QZ85" s="38"/>
      <c r="RA85" s="38"/>
      <c r="RB85" s="38"/>
      <c r="RC85" s="38"/>
      <c r="RD85" s="38"/>
      <c r="RE85" s="38"/>
      <c r="RF85" s="38"/>
      <c r="RG85" s="38"/>
      <c r="RH85" s="38"/>
      <c r="RI85" s="38"/>
      <c r="RJ85" s="38"/>
      <c r="RK85" s="38"/>
      <c r="RL85" s="38"/>
      <c r="RM85" s="38"/>
      <c r="RN85" s="38"/>
      <c r="RO85" s="38"/>
      <c r="RP85" s="38"/>
      <c r="RQ85" s="38"/>
      <c r="RR85" s="38"/>
      <c r="RS85" s="38"/>
      <c r="RT85" s="38"/>
      <c r="RU85" s="38"/>
      <c r="RV85" s="38"/>
      <c r="RW85" s="38"/>
      <c r="RX85" s="38"/>
      <c r="RY85" s="38"/>
      <c r="RZ85" s="38"/>
      <c r="SA85" s="38"/>
      <c r="SB85" s="38"/>
      <c r="SC85" s="38"/>
      <c r="SD85" s="38"/>
      <c r="SE85" s="38"/>
      <c r="SF85" s="38"/>
      <c r="SG85" s="38"/>
      <c r="SH85" s="38"/>
      <c r="SI85" s="38"/>
      <c r="SJ85" s="38"/>
      <c r="SK85" s="38"/>
      <c r="SL85" s="38"/>
      <c r="SM85" s="38"/>
      <c r="SN85" s="38"/>
      <c r="SO85" s="38"/>
      <c r="SP85" s="38"/>
      <c r="SQ85" s="38"/>
      <c r="SR85" s="38"/>
      <c r="SS85" s="38"/>
      <c r="ST85" s="38"/>
      <c r="SU85" s="38"/>
      <c r="SV85" s="38"/>
      <c r="SW85" s="38"/>
      <c r="SX85" s="38"/>
      <c r="SY85" s="38"/>
      <c r="SZ85" s="38"/>
      <c r="TA85" s="38"/>
      <c r="TB85" s="38"/>
      <c r="TC85" s="38"/>
      <c r="TD85" s="38"/>
      <c r="TE85" s="38"/>
      <c r="TF85" s="38"/>
      <c r="TG85" s="38"/>
      <c r="TH85" s="38"/>
      <c r="TI85" s="38"/>
      <c r="TJ85" s="38"/>
      <c r="TK85" s="38"/>
      <c r="TL85" s="38"/>
      <c r="TM85" s="38"/>
      <c r="TN85" s="38"/>
      <c r="TO85" s="38"/>
      <c r="TP85" s="38"/>
      <c r="TQ85" s="38"/>
      <c r="TR85" s="38"/>
      <c r="TS85" s="38"/>
      <c r="TT85" s="38"/>
      <c r="TU85" s="38"/>
      <c r="TV85" s="38"/>
      <c r="TW85" s="38"/>
      <c r="TX85" s="38"/>
      <c r="TY85" s="38"/>
      <c r="TZ85" s="38"/>
      <c r="UA85" s="38"/>
      <c r="UB85" s="38"/>
      <c r="UC85" s="38"/>
      <c r="UD85" s="38"/>
      <c r="UE85" s="38"/>
      <c r="UF85" s="38"/>
      <c r="UG85" s="38"/>
      <c r="UH85" s="38"/>
      <c r="UI85" s="38"/>
      <c r="UJ85" s="38"/>
      <c r="UK85" s="38"/>
      <c r="UL85" s="38"/>
      <c r="UM85" s="38"/>
      <c r="UN85" s="38"/>
      <c r="UO85" s="38"/>
      <c r="UP85" s="38"/>
      <c r="UQ85" s="38"/>
      <c r="UR85" s="38"/>
      <c r="US85" s="38"/>
      <c r="UT85" s="38"/>
      <c r="UU85" s="38"/>
      <c r="UV85" s="38"/>
      <c r="UW85" s="38"/>
      <c r="UX85" s="38"/>
      <c r="UY85" s="38"/>
      <c r="UZ85" s="38"/>
      <c r="VA85" s="38"/>
      <c r="VB85" s="38"/>
      <c r="VC85" s="38"/>
      <c r="VD85" s="38"/>
      <c r="VE85" s="38"/>
      <c r="VF85" s="38"/>
      <c r="VG85" s="38"/>
      <c r="VH85" s="38"/>
      <c r="VI85" s="38"/>
      <c r="VJ85" s="38"/>
      <c r="VK85" s="38"/>
      <c r="VL85" s="38"/>
      <c r="VM85" s="38"/>
      <c r="VN85" s="38"/>
      <c r="VO85" s="38"/>
      <c r="VP85" s="38"/>
      <c r="VQ85" s="38"/>
      <c r="VR85" s="38"/>
      <c r="VS85" s="38"/>
      <c r="VT85" s="38"/>
      <c r="VU85" s="38"/>
      <c r="VV85" s="38"/>
      <c r="VW85" s="38"/>
      <c r="VX85" s="38"/>
      <c r="VY85" s="38"/>
      <c r="VZ85" s="38"/>
      <c r="WA85" s="38"/>
      <c r="WB85" s="38"/>
      <c r="WC85" s="38"/>
      <c r="WD85" s="38"/>
      <c r="WE85" s="38"/>
      <c r="WF85" s="38"/>
      <c r="WG85" s="38"/>
      <c r="WH85" s="38"/>
      <c r="WI85" s="38"/>
      <c r="WJ85" s="38"/>
      <c r="WK85" s="38"/>
      <c r="WL85" s="38"/>
      <c r="WM85" s="38"/>
      <c r="WN85" s="38"/>
      <c r="WO85" s="38"/>
      <c r="WP85" s="38"/>
      <c r="WQ85" s="38"/>
      <c r="WR85" s="38"/>
      <c r="WS85" s="38"/>
      <c r="WT85" s="38"/>
      <c r="WU85" s="38"/>
      <c r="WV85" s="38"/>
      <c r="WW85" s="38"/>
      <c r="WX85" s="38"/>
      <c r="WY85" s="38"/>
      <c r="WZ85" s="38"/>
      <c r="XA85" s="38"/>
      <c r="XB85" s="38"/>
      <c r="XC85" s="38"/>
      <c r="XD85" s="38"/>
      <c r="XE85" s="38"/>
      <c r="XF85" s="38"/>
      <c r="XG85" s="38"/>
      <c r="XH85" s="38"/>
      <c r="XI85" s="38"/>
      <c r="XJ85" s="38"/>
      <c r="XK85" s="38"/>
      <c r="XL85" s="38"/>
      <c r="XM85" s="38"/>
      <c r="XN85" s="38"/>
      <c r="XO85" s="38"/>
      <c r="XP85" s="38"/>
      <c r="XQ85" s="38"/>
      <c r="XR85" s="38"/>
      <c r="XS85" s="38"/>
      <c r="XT85" s="38"/>
      <c r="XU85" s="38"/>
      <c r="XV85" s="38"/>
      <c r="XW85" s="38"/>
      <c r="XX85" s="38"/>
      <c r="XY85" s="38"/>
      <c r="XZ85" s="38"/>
      <c r="YA85" s="38"/>
      <c r="YB85" s="38"/>
      <c r="YC85" s="38"/>
      <c r="YD85" s="38"/>
      <c r="YE85" s="38"/>
      <c r="YF85" s="38"/>
      <c r="YG85" s="38"/>
      <c r="YH85" s="38"/>
      <c r="YI85" s="38"/>
      <c r="YJ85" s="38"/>
      <c r="YK85" s="38"/>
      <c r="YL85" s="38"/>
      <c r="YM85" s="38"/>
      <c r="YN85" s="38"/>
      <c r="YO85" s="38"/>
      <c r="YP85" s="38"/>
      <c r="YQ85" s="38"/>
      <c r="YR85" s="38"/>
      <c r="YS85" s="38"/>
      <c r="YT85" s="38"/>
      <c r="YU85" s="38"/>
      <c r="YV85" s="38"/>
      <c r="YW85" s="38"/>
      <c r="YX85" s="38"/>
      <c r="YY85" s="38"/>
      <c r="YZ85" s="38"/>
      <c r="ZA85" s="38"/>
      <c r="ZB85" s="38"/>
      <c r="ZC85" s="38"/>
      <c r="ZD85" s="38"/>
      <c r="ZE85" s="38"/>
      <c r="ZF85" s="38"/>
      <c r="ZG85" s="38"/>
      <c r="ZH85" s="38"/>
      <c r="ZI85" s="38"/>
      <c r="ZJ85" s="38"/>
      <c r="ZK85" s="38"/>
      <c r="ZL85" s="38"/>
      <c r="ZM85" s="38"/>
      <c r="ZN85" s="38"/>
      <c r="ZO85" s="38"/>
      <c r="ZP85" s="38"/>
      <c r="ZQ85" s="38"/>
      <c r="ZR85" s="38"/>
      <c r="ZS85" s="38"/>
      <c r="ZT85" s="38"/>
      <c r="ZU85" s="38"/>
      <c r="ZV85" s="38"/>
      <c r="ZW85" s="38"/>
      <c r="ZX85" s="38"/>
      <c r="ZY85" s="38"/>
      <c r="ZZ85" s="38"/>
      <c r="AAA85" s="38"/>
      <c r="AAB85" s="38"/>
      <c r="AAC85" s="38"/>
      <c r="AAD85" s="38"/>
      <c r="AAE85" s="38"/>
      <c r="AAF85" s="38"/>
      <c r="AAG85" s="38"/>
      <c r="AAH85" s="38"/>
      <c r="AAI85" s="38"/>
      <c r="AAJ85" s="38"/>
      <c r="AAK85" s="38"/>
      <c r="AAL85" s="38"/>
      <c r="AAM85" s="38"/>
      <c r="AAN85" s="38"/>
      <c r="AAO85" s="38"/>
      <c r="AAP85" s="38"/>
      <c r="AAQ85" s="38"/>
      <c r="AAR85" s="38"/>
      <c r="AAS85" s="38"/>
      <c r="AAT85" s="38"/>
      <c r="AAU85" s="38"/>
      <c r="AAV85" s="38"/>
      <c r="AAW85" s="38"/>
      <c r="AAX85" s="38"/>
      <c r="AAY85" s="38"/>
      <c r="AAZ85" s="38"/>
      <c r="ABA85" s="38"/>
      <c r="ABB85" s="38"/>
      <c r="ABC85" s="38"/>
      <c r="ABD85" s="38"/>
      <c r="ABE85" s="38"/>
      <c r="ABF85" s="38"/>
      <c r="ABG85" s="38"/>
      <c r="ABH85" s="38"/>
      <c r="ABI85" s="38"/>
      <c r="ABJ85" s="38"/>
      <c r="ABK85" s="38"/>
      <c r="ABL85" s="38"/>
      <c r="ABM85" s="38"/>
      <c r="ABN85" s="38"/>
      <c r="ABO85" s="38"/>
      <c r="ABP85" s="38"/>
      <c r="ABQ85" s="38"/>
      <c r="ABR85" s="38"/>
      <c r="ABS85" s="38"/>
      <c r="ABT85" s="38"/>
      <c r="ABU85" s="38"/>
      <c r="ABV85" s="38"/>
      <c r="ABW85" s="38"/>
      <c r="ABX85" s="38"/>
      <c r="ABY85" s="38"/>
      <c r="ABZ85" s="38"/>
      <c r="ACA85" s="38"/>
      <c r="ACB85" s="38"/>
      <c r="ACC85" s="38"/>
      <c r="ACD85" s="38"/>
      <c r="ACE85" s="38"/>
      <c r="ACF85" s="38"/>
      <c r="ACG85" s="38"/>
      <c r="ACH85" s="38"/>
      <c r="ACI85" s="38"/>
      <c r="ACJ85" s="38"/>
      <c r="ACK85" s="38"/>
      <c r="ACL85" s="38"/>
      <c r="ACM85" s="38"/>
      <c r="ACN85" s="38"/>
      <c r="ACO85" s="38"/>
      <c r="ACP85" s="38"/>
      <c r="ACQ85" s="38"/>
      <c r="ACR85" s="38"/>
      <c r="ACS85" s="38"/>
      <c r="ACT85" s="38"/>
      <c r="ACU85" s="38"/>
      <c r="ACV85" s="38"/>
      <c r="ACW85" s="38"/>
      <c r="ACX85" s="38"/>
      <c r="ACY85" s="38"/>
      <c r="ACZ85" s="38"/>
      <c r="ADA85" s="38"/>
      <c r="ADB85" s="38"/>
      <c r="ADC85" s="38"/>
      <c r="ADD85" s="38"/>
      <c r="ADE85" s="38"/>
      <c r="ADF85" s="38"/>
      <c r="ADG85" s="38"/>
      <c r="ADH85" s="38"/>
      <c r="ADI85" s="38"/>
      <c r="ADJ85" s="38"/>
      <c r="ADK85" s="38"/>
      <c r="ADL85" s="38"/>
      <c r="ADM85" s="38"/>
      <c r="ADN85" s="38"/>
      <c r="ADO85" s="38"/>
      <c r="ADP85" s="38"/>
      <c r="ADQ85" s="38"/>
      <c r="ADR85" s="38"/>
      <c r="ADS85" s="38"/>
      <c r="ADT85" s="38"/>
      <c r="ADU85" s="38"/>
      <c r="ADV85" s="38"/>
      <c r="ADW85" s="38"/>
      <c r="ADX85" s="38"/>
      <c r="ADY85" s="38"/>
      <c r="ADZ85" s="38"/>
      <c r="AEA85" s="38"/>
      <c r="AEB85" s="38"/>
      <c r="AEC85" s="38"/>
      <c r="AED85" s="38"/>
      <c r="AEE85" s="38"/>
      <c r="AEF85" s="38"/>
      <c r="AEG85" s="38"/>
      <c r="AEH85" s="38"/>
      <c r="AEI85" s="38"/>
      <c r="AEJ85" s="38"/>
      <c r="AEK85" s="38"/>
      <c r="AEL85" s="38"/>
      <c r="AEM85" s="38"/>
      <c r="AEN85" s="38"/>
      <c r="AEO85" s="38"/>
      <c r="AEP85" s="38"/>
      <c r="AEQ85" s="38"/>
      <c r="AER85" s="38"/>
      <c r="AES85" s="38"/>
      <c r="AET85" s="38"/>
      <c r="AEU85" s="38"/>
      <c r="AEV85" s="38"/>
      <c r="AEW85" s="38"/>
      <c r="AEX85" s="38"/>
      <c r="AEY85" s="38"/>
      <c r="AEZ85" s="38"/>
      <c r="AFA85" s="38"/>
      <c r="AFB85" s="38"/>
      <c r="AFC85" s="38"/>
      <c r="AFD85" s="38"/>
      <c r="AFE85" s="38"/>
      <c r="AFF85" s="38"/>
      <c r="AFG85" s="38"/>
      <c r="AFH85" s="38"/>
      <c r="AFI85" s="38"/>
      <c r="AFJ85" s="38"/>
      <c r="AFK85" s="38"/>
      <c r="AFL85" s="38"/>
      <c r="AFM85" s="38"/>
      <c r="AFN85" s="38"/>
      <c r="AFO85" s="38"/>
      <c r="AFP85" s="38"/>
      <c r="AFQ85" s="38"/>
      <c r="AFR85" s="38"/>
      <c r="AFS85" s="38"/>
      <c r="AFT85" s="38"/>
      <c r="AFU85" s="38"/>
      <c r="AFV85" s="38"/>
      <c r="AFW85" s="38"/>
      <c r="AFX85" s="38"/>
      <c r="AFY85" s="38"/>
      <c r="AFZ85" s="38"/>
      <c r="AGA85" s="38"/>
      <c r="AGB85" s="38"/>
      <c r="AGC85" s="38"/>
      <c r="AGD85" s="38"/>
      <c r="AGE85" s="38"/>
      <c r="AGF85" s="38"/>
      <c r="AGG85" s="38"/>
      <c r="AGH85" s="38"/>
      <c r="AGI85" s="38"/>
      <c r="AGJ85" s="38"/>
      <c r="AGK85" s="38"/>
      <c r="AGL85" s="38"/>
      <c r="AGM85" s="38"/>
      <c r="AGN85" s="38"/>
      <c r="AGO85" s="38"/>
      <c r="AGP85" s="38"/>
      <c r="AGQ85" s="38"/>
      <c r="AGR85" s="38"/>
      <c r="AGS85" s="38"/>
      <c r="AGT85" s="38"/>
      <c r="AGU85" s="38"/>
      <c r="AGV85" s="38"/>
      <c r="AGW85" s="38"/>
      <c r="AGX85" s="38"/>
      <c r="AGY85" s="38"/>
      <c r="AGZ85" s="38"/>
      <c r="AHA85" s="38"/>
      <c r="AHB85" s="38"/>
      <c r="AHC85" s="38"/>
      <c r="AHD85" s="38"/>
      <c r="AHE85" s="38"/>
      <c r="AHF85" s="38"/>
      <c r="AHG85" s="38"/>
      <c r="AHH85" s="38"/>
      <c r="AHI85" s="38"/>
      <c r="AHJ85" s="38"/>
      <c r="AHK85" s="38"/>
      <c r="AHL85" s="38"/>
      <c r="AHM85" s="38"/>
      <c r="AHN85" s="38"/>
      <c r="AHO85" s="38"/>
      <c r="AHP85" s="38"/>
      <c r="AHQ85" s="38"/>
      <c r="AHR85" s="38"/>
      <c r="AHS85" s="38"/>
      <c r="AHT85" s="38"/>
      <c r="AHU85" s="38"/>
      <c r="AHV85" s="38"/>
    </row>
    <row r="86" spans="1:906" s="27" customFormat="1" x14ac:dyDescent="0.35">
      <c r="A86" s="83">
        <v>81</v>
      </c>
      <c r="B86" s="108" t="s">
        <v>139</v>
      </c>
      <c r="C86" s="109" t="s">
        <v>140</v>
      </c>
      <c r="D86" s="109" t="s">
        <v>141</v>
      </c>
      <c r="E86" s="125">
        <v>17.2</v>
      </c>
      <c r="F86" s="125">
        <v>14.95</v>
      </c>
      <c r="G86" s="125">
        <v>15.95</v>
      </c>
      <c r="H86" s="125">
        <v>17.25</v>
      </c>
      <c r="I86" s="37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/>
      <c r="SD86" s="38"/>
      <c r="SE86" s="38"/>
      <c r="SF86" s="38"/>
      <c r="SG86" s="38"/>
      <c r="SH86" s="38"/>
      <c r="SI86" s="38"/>
      <c r="SJ86" s="38"/>
      <c r="SK86" s="38"/>
      <c r="SL86" s="38"/>
      <c r="SM86" s="38"/>
      <c r="SN86" s="38"/>
      <c r="SO86" s="38"/>
      <c r="SP86" s="38"/>
      <c r="SQ86" s="38"/>
      <c r="SR86" s="38"/>
      <c r="SS86" s="38"/>
      <c r="ST86" s="38"/>
      <c r="SU86" s="38"/>
      <c r="SV86" s="38"/>
      <c r="SW86" s="38"/>
      <c r="SX86" s="38"/>
      <c r="SY86" s="38"/>
      <c r="SZ86" s="38"/>
      <c r="TA86" s="38"/>
      <c r="TB86" s="38"/>
      <c r="TC86" s="38"/>
      <c r="TD86" s="38"/>
      <c r="TE86" s="38"/>
      <c r="TF86" s="38"/>
      <c r="TG86" s="38"/>
      <c r="TH86" s="38"/>
      <c r="TI86" s="38"/>
      <c r="TJ86" s="38"/>
      <c r="TK86" s="38"/>
      <c r="TL86" s="38"/>
      <c r="TM86" s="38"/>
      <c r="TN86" s="38"/>
      <c r="TO86" s="38"/>
      <c r="TP86" s="38"/>
      <c r="TQ86" s="38"/>
      <c r="TR86" s="38"/>
      <c r="TS86" s="38"/>
      <c r="TT86" s="38"/>
      <c r="TU86" s="38"/>
      <c r="TV86" s="38"/>
      <c r="TW86" s="38"/>
      <c r="TX86" s="38"/>
      <c r="TY86" s="38"/>
      <c r="TZ86" s="38"/>
      <c r="UA86" s="38"/>
      <c r="UB86" s="38"/>
      <c r="UC86" s="38"/>
      <c r="UD86" s="38"/>
      <c r="UE86" s="38"/>
      <c r="UF86" s="38"/>
      <c r="UG86" s="38"/>
      <c r="UH86" s="38"/>
      <c r="UI86" s="38"/>
      <c r="UJ86" s="38"/>
      <c r="UK86" s="38"/>
      <c r="UL86" s="38"/>
      <c r="UM86" s="38"/>
      <c r="UN86" s="38"/>
      <c r="UO86" s="38"/>
      <c r="UP86" s="38"/>
      <c r="UQ86" s="38"/>
      <c r="UR86" s="38"/>
      <c r="US86" s="38"/>
      <c r="UT86" s="38"/>
      <c r="UU86" s="38"/>
      <c r="UV86" s="38"/>
      <c r="UW86" s="38"/>
      <c r="UX86" s="38"/>
      <c r="UY86" s="38"/>
      <c r="UZ86" s="38"/>
      <c r="VA86" s="38"/>
      <c r="VB86" s="38"/>
      <c r="VC86" s="38"/>
      <c r="VD86" s="38"/>
      <c r="VE86" s="38"/>
      <c r="VF86" s="38"/>
      <c r="VG86" s="38"/>
      <c r="VH86" s="38"/>
      <c r="VI86" s="38"/>
      <c r="VJ86" s="38"/>
      <c r="VK86" s="38"/>
      <c r="VL86" s="38"/>
      <c r="VM86" s="38"/>
      <c r="VN86" s="38"/>
      <c r="VO86" s="38"/>
      <c r="VP86" s="38"/>
      <c r="VQ86" s="38"/>
      <c r="VR86" s="38"/>
      <c r="VS86" s="38"/>
      <c r="VT86" s="38"/>
      <c r="VU86" s="38"/>
      <c r="VV86" s="38"/>
      <c r="VW86" s="38"/>
      <c r="VX86" s="38"/>
      <c r="VY86" s="38"/>
      <c r="VZ86" s="38"/>
      <c r="WA86" s="38"/>
      <c r="WB86" s="38"/>
      <c r="WC86" s="38"/>
      <c r="WD86" s="38"/>
      <c r="WE86" s="38"/>
      <c r="WF86" s="38"/>
      <c r="WG86" s="38"/>
      <c r="WH86" s="38"/>
      <c r="WI86" s="38"/>
      <c r="WJ86" s="38"/>
      <c r="WK86" s="38"/>
      <c r="WL86" s="38"/>
      <c r="WM86" s="38"/>
      <c r="WN86" s="38"/>
      <c r="WO86" s="38"/>
      <c r="WP86" s="38"/>
      <c r="WQ86" s="38"/>
      <c r="WR86" s="38"/>
      <c r="WS86" s="38"/>
      <c r="WT86" s="38"/>
      <c r="WU86" s="38"/>
      <c r="WV86" s="38"/>
      <c r="WW86" s="38"/>
      <c r="WX86" s="38"/>
      <c r="WY86" s="38"/>
      <c r="WZ86" s="38"/>
      <c r="XA86" s="38"/>
      <c r="XB86" s="38"/>
      <c r="XC86" s="38"/>
      <c r="XD86" s="38"/>
      <c r="XE86" s="38"/>
      <c r="XF86" s="38"/>
      <c r="XG86" s="38"/>
      <c r="XH86" s="38"/>
      <c r="XI86" s="38"/>
      <c r="XJ86" s="38"/>
      <c r="XK86" s="38"/>
      <c r="XL86" s="38"/>
      <c r="XM86" s="38"/>
      <c r="XN86" s="38"/>
      <c r="XO86" s="38"/>
      <c r="XP86" s="38"/>
      <c r="XQ86" s="38"/>
      <c r="XR86" s="38"/>
      <c r="XS86" s="38"/>
      <c r="XT86" s="38"/>
      <c r="XU86" s="38"/>
      <c r="XV86" s="38"/>
      <c r="XW86" s="38"/>
      <c r="XX86" s="38"/>
      <c r="XY86" s="38"/>
      <c r="XZ86" s="38"/>
      <c r="YA86" s="38"/>
      <c r="YB86" s="38"/>
      <c r="YC86" s="38"/>
      <c r="YD86" s="38"/>
      <c r="YE86" s="38"/>
      <c r="YF86" s="38"/>
      <c r="YG86" s="38"/>
      <c r="YH86" s="38"/>
      <c r="YI86" s="38"/>
      <c r="YJ86" s="38"/>
      <c r="YK86" s="38"/>
      <c r="YL86" s="38"/>
      <c r="YM86" s="38"/>
      <c r="YN86" s="38"/>
      <c r="YO86" s="38"/>
      <c r="YP86" s="38"/>
      <c r="YQ86" s="38"/>
      <c r="YR86" s="38"/>
      <c r="YS86" s="38"/>
      <c r="YT86" s="38"/>
      <c r="YU86" s="38"/>
      <c r="YV86" s="38"/>
      <c r="YW86" s="38"/>
      <c r="YX86" s="38"/>
      <c r="YY86" s="38"/>
      <c r="YZ86" s="38"/>
      <c r="ZA86" s="38"/>
      <c r="ZB86" s="38"/>
      <c r="ZC86" s="38"/>
      <c r="ZD86" s="38"/>
      <c r="ZE86" s="38"/>
      <c r="ZF86" s="38"/>
      <c r="ZG86" s="38"/>
      <c r="ZH86" s="38"/>
      <c r="ZI86" s="38"/>
      <c r="ZJ86" s="38"/>
      <c r="ZK86" s="38"/>
      <c r="ZL86" s="38"/>
      <c r="ZM86" s="38"/>
      <c r="ZN86" s="38"/>
      <c r="ZO86" s="38"/>
      <c r="ZP86" s="38"/>
      <c r="ZQ86" s="38"/>
      <c r="ZR86" s="38"/>
      <c r="ZS86" s="38"/>
      <c r="ZT86" s="38"/>
      <c r="ZU86" s="38"/>
      <c r="ZV86" s="38"/>
      <c r="ZW86" s="38"/>
      <c r="ZX86" s="38"/>
      <c r="ZY86" s="38"/>
      <c r="ZZ86" s="38"/>
      <c r="AAA86" s="38"/>
      <c r="AAB86" s="38"/>
      <c r="AAC86" s="38"/>
      <c r="AAD86" s="38"/>
      <c r="AAE86" s="38"/>
      <c r="AAF86" s="38"/>
      <c r="AAG86" s="38"/>
      <c r="AAH86" s="38"/>
      <c r="AAI86" s="38"/>
      <c r="AAJ86" s="38"/>
      <c r="AAK86" s="38"/>
      <c r="AAL86" s="38"/>
      <c r="AAM86" s="38"/>
      <c r="AAN86" s="38"/>
      <c r="AAO86" s="38"/>
      <c r="AAP86" s="38"/>
      <c r="AAQ86" s="38"/>
      <c r="AAR86" s="38"/>
      <c r="AAS86" s="38"/>
      <c r="AAT86" s="38"/>
      <c r="AAU86" s="38"/>
      <c r="AAV86" s="38"/>
      <c r="AAW86" s="38"/>
      <c r="AAX86" s="38"/>
      <c r="AAY86" s="38"/>
      <c r="AAZ86" s="38"/>
      <c r="ABA86" s="38"/>
      <c r="ABB86" s="38"/>
      <c r="ABC86" s="38"/>
      <c r="ABD86" s="38"/>
      <c r="ABE86" s="38"/>
      <c r="ABF86" s="38"/>
      <c r="ABG86" s="38"/>
      <c r="ABH86" s="38"/>
      <c r="ABI86" s="38"/>
      <c r="ABJ86" s="38"/>
      <c r="ABK86" s="38"/>
      <c r="ABL86" s="38"/>
      <c r="ABM86" s="38"/>
      <c r="ABN86" s="38"/>
      <c r="ABO86" s="38"/>
      <c r="ABP86" s="38"/>
      <c r="ABQ86" s="38"/>
      <c r="ABR86" s="38"/>
      <c r="ABS86" s="38"/>
      <c r="ABT86" s="38"/>
      <c r="ABU86" s="38"/>
      <c r="ABV86" s="38"/>
      <c r="ABW86" s="38"/>
      <c r="ABX86" s="38"/>
      <c r="ABY86" s="38"/>
      <c r="ABZ86" s="38"/>
      <c r="ACA86" s="38"/>
      <c r="ACB86" s="38"/>
      <c r="ACC86" s="38"/>
      <c r="ACD86" s="38"/>
      <c r="ACE86" s="38"/>
      <c r="ACF86" s="38"/>
      <c r="ACG86" s="38"/>
      <c r="ACH86" s="38"/>
      <c r="ACI86" s="38"/>
      <c r="ACJ86" s="38"/>
      <c r="ACK86" s="38"/>
      <c r="ACL86" s="38"/>
      <c r="ACM86" s="38"/>
      <c r="ACN86" s="38"/>
      <c r="ACO86" s="38"/>
      <c r="ACP86" s="38"/>
      <c r="ACQ86" s="38"/>
      <c r="ACR86" s="38"/>
      <c r="ACS86" s="38"/>
      <c r="ACT86" s="38"/>
      <c r="ACU86" s="38"/>
      <c r="ACV86" s="38"/>
      <c r="ACW86" s="38"/>
      <c r="ACX86" s="38"/>
      <c r="ACY86" s="38"/>
      <c r="ACZ86" s="38"/>
      <c r="ADA86" s="38"/>
      <c r="ADB86" s="38"/>
      <c r="ADC86" s="38"/>
      <c r="ADD86" s="38"/>
      <c r="ADE86" s="38"/>
      <c r="ADF86" s="38"/>
      <c r="ADG86" s="38"/>
      <c r="ADH86" s="38"/>
      <c r="ADI86" s="38"/>
      <c r="ADJ86" s="38"/>
      <c r="ADK86" s="38"/>
      <c r="ADL86" s="38"/>
      <c r="ADM86" s="38"/>
      <c r="ADN86" s="38"/>
      <c r="ADO86" s="38"/>
      <c r="ADP86" s="38"/>
      <c r="ADQ86" s="38"/>
      <c r="ADR86" s="38"/>
      <c r="ADS86" s="38"/>
      <c r="ADT86" s="38"/>
      <c r="ADU86" s="38"/>
      <c r="ADV86" s="38"/>
      <c r="ADW86" s="38"/>
      <c r="ADX86" s="38"/>
      <c r="ADY86" s="38"/>
      <c r="ADZ86" s="38"/>
      <c r="AEA86" s="38"/>
      <c r="AEB86" s="38"/>
      <c r="AEC86" s="38"/>
      <c r="AED86" s="38"/>
      <c r="AEE86" s="38"/>
      <c r="AEF86" s="38"/>
      <c r="AEG86" s="38"/>
      <c r="AEH86" s="38"/>
      <c r="AEI86" s="38"/>
      <c r="AEJ86" s="38"/>
      <c r="AEK86" s="38"/>
      <c r="AEL86" s="38"/>
      <c r="AEM86" s="38"/>
      <c r="AEN86" s="38"/>
      <c r="AEO86" s="38"/>
      <c r="AEP86" s="38"/>
      <c r="AEQ86" s="38"/>
      <c r="AER86" s="38"/>
      <c r="AES86" s="38"/>
      <c r="AET86" s="38"/>
      <c r="AEU86" s="38"/>
      <c r="AEV86" s="38"/>
      <c r="AEW86" s="38"/>
      <c r="AEX86" s="38"/>
      <c r="AEY86" s="38"/>
      <c r="AEZ86" s="38"/>
      <c r="AFA86" s="38"/>
      <c r="AFB86" s="38"/>
      <c r="AFC86" s="38"/>
      <c r="AFD86" s="38"/>
      <c r="AFE86" s="38"/>
      <c r="AFF86" s="38"/>
      <c r="AFG86" s="38"/>
      <c r="AFH86" s="38"/>
      <c r="AFI86" s="38"/>
      <c r="AFJ86" s="38"/>
      <c r="AFK86" s="38"/>
      <c r="AFL86" s="38"/>
      <c r="AFM86" s="38"/>
      <c r="AFN86" s="38"/>
      <c r="AFO86" s="38"/>
      <c r="AFP86" s="38"/>
      <c r="AFQ86" s="38"/>
      <c r="AFR86" s="38"/>
      <c r="AFS86" s="38"/>
      <c r="AFT86" s="38"/>
      <c r="AFU86" s="38"/>
      <c r="AFV86" s="38"/>
      <c r="AFW86" s="38"/>
      <c r="AFX86" s="38"/>
      <c r="AFY86" s="38"/>
      <c r="AFZ86" s="38"/>
      <c r="AGA86" s="38"/>
      <c r="AGB86" s="38"/>
      <c r="AGC86" s="38"/>
      <c r="AGD86" s="38"/>
      <c r="AGE86" s="38"/>
      <c r="AGF86" s="38"/>
      <c r="AGG86" s="38"/>
      <c r="AGH86" s="38"/>
      <c r="AGI86" s="38"/>
      <c r="AGJ86" s="38"/>
      <c r="AGK86" s="38"/>
      <c r="AGL86" s="38"/>
      <c r="AGM86" s="38"/>
      <c r="AGN86" s="38"/>
      <c r="AGO86" s="38"/>
      <c r="AGP86" s="38"/>
      <c r="AGQ86" s="38"/>
      <c r="AGR86" s="38"/>
      <c r="AGS86" s="38"/>
      <c r="AGT86" s="38"/>
      <c r="AGU86" s="38"/>
      <c r="AGV86" s="38"/>
      <c r="AGW86" s="38"/>
      <c r="AGX86" s="38"/>
      <c r="AGY86" s="38"/>
      <c r="AGZ86" s="38"/>
      <c r="AHA86" s="38"/>
      <c r="AHB86" s="38"/>
      <c r="AHC86" s="38"/>
      <c r="AHD86" s="38"/>
      <c r="AHE86" s="38"/>
      <c r="AHF86" s="38"/>
      <c r="AHG86" s="38"/>
      <c r="AHH86" s="38"/>
      <c r="AHI86" s="38"/>
      <c r="AHJ86" s="38"/>
      <c r="AHK86" s="38"/>
      <c r="AHL86" s="38"/>
      <c r="AHM86" s="38"/>
      <c r="AHN86" s="38"/>
      <c r="AHO86" s="38"/>
      <c r="AHP86" s="38"/>
      <c r="AHQ86" s="38"/>
      <c r="AHR86" s="38"/>
      <c r="AHS86" s="38"/>
      <c r="AHT86" s="38"/>
      <c r="AHU86" s="38"/>
      <c r="AHV86" s="38"/>
    </row>
    <row r="87" spans="1:906" s="27" customFormat="1" x14ac:dyDescent="0.35">
      <c r="A87" s="83">
        <v>82</v>
      </c>
      <c r="B87" s="108" t="s">
        <v>142</v>
      </c>
      <c r="C87" s="109" t="s">
        <v>143</v>
      </c>
      <c r="D87" s="109" t="s">
        <v>144</v>
      </c>
      <c r="E87" s="125">
        <v>25.5</v>
      </c>
      <c r="F87" s="142">
        <v>19</v>
      </c>
      <c r="G87" s="125">
        <v>22.95</v>
      </c>
      <c r="H87" s="125">
        <v>24</v>
      </c>
      <c r="I87" s="37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8"/>
      <c r="CH87" s="38"/>
      <c r="CI87" s="38"/>
      <c r="CJ87" s="38"/>
      <c r="CK87" s="38"/>
      <c r="CL87" s="38"/>
      <c r="CM87" s="38"/>
      <c r="CN87" s="38"/>
      <c r="CO87" s="38"/>
      <c r="CP87" s="38"/>
      <c r="CQ87" s="38"/>
      <c r="CR87" s="38"/>
      <c r="CS87" s="38"/>
      <c r="CT87" s="38"/>
      <c r="CU87" s="38"/>
      <c r="CV87" s="38"/>
      <c r="CW87" s="38"/>
      <c r="CX87" s="38"/>
      <c r="CY87" s="38"/>
      <c r="CZ87" s="38"/>
      <c r="DA87" s="38"/>
      <c r="DB87" s="38"/>
      <c r="DC87" s="38"/>
      <c r="DD87" s="38"/>
      <c r="DE87" s="38"/>
      <c r="DF87" s="38"/>
      <c r="DG87" s="38"/>
      <c r="DH87" s="38"/>
      <c r="DI87" s="38"/>
      <c r="DJ87" s="38"/>
      <c r="DK87" s="38"/>
      <c r="DL87" s="38"/>
      <c r="DM87" s="38"/>
      <c r="DN87" s="38"/>
      <c r="DO87" s="38"/>
      <c r="DP87" s="38"/>
      <c r="DQ87" s="38"/>
      <c r="DR87" s="38"/>
      <c r="DS87" s="38"/>
      <c r="DT87" s="38"/>
      <c r="DU87" s="38"/>
      <c r="DV87" s="38"/>
      <c r="DW87" s="38"/>
      <c r="DX87" s="38"/>
      <c r="DY87" s="38"/>
      <c r="DZ87" s="38"/>
      <c r="EA87" s="38"/>
      <c r="EB87" s="38"/>
      <c r="EC87" s="38"/>
      <c r="ED87" s="38"/>
      <c r="EE87" s="38"/>
      <c r="EF87" s="38"/>
      <c r="EG87" s="38"/>
      <c r="EH87" s="38"/>
      <c r="EI87" s="38"/>
      <c r="EJ87" s="38"/>
      <c r="EK87" s="38"/>
      <c r="EL87" s="38"/>
      <c r="EM87" s="38"/>
      <c r="EN87" s="38"/>
      <c r="EO87" s="38"/>
      <c r="EP87" s="38"/>
      <c r="EQ87" s="38"/>
      <c r="ER87" s="38"/>
      <c r="ES87" s="38"/>
      <c r="ET87" s="38"/>
      <c r="EU87" s="38"/>
      <c r="EV87" s="38"/>
      <c r="EW87" s="38"/>
      <c r="EX87" s="38"/>
      <c r="EY87" s="38"/>
      <c r="EZ87" s="38"/>
      <c r="FA87" s="38"/>
      <c r="FB87" s="38"/>
      <c r="FC87" s="38"/>
      <c r="FD87" s="38"/>
      <c r="FE87" s="38"/>
      <c r="FF87" s="38"/>
      <c r="FG87" s="38"/>
      <c r="FH87" s="38"/>
      <c r="FI87" s="38"/>
      <c r="FJ87" s="38"/>
      <c r="FK87" s="38"/>
      <c r="FL87" s="38"/>
      <c r="FM87" s="38"/>
      <c r="FN87" s="38"/>
      <c r="FO87" s="38"/>
      <c r="FP87" s="38"/>
      <c r="FQ87" s="38"/>
      <c r="FR87" s="38"/>
      <c r="FS87" s="38"/>
      <c r="FT87" s="38"/>
      <c r="FU87" s="38"/>
      <c r="FV87" s="38"/>
      <c r="FW87" s="38"/>
      <c r="FX87" s="38"/>
      <c r="FY87" s="38"/>
      <c r="FZ87" s="38"/>
      <c r="GA87" s="38"/>
      <c r="GB87" s="38"/>
      <c r="GC87" s="38"/>
      <c r="GD87" s="38"/>
      <c r="GE87" s="38"/>
      <c r="GF87" s="38"/>
      <c r="GG87" s="38"/>
      <c r="GH87" s="38"/>
      <c r="GI87" s="38"/>
      <c r="GJ87" s="38"/>
      <c r="GK87" s="38"/>
      <c r="GL87" s="38"/>
      <c r="GM87" s="38"/>
      <c r="GN87" s="38"/>
      <c r="GO87" s="38"/>
      <c r="GP87" s="38"/>
      <c r="GQ87" s="38"/>
      <c r="GR87" s="38"/>
      <c r="GS87" s="38"/>
      <c r="GT87" s="38"/>
      <c r="GU87" s="38"/>
      <c r="GV87" s="38"/>
      <c r="GW87" s="38"/>
      <c r="GX87" s="38"/>
      <c r="GY87" s="38"/>
      <c r="GZ87" s="38"/>
      <c r="HA87" s="38"/>
      <c r="HB87" s="38"/>
      <c r="HC87" s="38"/>
      <c r="HD87" s="38"/>
      <c r="HE87" s="38"/>
      <c r="HF87" s="38"/>
      <c r="HG87" s="38"/>
      <c r="HH87" s="38"/>
      <c r="HI87" s="38"/>
      <c r="HJ87" s="38"/>
      <c r="HK87" s="38"/>
      <c r="HL87" s="38"/>
      <c r="HM87" s="38"/>
      <c r="HN87" s="38"/>
      <c r="HO87" s="38"/>
      <c r="HP87" s="38"/>
      <c r="HQ87" s="38"/>
      <c r="HR87" s="38"/>
      <c r="HS87" s="38"/>
      <c r="HT87" s="38"/>
      <c r="HU87" s="38"/>
      <c r="HV87" s="38"/>
      <c r="HW87" s="38"/>
      <c r="HX87" s="38"/>
      <c r="HY87" s="38"/>
      <c r="HZ87" s="38"/>
      <c r="IA87" s="38"/>
      <c r="IB87" s="38"/>
      <c r="IC87" s="38"/>
      <c r="ID87" s="38"/>
      <c r="IE87" s="38"/>
      <c r="IF87" s="38"/>
      <c r="IG87" s="38"/>
      <c r="IH87" s="38"/>
      <c r="II87" s="38"/>
      <c r="IJ87" s="38"/>
      <c r="IK87" s="38"/>
      <c r="IL87" s="38"/>
      <c r="IM87" s="38"/>
      <c r="IN87" s="38"/>
      <c r="IO87" s="38"/>
      <c r="IP87" s="38"/>
      <c r="IQ87" s="38"/>
      <c r="IR87" s="38"/>
      <c r="IS87" s="38"/>
      <c r="IT87" s="38"/>
      <c r="IU87" s="38"/>
      <c r="IV87" s="38"/>
      <c r="IW87" s="38"/>
      <c r="IX87" s="38"/>
      <c r="IY87" s="38"/>
      <c r="IZ87" s="38"/>
      <c r="JA87" s="38"/>
      <c r="JB87" s="38"/>
      <c r="JC87" s="38"/>
      <c r="JD87" s="38"/>
      <c r="JE87" s="38"/>
      <c r="JF87" s="38"/>
      <c r="JG87" s="38"/>
      <c r="JH87" s="38"/>
      <c r="JI87" s="38"/>
      <c r="JJ87" s="38"/>
      <c r="JK87" s="38"/>
      <c r="JL87" s="38"/>
      <c r="JM87" s="38"/>
      <c r="JN87" s="38"/>
      <c r="JO87" s="38"/>
      <c r="JP87" s="38"/>
      <c r="JQ87" s="38"/>
      <c r="JR87" s="38"/>
      <c r="JS87" s="38"/>
      <c r="JT87" s="38"/>
      <c r="JU87" s="38"/>
      <c r="JV87" s="38"/>
      <c r="JW87" s="38"/>
      <c r="JX87" s="38"/>
      <c r="JY87" s="38"/>
      <c r="JZ87" s="38"/>
      <c r="KA87" s="38"/>
      <c r="KB87" s="38"/>
      <c r="KC87" s="38"/>
      <c r="KD87" s="38"/>
      <c r="KE87" s="38"/>
      <c r="KF87" s="38"/>
      <c r="KG87" s="38"/>
      <c r="KH87" s="38"/>
      <c r="KI87" s="38"/>
      <c r="KJ87" s="38"/>
      <c r="KK87" s="38"/>
      <c r="KL87" s="38"/>
      <c r="KM87" s="38"/>
      <c r="KN87" s="38"/>
      <c r="KO87" s="38"/>
      <c r="KP87" s="38"/>
      <c r="KQ87" s="38"/>
      <c r="KR87" s="38"/>
      <c r="KS87" s="38"/>
      <c r="KT87" s="38"/>
      <c r="KU87" s="38"/>
      <c r="KV87" s="38"/>
      <c r="KW87" s="38"/>
      <c r="KX87" s="38"/>
      <c r="KY87" s="38"/>
      <c r="KZ87" s="38"/>
      <c r="LA87" s="38"/>
      <c r="LB87" s="38"/>
      <c r="LC87" s="38"/>
      <c r="LD87" s="38"/>
      <c r="LE87" s="38"/>
      <c r="LF87" s="38"/>
      <c r="LG87" s="38"/>
      <c r="LH87" s="38"/>
      <c r="LI87" s="38"/>
      <c r="LJ87" s="38"/>
      <c r="LK87" s="38"/>
      <c r="LL87" s="38"/>
      <c r="LM87" s="38"/>
      <c r="LN87" s="38"/>
      <c r="LO87" s="38"/>
      <c r="LP87" s="38"/>
      <c r="LQ87" s="38"/>
      <c r="LR87" s="38"/>
      <c r="LS87" s="38"/>
      <c r="LT87" s="38"/>
      <c r="LU87" s="38"/>
      <c r="LV87" s="38"/>
      <c r="LW87" s="38"/>
      <c r="LX87" s="38"/>
      <c r="LY87" s="38"/>
      <c r="LZ87" s="38"/>
      <c r="MA87" s="38"/>
      <c r="MB87" s="38"/>
      <c r="MC87" s="38"/>
      <c r="MD87" s="38"/>
      <c r="ME87" s="38"/>
      <c r="MF87" s="38"/>
      <c r="MG87" s="38"/>
      <c r="MH87" s="38"/>
      <c r="MI87" s="38"/>
      <c r="MJ87" s="38"/>
      <c r="MK87" s="38"/>
      <c r="ML87" s="38"/>
      <c r="MM87" s="38"/>
      <c r="MN87" s="38"/>
      <c r="MO87" s="38"/>
      <c r="MP87" s="38"/>
      <c r="MQ87" s="38"/>
      <c r="MR87" s="38"/>
      <c r="MS87" s="38"/>
      <c r="MT87" s="38"/>
      <c r="MU87" s="38"/>
      <c r="MV87" s="38"/>
      <c r="MW87" s="38"/>
      <c r="MX87" s="38"/>
      <c r="MY87" s="38"/>
      <c r="MZ87" s="38"/>
      <c r="NA87" s="38"/>
      <c r="NB87" s="38"/>
      <c r="NC87" s="38"/>
      <c r="ND87" s="38"/>
      <c r="NE87" s="38"/>
      <c r="NF87" s="38"/>
      <c r="NG87" s="38"/>
      <c r="NH87" s="38"/>
      <c r="NI87" s="38"/>
      <c r="NJ87" s="38"/>
      <c r="NK87" s="38"/>
      <c r="NL87" s="38"/>
      <c r="NM87" s="38"/>
      <c r="NN87" s="38"/>
      <c r="NO87" s="38"/>
      <c r="NP87" s="38"/>
      <c r="NQ87" s="38"/>
      <c r="NR87" s="38"/>
      <c r="NS87" s="38"/>
      <c r="NT87" s="38"/>
      <c r="NU87" s="38"/>
      <c r="NV87" s="38"/>
      <c r="NW87" s="38"/>
      <c r="NX87" s="38"/>
      <c r="NY87" s="38"/>
      <c r="NZ87" s="38"/>
      <c r="OA87" s="38"/>
      <c r="OB87" s="38"/>
      <c r="OC87" s="38"/>
      <c r="OD87" s="38"/>
      <c r="OE87" s="38"/>
      <c r="OF87" s="38"/>
      <c r="OG87" s="38"/>
      <c r="OH87" s="38"/>
      <c r="OI87" s="38"/>
      <c r="OJ87" s="38"/>
      <c r="OK87" s="38"/>
      <c r="OL87" s="38"/>
      <c r="OM87" s="38"/>
      <c r="ON87" s="38"/>
      <c r="OO87" s="38"/>
      <c r="OP87" s="38"/>
      <c r="OQ87" s="38"/>
      <c r="OR87" s="38"/>
      <c r="OS87" s="38"/>
      <c r="OT87" s="38"/>
      <c r="OU87" s="38"/>
      <c r="OV87" s="38"/>
      <c r="OW87" s="38"/>
      <c r="OX87" s="38"/>
      <c r="OY87" s="38"/>
      <c r="OZ87" s="38"/>
      <c r="PA87" s="38"/>
      <c r="PB87" s="38"/>
      <c r="PC87" s="38"/>
      <c r="PD87" s="38"/>
      <c r="PE87" s="38"/>
      <c r="PF87" s="38"/>
      <c r="PG87" s="38"/>
      <c r="PH87" s="38"/>
      <c r="PI87" s="38"/>
      <c r="PJ87" s="38"/>
      <c r="PK87" s="38"/>
      <c r="PL87" s="38"/>
      <c r="PM87" s="38"/>
      <c r="PN87" s="38"/>
      <c r="PO87" s="38"/>
      <c r="PP87" s="38"/>
      <c r="PQ87" s="38"/>
      <c r="PR87" s="38"/>
      <c r="PS87" s="38"/>
      <c r="PT87" s="38"/>
      <c r="PU87" s="38"/>
      <c r="PV87" s="38"/>
      <c r="PW87" s="38"/>
      <c r="PX87" s="38"/>
      <c r="PY87" s="38"/>
      <c r="PZ87" s="38"/>
      <c r="QA87" s="38"/>
      <c r="QB87" s="38"/>
      <c r="QC87" s="38"/>
      <c r="QD87" s="38"/>
      <c r="QE87" s="38"/>
      <c r="QF87" s="38"/>
      <c r="QG87" s="38"/>
      <c r="QH87" s="38"/>
      <c r="QI87" s="38"/>
      <c r="QJ87" s="38"/>
      <c r="QK87" s="38"/>
      <c r="QL87" s="38"/>
      <c r="QM87" s="38"/>
      <c r="QN87" s="38"/>
      <c r="QO87" s="38"/>
      <c r="QP87" s="38"/>
      <c r="QQ87" s="38"/>
      <c r="QR87" s="38"/>
      <c r="QS87" s="38"/>
      <c r="QT87" s="38"/>
      <c r="QU87" s="38"/>
      <c r="QV87" s="38"/>
      <c r="QW87" s="38"/>
      <c r="QX87" s="38"/>
      <c r="QY87" s="38"/>
      <c r="QZ87" s="38"/>
      <c r="RA87" s="38"/>
      <c r="RB87" s="38"/>
      <c r="RC87" s="38"/>
      <c r="RD87" s="38"/>
      <c r="RE87" s="38"/>
      <c r="RF87" s="38"/>
      <c r="RG87" s="38"/>
      <c r="RH87" s="38"/>
      <c r="RI87" s="38"/>
      <c r="RJ87" s="38"/>
      <c r="RK87" s="38"/>
      <c r="RL87" s="38"/>
      <c r="RM87" s="38"/>
      <c r="RN87" s="38"/>
      <c r="RO87" s="38"/>
      <c r="RP87" s="38"/>
      <c r="RQ87" s="38"/>
      <c r="RR87" s="38"/>
      <c r="RS87" s="38"/>
      <c r="RT87" s="38"/>
      <c r="RU87" s="38"/>
      <c r="RV87" s="38"/>
      <c r="RW87" s="38"/>
      <c r="RX87" s="38"/>
      <c r="RY87" s="38"/>
      <c r="RZ87" s="38"/>
      <c r="SA87" s="38"/>
      <c r="SB87" s="38"/>
      <c r="SC87" s="38"/>
      <c r="SD87" s="38"/>
      <c r="SE87" s="38"/>
      <c r="SF87" s="38"/>
      <c r="SG87" s="38"/>
      <c r="SH87" s="38"/>
      <c r="SI87" s="38"/>
      <c r="SJ87" s="38"/>
      <c r="SK87" s="38"/>
      <c r="SL87" s="38"/>
      <c r="SM87" s="38"/>
      <c r="SN87" s="38"/>
      <c r="SO87" s="38"/>
      <c r="SP87" s="38"/>
      <c r="SQ87" s="38"/>
      <c r="SR87" s="38"/>
      <c r="SS87" s="38"/>
      <c r="ST87" s="38"/>
      <c r="SU87" s="38"/>
      <c r="SV87" s="38"/>
      <c r="SW87" s="38"/>
      <c r="SX87" s="38"/>
      <c r="SY87" s="38"/>
      <c r="SZ87" s="38"/>
      <c r="TA87" s="38"/>
      <c r="TB87" s="38"/>
      <c r="TC87" s="38"/>
      <c r="TD87" s="38"/>
      <c r="TE87" s="38"/>
      <c r="TF87" s="38"/>
      <c r="TG87" s="38"/>
      <c r="TH87" s="38"/>
      <c r="TI87" s="38"/>
      <c r="TJ87" s="38"/>
      <c r="TK87" s="38"/>
      <c r="TL87" s="38"/>
      <c r="TM87" s="38"/>
      <c r="TN87" s="38"/>
      <c r="TO87" s="38"/>
      <c r="TP87" s="38"/>
      <c r="TQ87" s="38"/>
      <c r="TR87" s="38"/>
      <c r="TS87" s="38"/>
      <c r="TT87" s="38"/>
      <c r="TU87" s="38"/>
      <c r="TV87" s="38"/>
      <c r="TW87" s="38"/>
      <c r="TX87" s="38"/>
      <c r="TY87" s="38"/>
      <c r="TZ87" s="38"/>
      <c r="UA87" s="38"/>
      <c r="UB87" s="38"/>
      <c r="UC87" s="38"/>
      <c r="UD87" s="38"/>
      <c r="UE87" s="38"/>
      <c r="UF87" s="38"/>
      <c r="UG87" s="38"/>
      <c r="UH87" s="38"/>
      <c r="UI87" s="38"/>
      <c r="UJ87" s="38"/>
      <c r="UK87" s="38"/>
      <c r="UL87" s="38"/>
      <c r="UM87" s="38"/>
      <c r="UN87" s="38"/>
      <c r="UO87" s="38"/>
      <c r="UP87" s="38"/>
      <c r="UQ87" s="38"/>
      <c r="UR87" s="38"/>
      <c r="US87" s="38"/>
      <c r="UT87" s="38"/>
      <c r="UU87" s="38"/>
      <c r="UV87" s="38"/>
      <c r="UW87" s="38"/>
      <c r="UX87" s="38"/>
      <c r="UY87" s="38"/>
      <c r="UZ87" s="38"/>
      <c r="VA87" s="38"/>
      <c r="VB87" s="38"/>
      <c r="VC87" s="38"/>
      <c r="VD87" s="38"/>
      <c r="VE87" s="38"/>
      <c r="VF87" s="38"/>
      <c r="VG87" s="38"/>
      <c r="VH87" s="38"/>
      <c r="VI87" s="38"/>
      <c r="VJ87" s="38"/>
      <c r="VK87" s="38"/>
      <c r="VL87" s="38"/>
      <c r="VM87" s="38"/>
      <c r="VN87" s="38"/>
      <c r="VO87" s="38"/>
      <c r="VP87" s="38"/>
      <c r="VQ87" s="38"/>
      <c r="VR87" s="38"/>
      <c r="VS87" s="38"/>
      <c r="VT87" s="38"/>
      <c r="VU87" s="38"/>
      <c r="VV87" s="38"/>
      <c r="VW87" s="38"/>
      <c r="VX87" s="38"/>
      <c r="VY87" s="38"/>
      <c r="VZ87" s="38"/>
      <c r="WA87" s="38"/>
      <c r="WB87" s="38"/>
      <c r="WC87" s="38"/>
      <c r="WD87" s="38"/>
      <c r="WE87" s="38"/>
      <c r="WF87" s="38"/>
      <c r="WG87" s="38"/>
      <c r="WH87" s="38"/>
      <c r="WI87" s="38"/>
      <c r="WJ87" s="38"/>
      <c r="WK87" s="38"/>
      <c r="WL87" s="38"/>
      <c r="WM87" s="38"/>
      <c r="WN87" s="38"/>
      <c r="WO87" s="38"/>
      <c r="WP87" s="38"/>
      <c r="WQ87" s="38"/>
      <c r="WR87" s="38"/>
      <c r="WS87" s="38"/>
      <c r="WT87" s="38"/>
      <c r="WU87" s="38"/>
      <c r="WV87" s="38"/>
      <c r="WW87" s="38"/>
      <c r="WX87" s="38"/>
      <c r="WY87" s="38"/>
      <c r="WZ87" s="38"/>
      <c r="XA87" s="38"/>
      <c r="XB87" s="38"/>
      <c r="XC87" s="38"/>
      <c r="XD87" s="38"/>
      <c r="XE87" s="38"/>
      <c r="XF87" s="38"/>
      <c r="XG87" s="38"/>
      <c r="XH87" s="38"/>
      <c r="XI87" s="38"/>
      <c r="XJ87" s="38"/>
      <c r="XK87" s="38"/>
      <c r="XL87" s="38"/>
      <c r="XM87" s="38"/>
      <c r="XN87" s="38"/>
      <c r="XO87" s="38"/>
      <c r="XP87" s="38"/>
      <c r="XQ87" s="38"/>
      <c r="XR87" s="38"/>
      <c r="XS87" s="38"/>
      <c r="XT87" s="38"/>
      <c r="XU87" s="38"/>
      <c r="XV87" s="38"/>
      <c r="XW87" s="38"/>
      <c r="XX87" s="38"/>
      <c r="XY87" s="38"/>
      <c r="XZ87" s="38"/>
      <c r="YA87" s="38"/>
      <c r="YB87" s="38"/>
      <c r="YC87" s="38"/>
      <c r="YD87" s="38"/>
      <c r="YE87" s="38"/>
      <c r="YF87" s="38"/>
      <c r="YG87" s="38"/>
      <c r="YH87" s="38"/>
      <c r="YI87" s="38"/>
      <c r="YJ87" s="38"/>
      <c r="YK87" s="38"/>
      <c r="YL87" s="38"/>
      <c r="YM87" s="38"/>
      <c r="YN87" s="38"/>
      <c r="YO87" s="38"/>
      <c r="YP87" s="38"/>
      <c r="YQ87" s="38"/>
      <c r="YR87" s="38"/>
      <c r="YS87" s="38"/>
      <c r="YT87" s="38"/>
      <c r="YU87" s="38"/>
      <c r="YV87" s="38"/>
      <c r="YW87" s="38"/>
      <c r="YX87" s="38"/>
      <c r="YY87" s="38"/>
      <c r="YZ87" s="38"/>
      <c r="ZA87" s="38"/>
      <c r="ZB87" s="38"/>
      <c r="ZC87" s="38"/>
      <c r="ZD87" s="38"/>
      <c r="ZE87" s="38"/>
      <c r="ZF87" s="38"/>
      <c r="ZG87" s="38"/>
      <c r="ZH87" s="38"/>
      <c r="ZI87" s="38"/>
      <c r="ZJ87" s="38"/>
      <c r="ZK87" s="38"/>
      <c r="ZL87" s="38"/>
      <c r="ZM87" s="38"/>
      <c r="ZN87" s="38"/>
      <c r="ZO87" s="38"/>
      <c r="ZP87" s="38"/>
      <c r="ZQ87" s="38"/>
      <c r="ZR87" s="38"/>
      <c r="ZS87" s="38"/>
      <c r="ZT87" s="38"/>
      <c r="ZU87" s="38"/>
      <c r="ZV87" s="38"/>
      <c r="ZW87" s="38"/>
      <c r="ZX87" s="38"/>
      <c r="ZY87" s="38"/>
      <c r="ZZ87" s="38"/>
      <c r="AAA87" s="38"/>
      <c r="AAB87" s="38"/>
      <c r="AAC87" s="38"/>
      <c r="AAD87" s="38"/>
      <c r="AAE87" s="38"/>
      <c r="AAF87" s="38"/>
      <c r="AAG87" s="38"/>
      <c r="AAH87" s="38"/>
      <c r="AAI87" s="38"/>
      <c r="AAJ87" s="38"/>
      <c r="AAK87" s="38"/>
      <c r="AAL87" s="38"/>
      <c r="AAM87" s="38"/>
      <c r="AAN87" s="38"/>
      <c r="AAO87" s="38"/>
      <c r="AAP87" s="38"/>
      <c r="AAQ87" s="38"/>
      <c r="AAR87" s="38"/>
      <c r="AAS87" s="38"/>
      <c r="AAT87" s="38"/>
      <c r="AAU87" s="38"/>
      <c r="AAV87" s="38"/>
      <c r="AAW87" s="38"/>
      <c r="AAX87" s="38"/>
      <c r="AAY87" s="38"/>
      <c r="AAZ87" s="38"/>
      <c r="ABA87" s="38"/>
      <c r="ABB87" s="38"/>
      <c r="ABC87" s="38"/>
      <c r="ABD87" s="38"/>
      <c r="ABE87" s="38"/>
      <c r="ABF87" s="38"/>
      <c r="ABG87" s="38"/>
      <c r="ABH87" s="38"/>
      <c r="ABI87" s="38"/>
      <c r="ABJ87" s="38"/>
      <c r="ABK87" s="38"/>
      <c r="ABL87" s="38"/>
      <c r="ABM87" s="38"/>
      <c r="ABN87" s="38"/>
      <c r="ABO87" s="38"/>
      <c r="ABP87" s="38"/>
      <c r="ABQ87" s="38"/>
      <c r="ABR87" s="38"/>
      <c r="ABS87" s="38"/>
      <c r="ABT87" s="38"/>
      <c r="ABU87" s="38"/>
      <c r="ABV87" s="38"/>
      <c r="ABW87" s="38"/>
      <c r="ABX87" s="38"/>
      <c r="ABY87" s="38"/>
      <c r="ABZ87" s="38"/>
      <c r="ACA87" s="38"/>
      <c r="ACB87" s="38"/>
      <c r="ACC87" s="38"/>
      <c r="ACD87" s="38"/>
      <c r="ACE87" s="38"/>
      <c r="ACF87" s="38"/>
      <c r="ACG87" s="38"/>
      <c r="ACH87" s="38"/>
      <c r="ACI87" s="38"/>
      <c r="ACJ87" s="38"/>
      <c r="ACK87" s="38"/>
      <c r="ACL87" s="38"/>
      <c r="ACM87" s="38"/>
      <c r="ACN87" s="38"/>
      <c r="ACO87" s="38"/>
      <c r="ACP87" s="38"/>
      <c r="ACQ87" s="38"/>
      <c r="ACR87" s="38"/>
      <c r="ACS87" s="38"/>
      <c r="ACT87" s="38"/>
      <c r="ACU87" s="38"/>
      <c r="ACV87" s="38"/>
      <c r="ACW87" s="38"/>
      <c r="ACX87" s="38"/>
      <c r="ACY87" s="38"/>
      <c r="ACZ87" s="38"/>
      <c r="ADA87" s="38"/>
      <c r="ADB87" s="38"/>
      <c r="ADC87" s="38"/>
      <c r="ADD87" s="38"/>
      <c r="ADE87" s="38"/>
      <c r="ADF87" s="38"/>
      <c r="ADG87" s="38"/>
      <c r="ADH87" s="38"/>
      <c r="ADI87" s="38"/>
      <c r="ADJ87" s="38"/>
      <c r="ADK87" s="38"/>
      <c r="ADL87" s="38"/>
      <c r="ADM87" s="38"/>
      <c r="ADN87" s="38"/>
      <c r="ADO87" s="38"/>
      <c r="ADP87" s="38"/>
      <c r="ADQ87" s="38"/>
      <c r="ADR87" s="38"/>
      <c r="ADS87" s="38"/>
      <c r="ADT87" s="38"/>
      <c r="ADU87" s="38"/>
      <c r="ADV87" s="38"/>
      <c r="ADW87" s="38"/>
      <c r="ADX87" s="38"/>
      <c r="ADY87" s="38"/>
      <c r="ADZ87" s="38"/>
      <c r="AEA87" s="38"/>
      <c r="AEB87" s="38"/>
      <c r="AEC87" s="38"/>
      <c r="AED87" s="38"/>
      <c r="AEE87" s="38"/>
      <c r="AEF87" s="38"/>
      <c r="AEG87" s="38"/>
      <c r="AEH87" s="38"/>
      <c r="AEI87" s="38"/>
      <c r="AEJ87" s="38"/>
      <c r="AEK87" s="38"/>
      <c r="AEL87" s="38"/>
      <c r="AEM87" s="38"/>
      <c r="AEN87" s="38"/>
      <c r="AEO87" s="38"/>
      <c r="AEP87" s="38"/>
      <c r="AEQ87" s="38"/>
      <c r="AER87" s="38"/>
      <c r="AES87" s="38"/>
      <c r="AET87" s="38"/>
      <c r="AEU87" s="38"/>
      <c r="AEV87" s="38"/>
      <c r="AEW87" s="38"/>
      <c r="AEX87" s="38"/>
      <c r="AEY87" s="38"/>
      <c r="AEZ87" s="38"/>
      <c r="AFA87" s="38"/>
      <c r="AFB87" s="38"/>
      <c r="AFC87" s="38"/>
      <c r="AFD87" s="38"/>
      <c r="AFE87" s="38"/>
      <c r="AFF87" s="38"/>
      <c r="AFG87" s="38"/>
      <c r="AFH87" s="38"/>
      <c r="AFI87" s="38"/>
      <c r="AFJ87" s="38"/>
      <c r="AFK87" s="38"/>
      <c r="AFL87" s="38"/>
      <c r="AFM87" s="38"/>
      <c r="AFN87" s="38"/>
      <c r="AFO87" s="38"/>
      <c r="AFP87" s="38"/>
      <c r="AFQ87" s="38"/>
      <c r="AFR87" s="38"/>
      <c r="AFS87" s="38"/>
      <c r="AFT87" s="38"/>
      <c r="AFU87" s="38"/>
      <c r="AFV87" s="38"/>
      <c r="AFW87" s="38"/>
      <c r="AFX87" s="38"/>
      <c r="AFY87" s="38"/>
      <c r="AFZ87" s="38"/>
      <c r="AGA87" s="38"/>
      <c r="AGB87" s="38"/>
      <c r="AGC87" s="38"/>
      <c r="AGD87" s="38"/>
      <c r="AGE87" s="38"/>
      <c r="AGF87" s="38"/>
      <c r="AGG87" s="38"/>
      <c r="AGH87" s="38"/>
      <c r="AGI87" s="38"/>
      <c r="AGJ87" s="38"/>
      <c r="AGK87" s="38"/>
      <c r="AGL87" s="38"/>
      <c r="AGM87" s="38"/>
      <c r="AGN87" s="38"/>
      <c r="AGO87" s="38"/>
      <c r="AGP87" s="38"/>
      <c r="AGQ87" s="38"/>
      <c r="AGR87" s="38"/>
      <c r="AGS87" s="38"/>
      <c r="AGT87" s="38"/>
      <c r="AGU87" s="38"/>
      <c r="AGV87" s="38"/>
      <c r="AGW87" s="38"/>
      <c r="AGX87" s="38"/>
      <c r="AGY87" s="38"/>
      <c r="AGZ87" s="38"/>
      <c r="AHA87" s="38"/>
      <c r="AHB87" s="38"/>
      <c r="AHC87" s="38"/>
      <c r="AHD87" s="38"/>
      <c r="AHE87" s="38"/>
      <c r="AHF87" s="38"/>
      <c r="AHG87" s="38"/>
      <c r="AHH87" s="38"/>
      <c r="AHI87" s="38"/>
      <c r="AHJ87" s="38"/>
      <c r="AHK87" s="38"/>
      <c r="AHL87" s="38"/>
      <c r="AHM87" s="38"/>
      <c r="AHN87" s="38"/>
      <c r="AHO87" s="38"/>
      <c r="AHP87" s="38"/>
      <c r="AHQ87" s="38"/>
      <c r="AHR87" s="38"/>
      <c r="AHS87" s="38"/>
      <c r="AHT87" s="38"/>
      <c r="AHU87" s="38"/>
      <c r="AHV87" s="38"/>
    </row>
    <row r="88" spans="1:906" s="27" customFormat="1" x14ac:dyDescent="0.35">
      <c r="A88" s="83">
        <v>83</v>
      </c>
      <c r="B88" s="108" t="s">
        <v>145</v>
      </c>
      <c r="C88" s="109" t="s">
        <v>146</v>
      </c>
      <c r="D88" s="109" t="s">
        <v>147</v>
      </c>
      <c r="E88" s="125">
        <v>19.7</v>
      </c>
      <c r="F88" s="125">
        <v>18.95</v>
      </c>
      <c r="G88" s="125">
        <v>16.5</v>
      </c>
      <c r="H88" s="125">
        <v>18.95</v>
      </c>
      <c r="I88" s="37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  <c r="FK88" s="38"/>
      <c r="FL88" s="38"/>
      <c r="FM88" s="38"/>
      <c r="FN88" s="38"/>
      <c r="FO88" s="38"/>
      <c r="FP88" s="38"/>
      <c r="FQ88" s="38"/>
      <c r="FR88" s="38"/>
      <c r="FS88" s="38"/>
      <c r="FT88" s="38"/>
      <c r="FU88" s="38"/>
      <c r="FV88" s="38"/>
      <c r="FW88" s="38"/>
      <c r="FX88" s="38"/>
      <c r="FY88" s="38"/>
      <c r="FZ88" s="38"/>
      <c r="GA88" s="38"/>
      <c r="GB88" s="38"/>
      <c r="GC88" s="38"/>
      <c r="GD88" s="38"/>
      <c r="GE88" s="38"/>
      <c r="GF88" s="38"/>
      <c r="GG88" s="38"/>
      <c r="GH88" s="38"/>
      <c r="GI88" s="38"/>
      <c r="GJ88" s="38"/>
      <c r="GK88" s="38"/>
      <c r="GL88" s="38"/>
      <c r="GM88" s="38"/>
      <c r="GN88" s="38"/>
      <c r="GO88" s="38"/>
      <c r="GP88" s="38"/>
      <c r="GQ88" s="38"/>
      <c r="GR88" s="38"/>
      <c r="GS88" s="38"/>
      <c r="GT88" s="38"/>
      <c r="GU88" s="38"/>
      <c r="GV88" s="38"/>
      <c r="GW88" s="38"/>
      <c r="GX88" s="38"/>
      <c r="GY88" s="38"/>
      <c r="GZ88" s="38"/>
      <c r="HA88" s="38"/>
      <c r="HB88" s="38"/>
      <c r="HC88" s="38"/>
      <c r="HD88" s="38"/>
      <c r="HE88" s="38"/>
      <c r="HF88" s="38"/>
      <c r="HG88" s="38"/>
      <c r="HH88" s="38"/>
      <c r="HI88" s="38"/>
      <c r="HJ88" s="38"/>
      <c r="HK88" s="38"/>
      <c r="HL88" s="38"/>
      <c r="HM88" s="38"/>
      <c r="HN88" s="38"/>
      <c r="HO88" s="38"/>
      <c r="HP88" s="38"/>
      <c r="HQ88" s="38"/>
      <c r="HR88" s="38"/>
      <c r="HS88" s="38"/>
      <c r="HT88" s="38"/>
      <c r="HU88" s="38"/>
      <c r="HV88" s="38"/>
      <c r="HW88" s="38"/>
      <c r="HX88" s="38"/>
      <c r="HY88" s="38"/>
      <c r="HZ88" s="38"/>
      <c r="IA88" s="38"/>
      <c r="IB88" s="38"/>
      <c r="IC88" s="38"/>
      <c r="ID88" s="38"/>
      <c r="IE88" s="38"/>
      <c r="IF88" s="38"/>
      <c r="IG88" s="38"/>
      <c r="IH88" s="38"/>
      <c r="II88" s="38"/>
      <c r="IJ88" s="38"/>
      <c r="IK88" s="38"/>
      <c r="IL88" s="38"/>
      <c r="IM88" s="38"/>
      <c r="IN88" s="38"/>
      <c r="IO88" s="38"/>
      <c r="IP88" s="38"/>
      <c r="IQ88" s="38"/>
      <c r="IR88" s="38"/>
      <c r="IS88" s="38"/>
      <c r="IT88" s="38"/>
      <c r="IU88" s="38"/>
      <c r="IV88" s="38"/>
      <c r="IW88" s="38"/>
      <c r="IX88" s="38"/>
      <c r="IY88" s="38"/>
      <c r="IZ88" s="38"/>
      <c r="JA88" s="38"/>
      <c r="JB88" s="38"/>
      <c r="JC88" s="38"/>
      <c r="JD88" s="38"/>
      <c r="JE88" s="38"/>
      <c r="JF88" s="38"/>
      <c r="JG88" s="38"/>
      <c r="JH88" s="38"/>
      <c r="JI88" s="38"/>
      <c r="JJ88" s="38"/>
      <c r="JK88" s="38"/>
      <c r="JL88" s="38"/>
      <c r="JM88" s="38"/>
      <c r="JN88" s="38"/>
      <c r="JO88" s="38"/>
      <c r="JP88" s="38"/>
      <c r="JQ88" s="38"/>
      <c r="JR88" s="38"/>
      <c r="JS88" s="38"/>
      <c r="JT88" s="38"/>
      <c r="JU88" s="38"/>
      <c r="JV88" s="38"/>
      <c r="JW88" s="38"/>
      <c r="JX88" s="38"/>
      <c r="JY88" s="38"/>
      <c r="JZ88" s="38"/>
      <c r="KA88" s="38"/>
      <c r="KB88" s="38"/>
      <c r="KC88" s="38"/>
      <c r="KD88" s="38"/>
      <c r="KE88" s="38"/>
      <c r="KF88" s="38"/>
      <c r="KG88" s="38"/>
      <c r="KH88" s="38"/>
      <c r="KI88" s="38"/>
      <c r="KJ88" s="38"/>
      <c r="KK88" s="38"/>
      <c r="KL88" s="38"/>
      <c r="KM88" s="38"/>
      <c r="KN88" s="38"/>
      <c r="KO88" s="38"/>
      <c r="KP88" s="38"/>
      <c r="KQ88" s="38"/>
      <c r="KR88" s="38"/>
      <c r="KS88" s="38"/>
      <c r="KT88" s="38"/>
      <c r="KU88" s="38"/>
      <c r="KV88" s="38"/>
      <c r="KW88" s="38"/>
      <c r="KX88" s="38"/>
      <c r="KY88" s="38"/>
      <c r="KZ88" s="38"/>
      <c r="LA88" s="38"/>
      <c r="LB88" s="38"/>
      <c r="LC88" s="38"/>
      <c r="LD88" s="38"/>
      <c r="LE88" s="38"/>
      <c r="LF88" s="38"/>
      <c r="LG88" s="38"/>
      <c r="LH88" s="38"/>
      <c r="LI88" s="38"/>
      <c r="LJ88" s="38"/>
      <c r="LK88" s="38"/>
      <c r="LL88" s="38"/>
      <c r="LM88" s="38"/>
      <c r="LN88" s="38"/>
      <c r="LO88" s="38"/>
      <c r="LP88" s="38"/>
      <c r="LQ88" s="38"/>
      <c r="LR88" s="38"/>
      <c r="LS88" s="38"/>
      <c r="LT88" s="38"/>
      <c r="LU88" s="38"/>
      <c r="LV88" s="38"/>
      <c r="LW88" s="38"/>
      <c r="LX88" s="38"/>
      <c r="LY88" s="38"/>
      <c r="LZ88" s="38"/>
      <c r="MA88" s="38"/>
      <c r="MB88" s="38"/>
      <c r="MC88" s="38"/>
      <c r="MD88" s="38"/>
      <c r="ME88" s="38"/>
      <c r="MF88" s="38"/>
      <c r="MG88" s="38"/>
      <c r="MH88" s="38"/>
      <c r="MI88" s="38"/>
      <c r="MJ88" s="38"/>
      <c r="MK88" s="38"/>
      <c r="ML88" s="38"/>
      <c r="MM88" s="38"/>
      <c r="MN88" s="38"/>
      <c r="MO88" s="38"/>
      <c r="MP88" s="38"/>
      <c r="MQ88" s="38"/>
      <c r="MR88" s="38"/>
      <c r="MS88" s="38"/>
      <c r="MT88" s="38"/>
      <c r="MU88" s="38"/>
      <c r="MV88" s="38"/>
      <c r="MW88" s="38"/>
      <c r="MX88" s="38"/>
      <c r="MY88" s="38"/>
      <c r="MZ88" s="38"/>
      <c r="NA88" s="38"/>
      <c r="NB88" s="38"/>
      <c r="NC88" s="38"/>
      <c r="ND88" s="38"/>
      <c r="NE88" s="38"/>
      <c r="NF88" s="38"/>
      <c r="NG88" s="38"/>
      <c r="NH88" s="38"/>
      <c r="NI88" s="38"/>
      <c r="NJ88" s="38"/>
      <c r="NK88" s="38"/>
      <c r="NL88" s="38"/>
      <c r="NM88" s="38"/>
      <c r="NN88" s="38"/>
      <c r="NO88" s="38"/>
      <c r="NP88" s="38"/>
      <c r="NQ88" s="38"/>
      <c r="NR88" s="38"/>
      <c r="NS88" s="38"/>
      <c r="NT88" s="38"/>
      <c r="NU88" s="38"/>
      <c r="NV88" s="38"/>
      <c r="NW88" s="38"/>
      <c r="NX88" s="38"/>
      <c r="NY88" s="38"/>
      <c r="NZ88" s="38"/>
      <c r="OA88" s="38"/>
      <c r="OB88" s="38"/>
      <c r="OC88" s="38"/>
      <c r="OD88" s="38"/>
      <c r="OE88" s="38"/>
      <c r="OF88" s="38"/>
      <c r="OG88" s="38"/>
      <c r="OH88" s="38"/>
      <c r="OI88" s="38"/>
      <c r="OJ88" s="38"/>
      <c r="OK88" s="38"/>
      <c r="OL88" s="38"/>
      <c r="OM88" s="38"/>
      <c r="ON88" s="38"/>
      <c r="OO88" s="38"/>
      <c r="OP88" s="38"/>
      <c r="OQ88" s="38"/>
      <c r="OR88" s="38"/>
      <c r="OS88" s="38"/>
      <c r="OT88" s="38"/>
      <c r="OU88" s="38"/>
      <c r="OV88" s="38"/>
      <c r="OW88" s="38"/>
      <c r="OX88" s="38"/>
      <c r="OY88" s="38"/>
      <c r="OZ88" s="38"/>
      <c r="PA88" s="38"/>
      <c r="PB88" s="38"/>
      <c r="PC88" s="38"/>
      <c r="PD88" s="38"/>
      <c r="PE88" s="38"/>
      <c r="PF88" s="38"/>
      <c r="PG88" s="38"/>
      <c r="PH88" s="38"/>
      <c r="PI88" s="38"/>
      <c r="PJ88" s="38"/>
      <c r="PK88" s="38"/>
      <c r="PL88" s="38"/>
      <c r="PM88" s="38"/>
      <c r="PN88" s="38"/>
      <c r="PO88" s="38"/>
      <c r="PP88" s="38"/>
      <c r="PQ88" s="38"/>
      <c r="PR88" s="38"/>
      <c r="PS88" s="38"/>
      <c r="PT88" s="38"/>
      <c r="PU88" s="38"/>
      <c r="PV88" s="38"/>
      <c r="PW88" s="38"/>
      <c r="PX88" s="38"/>
      <c r="PY88" s="38"/>
      <c r="PZ88" s="38"/>
      <c r="QA88" s="38"/>
      <c r="QB88" s="38"/>
      <c r="QC88" s="38"/>
      <c r="QD88" s="38"/>
      <c r="QE88" s="38"/>
      <c r="QF88" s="38"/>
      <c r="QG88" s="38"/>
      <c r="QH88" s="38"/>
      <c r="QI88" s="38"/>
      <c r="QJ88" s="38"/>
      <c r="QK88" s="38"/>
      <c r="QL88" s="38"/>
      <c r="QM88" s="38"/>
      <c r="QN88" s="38"/>
      <c r="QO88" s="38"/>
      <c r="QP88" s="38"/>
      <c r="QQ88" s="38"/>
      <c r="QR88" s="38"/>
      <c r="QS88" s="38"/>
      <c r="QT88" s="38"/>
      <c r="QU88" s="38"/>
      <c r="QV88" s="38"/>
      <c r="QW88" s="38"/>
      <c r="QX88" s="38"/>
      <c r="QY88" s="38"/>
      <c r="QZ88" s="38"/>
      <c r="RA88" s="38"/>
      <c r="RB88" s="38"/>
      <c r="RC88" s="38"/>
      <c r="RD88" s="38"/>
      <c r="RE88" s="38"/>
      <c r="RF88" s="38"/>
      <c r="RG88" s="38"/>
      <c r="RH88" s="38"/>
      <c r="RI88" s="38"/>
      <c r="RJ88" s="38"/>
      <c r="RK88" s="38"/>
      <c r="RL88" s="38"/>
      <c r="RM88" s="38"/>
      <c r="RN88" s="38"/>
      <c r="RO88" s="38"/>
      <c r="RP88" s="38"/>
      <c r="RQ88" s="38"/>
      <c r="RR88" s="38"/>
      <c r="RS88" s="38"/>
      <c r="RT88" s="38"/>
      <c r="RU88" s="38"/>
      <c r="RV88" s="38"/>
      <c r="RW88" s="38"/>
      <c r="RX88" s="38"/>
      <c r="RY88" s="38"/>
      <c r="RZ88" s="38"/>
      <c r="SA88" s="38"/>
      <c r="SB88" s="38"/>
      <c r="SC88" s="38"/>
      <c r="SD88" s="38"/>
      <c r="SE88" s="38"/>
      <c r="SF88" s="38"/>
      <c r="SG88" s="38"/>
      <c r="SH88" s="38"/>
      <c r="SI88" s="38"/>
      <c r="SJ88" s="38"/>
      <c r="SK88" s="38"/>
      <c r="SL88" s="38"/>
      <c r="SM88" s="38"/>
      <c r="SN88" s="38"/>
      <c r="SO88" s="38"/>
      <c r="SP88" s="38"/>
      <c r="SQ88" s="38"/>
      <c r="SR88" s="38"/>
      <c r="SS88" s="38"/>
      <c r="ST88" s="38"/>
      <c r="SU88" s="38"/>
      <c r="SV88" s="38"/>
      <c r="SW88" s="38"/>
      <c r="SX88" s="38"/>
      <c r="SY88" s="38"/>
      <c r="SZ88" s="38"/>
      <c r="TA88" s="38"/>
      <c r="TB88" s="38"/>
      <c r="TC88" s="38"/>
      <c r="TD88" s="38"/>
      <c r="TE88" s="38"/>
      <c r="TF88" s="38"/>
      <c r="TG88" s="38"/>
      <c r="TH88" s="38"/>
      <c r="TI88" s="38"/>
      <c r="TJ88" s="38"/>
      <c r="TK88" s="38"/>
      <c r="TL88" s="38"/>
      <c r="TM88" s="38"/>
      <c r="TN88" s="38"/>
      <c r="TO88" s="38"/>
      <c r="TP88" s="38"/>
      <c r="TQ88" s="38"/>
      <c r="TR88" s="38"/>
      <c r="TS88" s="38"/>
      <c r="TT88" s="38"/>
      <c r="TU88" s="38"/>
      <c r="TV88" s="38"/>
      <c r="TW88" s="38"/>
      <c r="TX88" s="38"/>
      <c r="TY88" s="38"/>
      <c r="TZ88" s="38"/>
      <c r="UA88" s="38"/>
      <c r="UB88" s="38"/>
      <c r="UC88" s="38"/>
      <c r="UD88" s="38"/>
      <c r="UE88" s="38"/>
      <c r="UF88" s="38"/>
      <c r="UG88" s="38"/>
      <c r="UH88" s="38"/>
      <c r="UI88" s="38"/>
      <c r="UJ88" s="38"/>
      <c r="UK88" s="38"/>
      <c r="UL88" s="38"/>
      <c r="UM88" s="38"/>
      <c r="UN88" s="38"/>
      <c r="UO88" s="38"/>
      <c r="UP88" s="38"/>
      <c r="UQ88" s="38"/>
      <c r="UR88" s="38"/>
      <c r="US88" s="38"/>
      <c r="UT88" s="38"/>
      <c r="UU88" s="38"/>
      <c r="UV88" s="38"/>
      <c r="UW88" s="38"/>
      <c r="UX88" s="38"/>
      <c r="UY88" s="38"/>
      <c r="UZ88" s="38"/>
      <c r="VA88" s="38"/>
      <c r="VB88" s="38"/>
      <c r="VC88" s="38"/>
      <c r="VD88" s="38"/>
      <c r="VE88" s="38"/>
      <c r="VF88" s="38"/>
      <c r="VG88" s="38"/>
      <c r="VH88" s="38"/>
      <c r="VI88" s="38"/>
      <c r="VJ88" s="38"/>
      <c r="VK88" s="38"/>
      <c r="VL88" s="38"/>
      <c r="VM88" s="38"/>
      <c r="VN88" s="38"/>
      <c r="VO88" s="38"/>
      <c r="VP88" s="38"/>
      <c r="VQ88" s="38"/>
      <c r="VR88" s="38"/>
      <c r="VS88" s="38"/>
      <c r="VT88" s="38"/>
      <c r="VU88" s="38"/>
      <c r="VV88" s="38"/>
      <c r="VW88" s="38"/>
      <c r="VX88" s="38"/>
      <c r="VY88" s="38"/>
      <c r="VZ88" s="38"/>
      <c r="WA88" s="38"/>
      <c r="WB88" s="38"/>
      <c r="WC88" s="38"/>
      <c r="WD88" s="38"/>
      <c r="WE88" s="38"/>
      <c r="WF88" s="38"/>
      <c r="WG88" s="38"/>
      <c r="WH88" s="38"/>
      <c r="WI88" s="38"/>
      <c r="WJ88" s="38"/>
      <c r="WK88" s="38"/>
      <c r="WL88" s="38"/>
      <c r="WM88" s="38"/>
      <c r="WN88" s="38"/>
      <c r="WO88" s="38"/>
      <c r="WP88" s="38"/>
      <c r="WQ88" s="38"/>
      <c r="WR88" s="38"/>
      <c r="WS88" s="38"/>
      <c r="WT88" s="38"/>
      <c r="WU88" s="38"/>
      <c r="WV88" s="38"/>
      <c r="WW88" s="38"/>
      <c r="WX88" s="38"/>
      <c r="WY88" s="38"/>
      <c r="WZ88" s="38"/>
      <c r="XA88" s="38"/>
      <c r="XB88" s="38"/>
      <c r="XC88" s="38"/>
      <c r="XD88" s="38"/>
      <c r="XE88" s="38"/>
      <c r="XF88" s="38"/>
      <c r="XG88" s="38"/>
      <c r="XH88" s="38"/>
      <c r="XI88" s="38"/>
      <c r="XJ88" s="38"/>
      <c r="XK88" s="38"/>
      <c r="XL88" s="38"/>
      <c r="XM88" s="38"/>
      <c r="XN88" s="38"/>
      <c r="XO88" s="38"/>
      <c r="XP88" s="38"/>
      <c r="XQ88" s="38"/>
      <c r="XR88" s="38"/>
      <c r="XS88" s="38"/>
      <c r="XT88" s="38"/>
      <c r="XU88" s="38"/>
      <c r="XV88" s="38"/>
      <c r="XW88" s="38"/>
      <c r="XX88" s="38"/>
      <c r="XY88" s="38"/>
      <c r="XZ88" s="38"/>
      <c r="YA88" s="38"/>
      <c r="YB88" s="38"/>
      <c r="YC88" s="38"/>
      <c r="YD88" s="38"/>
      <c r="YE88" s="38"/>
      <c r="YF88" s="38"/>
      <c r="YG88" s="38"/>
      <c r="YH88" s="38"/>
      <c r="YI88" s="38"/>
      <c r="YJ88" s="38"/>
      <c r="YK88" s="38"/>
      <c r="YL88" s="38"/>
      <c r="YM88" s="38"/>
      <c r="YN88" s="38"/>
      <c r="YO88" s="38"/>
      <c r="YP88" s="38"/>
      <c r="YQ88" s="38"/>
      <c r="YR88" s="38"/>
      <c r="YS88" s="38"/>
      <c r="YT88" s="38"/>
      <c r="YU88" s="38"/>
      <c r="YV88" s="38"/>
      <c r="YW88" s="38"/>
      <c r="YX88" s="38"/>
      <c r="YY88" s="38"/>
      <c r="YZ88" s="38"/>
      <c r="ZA88" s="38"/>
      <c r="ZB88" s="38"/>
      <c r="ZC88" s="38"/>
      <c r="ZD88" s="38"/>
      <c r="ZE88" s="38"/>
      <c r="ZF88" s="38"/>
      <c r="ZG88" s="38"/>
      <c r="ZH88" s="38"/>
      <c r="ZI88" s="38"/>
      <c r="ZJ88" s="38"/>
      <c r="ZK88" s="38"/>
      <c r="ZL88" s="38"/>
      <c r="ZM88" s="38"/>
      <c r="ZN88" s="38"/>
      <c r="ZO88" s="38"/>
      <c r="ZP88" s="38"/>
      <c r="ZQ88" s="38"/>
      <c r="ZR88" s="38"/>
      <c r="ZS88" s="38"/>
      <c r="ZT88" s="38"/>
      <c r="ZU88" s="38"/>
      <c r="ZV88" s="38"/>
      <c r="ZW88" s="38"/>
      <c r="ZX88" s="38"/>
      <c r="ZY88" s="38"/>
      <c r="ZZ88" s="38"/>
      <c r="AAA88" s="38"/>
      <c r="AAB88" s="38"/>
      <c r="AAC88" s="38"/>
      <c r="AAD88" s="38"/>
      <c r="AAE88" s="38"/>
      <c r="AAF88" s="38"/>
      <c r="AAG88" s="38"/>
      <c r="AAH88" s="38"/>
      <c r="AAI88" s="38"/>
      <c r="AAJ88" s="38"/>
      <c r="AAK88" s="38"/>
      <c r="AAL88" s="38"/>
      <c r="AAM88" s="38"/>
      <c r="AAN88" s="38"/>
      <c r="AAO88" s="38"/>
      <c r="AAP88" s="38"/>
      <c r="AAQ88" s="38"/>
      <c r="AAR88" s="38"/>
      <c r="AAS88" s="38"/>
      <c r="AAT88" s="38"/>
      <c r="AAU88" s="38"/>
      <c r="AAV88" s="38"/>
      <c r="AAW88" s="38"/>
      <c r="AAX88" s="38"/>
      <c r="AAY88" s="38"/>
      <c r="AAZ88" s="38"/>
      <c r="ABA88" s="38"/>
      <c r="ABB88" s="38"/>
      <c r="ABC88" s="38"/>
      <c r="ABD88" s="38"/>
      <c r="ABE88" s="38"/>
      <c r="ABF88" s="38"/>
      <c r="ABG88" s="38"/>
      <c r="ABH88" s="38"/>
      <c r="ABI88" s="38"/>
      <c r="ABJ88" s="38"/>
      <c r="ABK88" s="38"/>
      <c r="ABL88" s="38"/>
      <c r="ABM88" s="38"/>
      <c r="ABN88" s="38"/>
      <c r="ABO88" s="38"/>
      <c r="ABP88" s="38"/>
      <c r="ABQ88" s="38"/>
      <c r="ABR88" s="38"/>
      <c r="ABS88" s="38"/>
      <c r="ABT88" s="38"/>
      <c r="ABU88" s="38"/>
      <c r="ABV88" s="38"/>
      <c r="ABW88" s="38"/>
      <c r="ABX88" s="38"/>
      <c r="ABY88" s="38"/>
      <c r="ABZ88" s="38"/>
      <c r="ACA88" s="38"/>
      <c r="ACB88" s="38"/>
      <c r="ACC88" s="38"/>
      <c r="ACD88" s="38"/>
      <c r="ACE88" s="38"/>
      <c r="ACF88" s="38"/>
      <c r="ACG88" s="38"/>
      <c r="ACH88" s="38"/>
      <c r="ACI88" s="38"/>
      <c r="ACJ88" s="38"/>
      <c r="ACK88" s="38"/>
      <c r="ACL88" s="38"/>
      <c r="ACM88" s="38"/>
      <c r="ACN88" s="38"/>
      <c r="ACO88" s="38"/>
      <c r="ACP88" s="38"/>
      <c r="ACQ88" s="38"/>
      <c r="ACR88" s="38"/>
      <c r="ACS88" s="38"/>
      <c r="ACT88" s="38"/>
      <c r="ACU88" s="38"/>
      <c r="ACV88" s="38"/>
      <c r="ACW88" s="38"/>
      <c r="ACX88" s="38"/>
      <c r="ACY88" s="38"/>
      <c r="ACZ88" s="38"/>
      <c r="ADA88" s="38"/>
      <c r="ADB88" s="38"/>
      <c r="ADC88" s="38"/>
      <c r="ADD88" s="38"/>
      <c r="ADE88" s="38"/>
      <c r="ADF88" s="38"/>
      <c r="ADG88" s="38"/>
      <c r="ADH88" s="38"/>
      <c r="ADI88" s="38"/>
      <c r="ADJ88" s="38"/>
      <c r="ADK88" s="38"/>
      <c r="ADL88" s="38"/>
      <c r="ADM88" s="38"/>
      <c r="ADN88" s="38"/>
      <c r="ADO88" s="38"/>
      <c r="ADP88" s="38"/>
      <c r="ADQ88" s="38"/>
      <c r="ADR88" s="38"/>
      <c r="ADS88" s="38"/>
      <c r="ADT88" s="38"/>
      <c r="ADU88" s="38"/>
      <c r="ADV88" s="38"/>
      <c r="ADW88" s="38"/>
      <c r="ADX88" s="38"/>
      <c r="ADY88" s="38"/>
      <c r="ADZ88" s="38"/>
      <c r="AEA88" s="38"/>
      <c r="AEB88" s="38"/>
      <c r="AEC88" s="38"/>
      <c r="AED88" s="38"/>
      <c r="AEE88" s="38"/>
      <c r="AEF88" s="38"/>
      <c r="AEG88" s="38"/>
      <c r="AEH88" s="38"/>
      <c r="AEI88" s="38"/>
      <c r="AEJ88" s="38"/>
      <c r="AEK88" s="38"/>
      <c r="AEL88" s="38"/>
      <c r="AEM88" s="38"/>
      <c r="AEN88" s="38"/>
      <c r="AEO88" s="38"/>
      <c r="AEP88" s="38"/>
      <c r="AEQ88" s="38"/>
      <c r="AER88" s="38"/>
      <c r="AES88" s="38"/>
      <c r="AET88" s="38"/>
      <c r="AEU88" s="38"/>
      <c r="AEV88" s="38"/>
      <c r="AEW88" s="38"/>
      <c r="AEX88" s="38"/>
      <c r="AEY88" s="38"/>
      <c r="AEZ88" s="38"/>
      <c r="AFA88" s="38"/>
      <c r="AFB88" s="38"/>
      <c r="AFC88" s="38"/>
      <c r="AFD88" s="38"/>
      <c r="AFE88" s="38"/>
      <c r="AFF88" s="38"/>
      <c r="AFG88" s="38"/>
      <c r="AFH88" s="38"/>
      <c r="AFI88" s="38"/>
      <c r="AFJ88" s="38"/>
      <c r="AFK88" s="38"/>
      <c r="AFL88" s="38"/>
      <c r="AFM88" s="38"/>
      <c r="AFN88" s="38"/>
      <c r="AFO88" s="38"/>
      <c r="AFP88" s="38"/>
      <c r="AFQ88" s="38"/>
      <c r="AFR88" s="38"/>
      <c r="AFS88" s="38"/>
      <c r="AFT88" s="38"/>
      <c r="AFU88" s="38"/>
      <c r="AFV88" s="38"/>
      <c r="AFW88" s="38"/>
      <c r="AFX88" s="38"/>
      <c r="AFY88" s="38"/>
      <c r="AFZ88" s="38"/>
      <c r="AGA88" s="38"/>
      <c r="AGB88" s="38"/>
      <c r="AGC88" s="38"/>
      <c r="AGD88" s="38"/>
      <c r="AGE88" s="38"/>
      <c r="AGF88" s="38"/>
      <c r="AGG88" s="38"/>
      <c r="AGH88" s="38"/>
      <c r="AGI88" s="38"/>
      <c r="AGJ88" s="38"/>
      <c r="AGK88" s="38"/>
      <c r="AGL88" s="38"/>
      <c r="AGM88" s="38"/>
      <c r="AGN88" s="38"/>
      <c r="AGO88" s="38"/>
      <c r="AGP88" s="38"/>
      <c r="AGQ88" s="38"/>
      <c r="AGR88" s="38"/>
      <c r="AGS88" s="38"/>
      <c r="AGT88" s="38"/>
      <c r="AGU88" s="38"/>
      <c r="AGV88" s="38"/>
      <c r="AGW88" s="38"/>
      <c r="AGX88" s="38"/>
      <c r="AGY88" s="38"/>
      <c r="AGZ88" s="38"/>
      <c r="AHA88" s="38"/>
      <c r="AHB88" s="38"/>
      <c r="AHC88" s="38"/>
      <c r="AHD88" s="38"/>
      <c r="AHE88" s="38"/>
      <c r="AHF88" s="38"/>
      <c r="AHG88" s="38"/>
      <c r="AHH88" s="38"/>
      <c r="AHI88" s="38"/>
      <c r="AHJ88" s="38"/>
      <c r="AHK88" s="38"/>
      <c r="AHL88" s="38"/>
      <c r="AHM88" s="38"/>
      <c r="AHN88" s="38"/>
      <c r="AHO88" s="38"/>
      <c r="AHP88" s="38"/>
      <c r="AHQ88" s="38"/>
      <c r="AHR88" s="38"/>
      <c r="AHS88" s="38"/>
      <c r="AHT88" s="38"/>
      <c r="AHU88" s="38"/>
      <c r="AHV88" s="38"/>
    </row>
    <row r="89" spans="1:906" s="27" customFormat="1" x14ac:dyDescent="0.35">
      <c r="A89" s="83">
        <v>84</v>
      </c>
      <c r="B89" s="108" t="s">
        <v>148</v>
      </c>
      <c r="C89" s="109" t="s">
        <v>149</v>
      </c>
      <c r="D89" s="109" t="s">
        <v>150</v>
      </c>
      <c r="E89" s="125"/>
      <c r="F89" s="125"/>
      <c r="G89" s="125"/>
      <c r="H89" s="125"/>
      <c r="I89" s="37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  <c r="CM89" s="38"/>
      <c r="CN89" s="38"/>
      <c r="CO89" s="38"/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38"/>
      <c r="DD89" s="38"/>
      <c r="DE89" s="38"/>
      <c r="DF89" s="38"/>
      <c r="DG89" s="38"/>
      <c r="DH89" s="38"/>
      <c r="DI89" s="38"/>
      <c r="DJ89" s="38"/>
      <c r="DK89" s="38"/>
      <c r="DL89" s="38"/>
      <c r="DM89" s="38"/>
      <c r="DN89" s="38"/>
      <c r="DO89" s="38"/>
      <c r="DP89" s="38"/>
      <c r="DQ89" s="38"/>
      <c r="DR89" s="38"/>
      <c r="DS89" s="38"/>
      <c r="DT89" s="38"/>
      <c r="DU89" s="38"/>
      <c r="DV89" s="38"/>
      <c r="DW89" s="38"/>
      <c r="DX89" s="38"/>
      <c r="DY89" s="38"/>
      <c r="DZ89" s="38"/>
      <c r="EA89" s="38"/>
      <c r="EB89" s="38"/>
      <c r="EC89" s="38"/>
      <c r="ED89" s="38"/>
      <c r="EE89" s="38"/>
      <c r="EF89" s="38"/>
      <c r="EG89" s="38"/>
      <c r="EH89" s="38"/>
      <c r="EI89" s="38"/>
      <c r="EJ89" s="38"/>
      <c r="EK89" s="38"/>
      <c r="EL89" s="38"/>
      <c r="EM89" s="38"/>
      <c r="EN89" s="38"/>
      <c r="EO89" s="38"/>
      <c r="EP89" s="38"/>
      <c r="EQ89" s="38"/>
      <c r="ER89" s="38"/>
      <c r="ES89" s="38"/>
      <c r="ET89" s="38"/>
      <c r="EU89" s="38"/>
      <c r="EV89" s="38"/>
      <c r="EW89" s="38"/>
      <c r="EX89" s="38"/>
      <c r="EY89" s="38"/>
      <c r="EZ89" s="38"/>
      <c r="FA89" s="38"/>
      <c r="FB89" s="38"/>
      <c r="FC89" s="38"/>
      <c r="FD89" s="38"/>
      <c r="FE89" s="38"/>
      <c r="FF89" s="38"/>
      <c r="FG89" s="38"/>
      <c r="FH89" s="38"/>
      <c r="FI89" s="38"/>
      <c r="FJ89" s="38"/>
      <c r="FK89" s="38"/>
      <c r="FL89" s="38"/>
      <c r="FM89" s="38"/>
      <c r="FN89" s="38"/>
      <c r="FO89" s="38"/>
      <c r="FP89" s="38"/>
      <c r="FQ89" s="38"/>
      <c r="FR89" s="38"/>
      <c r="FS89" s="38"/>
      <c r="FT89" s="38"/>
      <c r="FU89" s="38"/>
      <c r="FV89" s="38"/>
      <c r="FW89" s="38"/>
      <c r="FX89" s="38"/>
      <c r="FY89" s="38"/>
      <c r="FZ89" s="38"/>
      <c r="GA89" s="38"/>
      <c r="GB89" s="38"/>
      <c r="GC89" s="38"/>
      <c r="GD89" s="38"/>
      <c r="GE89" s="38"/>
      <c r="GF89" s="38"/>
      <c r="GG89" s="38"/>
      <c r="GH89" s="38"/>
      <c r="GI89" s="38"/>
      <c r="GJ89" s="38"/>
      <c r="GK89" s="38"/>
      <c r="GL89" s="38"/>
      <c r="GM89" s="38"/>
      <c r="GN89" s="38"/>
      <c r="GO89" s="38"/>
      <c r="GP89" s="38"/>
      <c r="GQ89" s="38"/>
      <c r="GR89" s="38"/>
      <c r="GS89" s="38"/>
      <c r="GT89" s="38"/>
      <c r="GU89" s="38"/>
      <c r="GV89" s="38"/>
      <c r="GW89" s="38"/>
      <c r="GX89" s="38"/>
      <c r="GY89" s="38"/>
      <c r="GZ89" s="38"/>
      <c r="HA89" s="38"/>
      <c r="HB89" s="38"/>
      <c r="HC89" s="38"/>
      <c r="HD89" s="38"/>
      <c r="HE89" s="38"/>
      <c r="HF89" s="38"/>
      <c r="HG89" s="38"/>
      <c r="HH89" s="38"/>
      <c r="HI89" s="38"/>
      <c r="HJ89" s="38"/>
      <c r="HK89" s="38"/>
      <c r="HL89" s="38"/>
      <c r="HM89" s="38"/>
      <c r="HN89" s="38"/>
      <c r="HO89" s="38"/>
      <c r="HP89" s="38"/>
      <c r="HQ89" s="38"/>
      <c r="HR89" s="38"/>
      <c r="HS89" s="38"/>
      <c r="HT89" s="38"/>
      <c r="HU89" s="38"/>
      <c r="HV89" s="38"/>
      <c r="HW89" s="38"/>
      <c r="HX89" s="38"/>
      <c r="HY89" s="38"/>
      <c r="HZ89" s="38"/>
      <c r="IA89" s="38"/>
      <c r="IB89" s="38"/>
      <c r="IC89" s="38"/>
      <c r="ID89" s="38"/>
      <c r="IE89" s="38"/>
      <c r="IF89" s="38"/>
      <c r="IG89" s="38"/>
      <c r="IH89" s="38"/>
      <c r="II89" s="38"/>
      <c r="IJ89" s="38"/>
      <c r="IK89" s="38"/>
      <c r="IL89" s="38"/>
      <c r="IM89" s="38"/>
      <c r="IN89" s="38"/>
      <c r="IO89" s="38"/>
      <c r="IP89" s="38"/>
      <c r="IQ89" s="38"/>
      <c r="IR89" s="38"/>
      <c r="IS89" s="38"/>
      <c r="IT89" s="38"/>
      <c r="IU89" s="38"/>
      <c r="IV89" s="38"/>
      <c r="IW89" s="38"/>
      <c r="IX89" s="38"/>
      <c r="IY89" s="38"/>
      <c r="IZ89" s="38"/>
      <c r="JA89" s="38"/>
      <c r="JB89" s="38"/>
      <c r="JC89" s="38"/>
      <c r="JD89" s="38"/>
      <c r="JE89" s="38"/>
      <c r="JF89" s="38"/>
      <c r="JG89" s="38"/>
      <c r="JH89" s="38"/>
      <c r="JI89" s="38"/>
      <c r="JJ89" s="38"/>
      <c r="JK89" s="38"/>
      <c r="JL89" s="38"/>
      <c r="JM89" s="38"/>
      <c r="JN89" s="38"/>
      <c r="JO89" s="38"/>
      <c r="JP89" s="38"/>
      <c r="JQ89" s="38"/>
      <c r="JR89" s="38"/>
      <c r="JS89" s="38"/>
      <c r="JT89" s="38"/>
      <c r="JU89" s="38"/>
      <c r="JV89" s="38"/>
      <c r="JW89" s="38"/>
      <c r="JX89" s="38"/>
      <c r="JY89" s="38"/>
      <c r="JZ89" s="38"/>
      <c r="KA89" s="38"/>
      <c r="KB89" s="38"/>
      <c r="KC89" s="38"/>
      <c r="KD89" s="38"/>
      <c r="KE89" s="38"/>
      <c r="KF89" s="38"/>
      <c r="KG89" s="38"/>
      <c r="KH89" s="38"/>
      <c r="KI89" s="38"/>
      <c r="KJ89" s="38"/>
      <c r="KK89" s="38"/>
      <c r="KL89" s="38"/>
      <c r="KM89" s="38"/>
      <c r="KN89" s="38"/>
      <c r="KO89" s="38"/>
      <c r="KP89" s="38"/>
      <c r="KQ89" s="38"/>
      <c r="KR89" s="38"/>
      <c r="KS89" s="38"/>
      <c r="KT89" s="38"/>
      <c r="KU89" s="38"/>
      <c r="KV89" s="38"/>
      <c r="KW89" s="38"/>
      <c r="KX89" s="38"/>
      <c r="KY89" s="38"/>
      <c r="KZ89" s="38"/>
      <c r="LA89" s="38"/>
      <c r="LB89" s="38"/>
      <c r="LC89" s="38"/>
      <c r="LD89" s="38"/>
      <c r="LE89" s="38"/>
      <c r="LF89" s="38"/>
      <c r="LG89" s="38"/>
      <c r="LH89" s="38"/>
      <c r="LI89" s="38"/>
      <c r="LJ89" s="38"/>
      <c r="LK89" s="38"/>
      <c r="LL89" s="38"/>
      <c r="LM89" s="38"/>
      <c r="LN89" s="38"/>
      <c r="LO89" s="38"/>
      <c r="LP89" s="38"/>
      <c r="LQ89" s="38"/>
      <c r="LR89" s="38"/>
      <c r="LS89" s="38"/>
      <c r="LT89" s="38"/>
      <c r="LU89" s="38"/>
      <c r="LV89" s="38"/>
      <c r="LW89" s="38"/>
      <c r="LX89" s="38"/>
      <c r="LY89" s="38"/>
      <c r="LZ89" s="38"/>
      <c r="MA89" s="38"/>
      <c r="MB89" s="38"/>
      <c r="MC89" s="38"/>
      <c r="MD89" s="38"/>
      <c r="ME89" s="38"/>
      <c r="MF89" s="38"/>
      <c r="MG89" s="38"/>
      <c r="MH89" s="38"/>
      <c r="MI89" s="38"/>
      <c r="MJ89" s="38"/>
      <c r="MK89" s="38"/>
      <c r="ML89" s="38"/>
      <c r="MM89" s="38"/>
      <c r="MN89" s="38"/>
      <c r="MO89" s="38"/>
      <c r="MP89" s="38"/>
      <c r="MQ89" s="38"/>
      <c r="MR89" s="38"/>
      <c r="MS89" s="38"/>
      <c r="MT89" s="38"/>
      <c r="MU89" s="38"/>
      <c r="MV89" s="38"/>
      <c r="MW89" s="38"/>
      <c r="MX89" s="38"/>
      <c r="MY89" s="38"/>
      <c r="MZ89" s="38"/>
      <c r="NA89" s="38"/>
      <c r="NB89" s="38"/>
      <c r="NC89" s="38"/>
      <c r="ND89" s="38"/>
      <c r="NE89" s="38"/>
      <c r="NF89" s="38"/>
      <c r="NG89" s="38"/>
      <c r="NH89" s="38"/>
      <c r="NI89" s="38"/>
      <c r="NJ89" s="38"/>
      <c r="NK89" s="38"/>
      <c r="NL89" s="38"/>
      <c r="NM89" s="38"/>
      <c r="NN89" s="38"/>
      <c r="NO89" s="38"/>
      <c r="NP89" s="38"/>
      <c r="NQ89" s="38"/>
      <c r="NR89" s="38"/>
      <c r="NS89" s="38"/>
      <c r="NT89" s="38"/>
      <c r="NU89" s="38"/>
      <c r="NV89" s="38"/>
      <c r="NW89" s="38"/>
      <c r="NX89" s="38"/>
      <c r="NY89" s="38"/>
      <c r="NZ89" s="38"/>
      <c r="OA89" s="38"/>
      <c r="OB89" s="38"/>
      <c r="OC89" s="38"/>
      <c r="OD89" s="38"/>
      <c r="OE89" s="38"/>
      <c r="OF89" s="38"/>
      <c r="OG89" s="38"/>
      <c r="OH89" s="38"/>
      <c r="OI89" s="38"/>
      <c r="OJ89" s="38"/>
      <c r="OK89" s="38"/>
      <c r="OL89" s="38"/>
      <c r="OM89" s="38"/>
      <c r="ON89" s="38"/>
      <c r="OO89" s="38"/>
      <c r="OP89" s="38"/>
      <c r="OQ89" s="38"/>
      <c r="OR89" s="38"/>
      <c r="OS89" s="38"/>
      <c r="OT89" s="38"/>
      <c r="OU89" s="38"/>
      <c r="OV89" s="38"/>
      <c r="OW89" s="38"/>
      <c r="OX89" s="38"/>
      <c r="OY89" s="38"/>
      <c r="OZ89" s="38"/>
      <c r="PA89" s="38"/>
      <c r="PB89" s="38"/>
      <c r="PC89" s="38"/>
      <c r="PD89" s="38"/>
      <c r="PE89" s="38"/>
      <c r="PF89" s="38"/>
      <c r="PG89" s="38"/>
      <c r="PH89" s="38"/>
      <c r="PI89" s="38"/>
      <c r="PJ89" s="38"/>
      <c r="PK89" s="38"/>
      <c r="PL89" s="38"/>
      <c r="PM89" s="38"/>
      <c r="PN89" s="38"/>
      <c r="PO89" s="38"/>
      <c r="PP89" s="38"/>
      <c r="PQ89" s="38"/>
      <c r="PR89" s="38"/>
      <c r="PS89" s="38"/>
      <c r="PT89" s="38"/>
      <c r="PU89" s="38"/>
      <c r="PV89" s="38"/>
      <c r="PW89" s="38"/>
      <c r="PX89" s="38"/>
      <c r="PY89" s="38"/>
      <c r="PZ89" s="38"/>
      <c r="QA89" s="38"/>
      <c r="QB89" s="38"/>
      <c r="QC89" s="38"/>
      <c r="QD89" s="38"/>
      <c r="QE89" s="38"/>
      <c r="QF89" s="38"/>
      <c r="QG89" s="38"/>
      <c r="QH89" s="38"/>
      <c r="QI89" s="38"/>
      <c r="QJ89" s="38"/>
      <c r="QK89" s="38"/>
      <c r="QL89" s="38"/>
      <c r="QM89" s="38"/>
      <c r="QN89" s="38"/>
      <c r="QO89" s="38"/>
      <c r="QP89" s="38"/>
      <c r="QQ89" s="38"/>
      <c r="QR89" s="38"/>
      <c r="QS89" s="38"/>
      <c r="QT89" s="38"/>
      <c r="QU89" s="38"/>
      <c r="QV89" s="38"/>
      <c r="QW89" s="38"/>
      <c r="QX89" s="38"/>
      <c r="QY89" s="38"/>
      <c r="QZ89" s="38"/>
      <c r="RA89" s="38"/>
      <c r="RB89" s="38"/>
      <c r="RC89" s="38"/>
      <c r="RD89" s="38"/>
      <c r="RE89" s="38"/>
      <c r="RF89" s="38"/>
      <c r="RG89" s="38"/>
      <c r="RH89" s="38"/>
      <c r="RI89" s="38"/>
      <c r="RJ89" s="38"/>
      <c r="RK89" s="38"/>
      <c r="RL89" s="38"/>
      <c r="RM89" s="38"/>
      <c r="RN89" s="38"/>
      <c r="RO89" s="38"/>
      <c r="RP89" s="38"/>
      <c r="RQ89" s="38"/>
      <c r="RR89" s="38"/>
      <c r="RS89" s="38"/>
      <c r="RT89" s="38"/>
      <c r="RU89" s="38"/>
      <c r="RV89" s="38"/>
      <c r="RW89" s="38"/>
      <c r="RX89" s="38"/>
      <c r="RY89" s="38"/>
      <c r="RZ89" s="38"/>
      <c r="SA89" s="38"/>
      <c r="SB89" s="38"/>
      <c r="SC89" s="38"/>
      <c r="SD89" s="38"/>
      <c r="SE89" s="38"/>
      <c r="SF89" s="38"/>
      <c r="SG89" s="38"/>
      <c r="SH89" s="38"/>
      <c r="SI89" s="38"/>
      <c r="SJ89" s="38"/>
      <c r="SK89" s="38"/>
      <c r="SL89" s="38"/>
      <c r="SM89" s="38"/>
      <c r="SN89" s="38"/>
      <c r="SO89" s="38"/>
      <c r="SP89" s="38"/>
      <c r="SQ89" s="38"/>
      <c r="SR89" s="38"/>
      <c r="SS89" s="38"/>
      <c r="ST89" s="38"/>
      <c r="SU89" s="38"/>
      <c r="SV89" s="38"/>
      <c r="SW89" s="38"/>
      <c r="SX89" s="38"/>
      <c r="SY89" s="38"/>
      <c r="SZ89" s="38"/>
      <c r="TA89" s="38"/>
      <c r="TB89" s="38"/>
      <c r="TC89" s="38"/>
      <c r="TD89" s="38"/>
      <c r="TE89" s="38"/>
      <c r="TF89" s="38"/>
      <c r="TG89" s="38"/>
      <c r="TH89" s="38"/>
      <c r="TI89" s="38"/>
      <c r="TJ89" s="38"/>
      <c r="TK89" s="38"/>
      <c r="TL89" s="38"/>
      <c r="TM89" s="38"/>
      <c r="TN89" s="38"/>
      <c r="TO89" s="38"/>
      <c r="TP89" s="38"/>
      <c r="TQ89" s="38"/>
      <c r="TR89" s="38"/>
      <c r="TS89" s="38"/>
      <c r="TT89" s="38"/>
      <c r="TU89" s="38"/>
      <c r="TV89" s="38"/>
      <c r="TW89" s="38"/>
      <c r="TX89" s="38"/>
      <c r="TY89" s="38"/>
      <c r="TZ89" s="38"/>
      <c r="UA89" s="38"/>
      <c r="UB89" s="38"/>
      <c r="UC89" s="38"/>
      <c r="UD89" s="38"/>
      <c r="UE89" s="38"/>
      <c r="UF89" s="38"/>
      <c r="UG89" s="38"/>
      <c r="UH89" s="38"/>
      <c r="UI89" s="38"/>
      <c r="UJ89" s="38"/>
      <c r="UK89" s="38"/>
      <c r="UL89" s="38"/>
      <c r="UM89" s="38"/>
      <c r="UN89" s="38"/>
      <c r="UO89" s="38"/>
      <c r="UP89" s="38"/>
      <c r="UQ89" s="38"/>
      <c r="UR89" s="38"/>
      <c r="US89" s="38"/>
      <c r="UT89" s="38"/>
      <c r="UU89" s="38"/>
      <c r="UV89" s="38"/>
      <c r="UW89" s="38"/>
      <c r="UX89" s="38"/>
      <c r="UY89" s="38"/>
      <c r="UZ89" s="38"/>
      <c r="VA89" s="38"/>
      <c r="VB89" s="38"/>
      <c r="VC89" s="38"/>
      <c r="VD89" s="38"/>
      <c r="VE89" s="38"/>
      <c r="VF89" s="38"/>
      <c r="VG89" s="38"/>
      <c r="VH89" s="38"/>
      <c r="VI89" s="38"/>
      <c r="VJ89" s="38"/>
      <c r="VK89" s="38"/>
      <c r="VL89" s="38"/>
      <c r="VM89" s="38"/>
      <c r="VN89" s="38"/>
      <c r="VO89" s="38"/>
      <c r="VP89" s="38"/>
      <c r="VQ89" s="38"/>
      <c r="VR89" s="38"/>
      <c r="VS89" s="38"/>
      <c r="VT89" s="38"/>
      <c r="VU89" s="38"/>
      <c r="VV89" s="38"/>
      <c r="VW89" s="38"/>
      <c r="VX89" s="38"/>
      <c r="VY89" s="38"/>
      <c r="VZ89" s="38"/>
      <c r="WA89" s="38"/>
      <c r="WB89" s="38"/>
      <c r="WC89" s="38"/>
      <c r="WD89" s="38"/>
      <c r="WE89" s="38"/>
      <c r="WF89" s="38"/>
      <c r="WG89" s="38"/>
      <c r="WH89" s="38"/>
      <c r="WI89" s="38"/>
      <c r="WJ89" s="38"/>
      <c r="WK89" s="38"/>
      <c r="WL89" s="38"/>
      <c r="WM89" s="38"/>
      <c r="WN89" s="38"/>
      <c r="WO89" s="38"/>
      <c r="WP89" s="38"/>
      <c r="WQ89" s="38"/>
      <c r="WR89" s="38"/>
      <c r="WS89" s="38"/>
      <c r="WT89" s="38"/>
      <c r="WU89" s="38"/>
      <c r="WV89" s="38"/>
      <c r="WW89" s="38"/>
      <c r="WX89" s="38"/>
      <c r="WY89" s="38"/>
      <c r="WZ89" s="38"/>
      <c r="XA89" s="38"/>
      <c r="XB89" s="38"/>
      <c r="XC89" s="38"/>
      <c r="XD89" s="38"/>
      <c r="XE89" s="38"/>
      <c r="XF89" s="38"/>
      <c r="XG89" s="38"/>
      <c r="XH89" s="38"/>
      <c r="XI89" s="38"/>
      <c r="XJ89" s="38"/>
      <c r="XK89" s="38"/>
      <c r="XL89" s="38"/>
      <c r="XM89" s="38"/>
      <c r="XN89" s="38"/>
      <c r="XO89" s="38"/>
      <c r="XP89" s="38"/>
      <c r="XQ89" s="38"/>
      <c r="XR89" s="38"/>
      <c r="XS89" s="38"/>
      <c r="XT89" s="38"/>
      <c r="XU89" s="38"/>
      <c r="XV89" s="38"/>
      <c r="XW89" s="38"/>
      <c r="XX89" s="38"/>
      <c r="XY89" s="38"/>
      <c r="XZ89" s="38"/>
      <c r="YA89" s="38"/>
      <c r="YB89" s="38"/>
      <c r="YC89" s="38"/>
      <c r="YD89" s="38"/>
      <c r="YE89" s="38"/>
      <c r="YF89" s="38"/>
      <c r="YG89" s="38"/>
      <c r="YH89" s="38"/>
      <c r="YI89" s="38"/>
      <c r="YJ89" s="38"/>
      <c r="YK89" s="38"/>
      <c r="YL89" s="38"/>
      <c r="YM89" s="38"/>
      <c r="YN89" s="38"/>
      <c r="YO89" s="38"/>
      <c r="YP89" s="38"/>
      <c r="YQ89" s="38"/>
      <c r="YR89" s="38"/>
      <c r="YS89" s="38"/>
      <c r="YT89" s="38"/>
      <c r="YU89" s="38"/>
      <c r="YV89" s="38"/>
      <c r="YW89" s="38"/>
      <c r="YX89" s="38"/>
      <c r="YY89" s="38"/>
      <c r="YZ89" s="38"/>
      <c r="ZA89" s="38"/>
      <c r="ZB89" s="38"/>
      <c r="ZC89" s="38"/>
      <c r="ZD89" s="38"/>
      <c r="ZE89" s="38"/>
      <c r="ZF89" s="38"/>
      <c r="ZG89" s="38"/>
      <c r="ZH89" s="38"/>
      <c r="ZI89" s="38"/>
      <c r="ZJ89" s="38"/>
      <c r="ZK89" s="38"/>
      <c r="ZL89" s="38"/>
      <c r="ZM89" s="38"/>
      <c r="ZN89" s="38"/>
      <c r="ZO89" s="38"/>
      <c r="ZP89" s="38"/>
      <c r="ZQ89" s="38"/>
      <c r="ZR89" s="38"/>
      <c r="ZS89" s="38"/>
      <c r="ZT89" s="38"/>
      <c r="ZU89" s="38"/>
      <c r="ZV89" s="38"/>
      <c r="ZW89" s="38"/>
      <c r="ZX89" s="38"/>
      <c r="ZY89" s="38"/>
      <c r="ZZ89" s="38"/>
      <c r="AAA89" s="38"/>
      <c r="AAB89" s="38"/>
      <c r="AAC89" s="38"/>
      <c r="AAD89" s="38"/>
      <c r="AAE89" s="38"/>
      <c r="AAF89" s="38"/>
      <c r="AAG89" s="38"/>
      <c r="AAH89" s="38"/>
      <c r="AAI89" s="38"/>
      <c r="AAJ89" s="38"/>
      <c r="AAK89" s="38"/>
      <c r="AAL89" s="38"/>
      <c r="AAM89" s="38"/>
      <c r="AAN89" s="38"/>
      <c r="AAO89" s="38"/>
      <c r="AAP89" s="38"/>
      <c r="AAQ89" s="38"/>
      <c r="AAR89" s="38"/>
      <c r="AAS89" s="38"/>
      <c r="AAT89" s="38"/>
      <c r="AAU89" s="38"/>
      <c r="AAV89" s="38"/>
      <c r="AAW89" s="38"/>
      <c r="AAX89" s="38"/>
      <c r="AAY89" s="38"/>
      <c r="AAZ89" s="38"/>
      <c r="ABA89" s="38"/>
      <c r="ABB89" s="38"/>
      <c r="ABC89" s="38"/>
      <c r="ABD89" s="38"/>
      <c r="ABE89" s="38"/>
      <c r="ABF89" s="38"/>
      <c r="ABG89" s="38"/>
      <c r="ABH89" s="38"/>
      <c r="ABI89" s="38"/>
      <c r="ABJ89" s="38"/>
      <c r="ABK89" s="38"/>
      <c r="ABL89" s="38"/>
      <c r="ABM89" s="38"/>
      <c r="ABN89" s="38"/>
      <c r="ABO89" s="38"/>
      <c r="ABP89" s="38"/>
      <c r="ABQ89" s="38"/>
      <c r="ABR89" s="38"/>
      <c r="ABS89" s="38"/>
      <c r="ABT89" s="38"/>
      <c r="ABU89" s="38"/>
      <c r="ABV89" s="38"/>
      <c r="ABW89" s="38"/>
      <c r="ABX89" s="38"/>
      <c r="ABY89" s="38"/>
      <c r="ABZ89" s="38"/>
      <c r="ACA89" s="38"/>
      <c r="ACB89" s="38"/>
      <c r="ACC89" s="38"/>
      <c r="ACD89" s="38"/>
      <c r="ACE89" s="38"/>
      <c r="ACF89" s="38"/>
      <c r="ACG89" s="38"/>
      <c r="ACH89" s="38"/>
      <c r="ACI89" s="38"/>
      <c r="ACJ89" s="38"/>
      <c r="ACK89" s="38"/>
      <c r="ACL89" s="38"/>
      <c r="ACM89" s="38"/>
      <c r="ACN89" s="38"/>
      <c r="ACO89" s="38"/>
      <c r="ACP89" s="38"/>
      <c r="ACQ89" s="38"/>
      <c r="ACR89" s="38"/>
      <c r="ACS89" s="38"/>
      <c r="ACT89" s="38"/>
      <c r="ACU89" s="38"/>
      <c r="ACV89" s="38"/>
      <c r="ACW89" s="38"/>
      <c r="ACX89" s="38"/>
      <c r="ACY89" s="38"/>
      <c r="ACZ89" s="38"/>
      <c r="ADA89" s="38"/>
      <c r="ADB89" s="38"/>
      <c r="ADC89" s="38"/>
      <c r="ADD89" s="38"/>
      <c r="ADE89" s="38"/>
      <c r="ADF89" s="38"/>
      <c r="ADG89" s="38"/>
      <c r="ADH89" s="38"/>
      <c r="ADI89" s="38"/>
      <c r="ADJ89" s="38"/>
      <c r="ADK89" s="38"/>
      <c r="ADL89" s="38"/>
      <c r="ADM89" s="38"/>
      <c r="ADN89" s="38"/>
      <c r="ADO89" s="38"/>
      <c r="ADP89" s="38"/>
      <c r="ADQ89" s="38"/>
      <c r="ADR89" s="38"/>
      <c r="ADS89" s="38"/>
      <c r="ADT89" s="38"/>
      <c r="ADU89" s="38"/>
      <c r="ADV89" s="38"/>
      <c r="ADW89" s="38"/>
      <c r="ADX89" s="38"/>
      <c r="ADY89" s="38"/>
      <c r="ADZ89" s="38"/>
      <c r="AEA89" s="38"/>
      <c r="AEB89" s="38"/>
      <c r="AEC89" s="38"/>
      <c r="AED89" s="38"/>
      <c r="AEE89" s="38"/>
      <c r="AEF89" s="38"/>
      <c r="AEG89" s="38"/>
      <c r="AEH89" s="38"/>
      <c r="AEI89" s="38"/>
      <c r="AEJ89" s="38"/>
      <c r="AEK89" s="38"/>
      <c r="AEL89" s="38"/>
      <c r="AEM89" s="38"/>
      <c r="AEN89" s="38"/>
      <c r="AEO89" s="38"/>
      <c r="AEP89" s="38"/>
      <c r="AEQ89" s="38"/>
      <c r="AER89" s="38"/>
      <c r="AES89" s="38"/>
      <c r="AET89" s="38"/>
      <c r="AEU89" s="38"/>
      <c r="AEV89" s="38"/>
      <c r="AEW89" s="38"/>
      <c r="AEX89" s="38"/>
      <c r="AEY89" s="38"/>
      <c r="AEZ89" s="38"/>
      <c r="AFA89" s="38"/>
      <c r="AFB89" s="38"/>
      <c r="AFC89" s="38"/>
      <c r="AFD89" s="38"/>
      <c r="AFE89" s="38"/>
      <c r="AFF89" s="38"/>
      <c r="AFG89" s="38"/>
      <c r="AFH89" s="38"/>
      <c r="AFI89" s="38"/>
      <c r="AFJ89" s="38"/>
      <c r="AFK89" s="38"/>
      <c r="AFL89" s="38"/>
      <c r="AFM89" s="38"/>
      <c r="AFN89" s="38"/>
      <c r="AFO89" s="38"/>
      <c r="AFP89" s="38"/>
      <c r="AFQ89" s="38"/>
      <c r="AFR89" s="38"/>
      <c r="AFS89" s="38"/>
      <c r="AFT89" s="38"/>
      <c r="AFU89" s="38"/>
      <c r="AFV89" s="38"/>
      <c r="AFW89" s="38"/>
      <c r="AFX89" s="38"/>
      <c r="AFY89" s="38"/>
      <c r="AFZ89" s="38"/>
      <c r="AGA89" s="38"/>
      <c r="AGB89" s="38"/>
      <c r="AGC89" s="38"/>
      <c r="AGD89" s="38"/>
      <c r="AGE89" s="38"/>
      <c r="AGF89" s="38"/>
      <c r="AGG89" s="38"/>
      <c r="AGH89" s="38"/>
      <c r="AGI89" s="38"/>
      <c r="AGJ89" s="38"/>
      <c r="AGK89" s="38"/>
      <c r="AGL89" s="38"/>
      <c r="AGM89" s="38"/>
      <c r="AGN89" s="38"/>
      <c r="AGO89" s="38"/>
      <c r="AGP89" s="38"/>
      <c r="AGQ89" s="38"/>
      <c r="AGR89" s="38"/>
      <c r="AGS89" s="38"/>
      <c r="AGT89" s="38"/>
      <c r="AGU89" s="38"/>
      <c r="AGV89" s="38"/>
      <c r="AGW89" s="38"/>
      <c r="AGX89" s="38"/>
      <c r="AGY89" s="38"/>
      <c r="AGZ89" s="38"/>
      <c r="AHA89" s="38"/>
      <c r="AHB89" s="38"/>
      <c r="AHC89" s="38"/>
      <c r="AHD89" s="38"/>
      <c r="AHE89" s="38"/>
      <c r="AHF89" s="38"/>
      <c r="AHG89" s="38"/>
      <c r="AHH89" s="38"/>
      <c r="AHI89" s="38"/>
      <c r="AHJ89" s="38"/>
      <c r="AHK89" s="38"/>
      <c r="AHL89" s="38"/>
      <c r="AHM89" s="38"/>
      <c r="AHN89" s="38"/>
      <c r="AHO89" s="38"/>
      <c r="AHP89" s="38"/>
      <c r="AHQ89" s="38"/>
      <c r="AHR89" s="38"/>
      <c r="AHS89" s="38"/>
      <c r="AHT89" s="38"/>
      <c r="AHU89" s="38"/>
      <c r="AHV89" s="38"/>
    </row>
    <row r="90" spans="1:906" s="27" customFormat="1" x14ac:dyDescent="0.35">
      <c r="A90" s="83">
        <v>85</v>
      </c>
      <c r="B90" s="108" t="s">
        <v>148</v>
      </c>
      <c r="C90" s="109" t="s">
        <v>149</v>
      </c>
      <c r="D90" s="109" t="s">
        <v>129</v>
      </c>
      <c r="E90" s="125">
        <v>41.25</v>
      </c>
      <c r="F90" s="125">
        <v>35.950000000000003</v>
      </c>
      <c r="G90" s="125">
        <v>32.950000000000003</v>
      </c>
      <c r="H90" s="125"/>
      <c r="I90" s="37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38"/>
      <c r="CL90" s="38"/>
      <c r="CM90" s="38"/>
      <c r="CN90" s="38"/>
      <c r="CO90" s="38"/>
      <c r="CP90" s="38"/>
      <c r="CQ90" s="38"/>
      <c r="CR90" s="38"/>
      <c r="CS90" s="38"/>
      <c r="CT90" s="38"/>
      <c r="CU90" s="38"/>
      <c r="CV90" s="38"/>
      <c r="CW90" s="38"/>
      <c r="CX90" s="38"/>
      <c r="CY90" s="38"/>
      <c r="CZ90" s="38"/>
      <c r="DA90" s="38"/>
      <c r="DB90" s="38"/>
      <c r="DC90" s="38"/>
      <c r="DD90" s="38"/>
      <c r="DE90" s="38"/>
      <c r="DF90" s="38"/>
      <c r="DG90" s="38"/>
      <c r="DH90" s="38"/>
      <c r="DI90" s="38"/>
      <c r="DJ90" s="38"/>
      <c r="DK90" s="38"/>
      <c r="DL90" s="38"/>
      <c r="DM90" s="38"/>
      <c r="DN90" s="38"/>
      <c r="DO90" s="38"/>
      <c r="DP90" s="38"/>
      <c r="DQ90" s="38"/>
      <c r="DR90" s="38"/>
      <c r="DS90" s="38"/>
      <c r="DT90" s="38"/>
      <c r="DU90" s="38"/>
      <c r="DV90" s="38"/>
      <c r="DW90" s="38"/>
      <c r="DX90" s="38"/>
      <c r="DY90" s="38"/>
      <c r="DZ90" s="38"/>
      <c r="EA90" s="38"/>
      <c r="EB90" s="38"/>
      <c r="EC90" s="38"/>
      <c r="ED90" s="38"/>
      <c r="EE90" s="38"/>
      <c r="EF90" s="38"/>
      <c r="EG90" s="38"/>
      <c r="EH90" s="38"/>
      <c r="EI90" s="38"/>
      <c r="EJ90" s="38"/>
      <c r="EK90" s="38"/>
      <c r="EL90" s="38"/>
      <c r="EM90" s="38"/>
      <c r="EN90" s="38"/>
      <c r="EO90" s="38"/>
      <c r="EP90" s="38"/>
      <c r="EQ90" s="38"/>
      <c r="ER90" s="38"/>
      <c r="ES90" s="38"/>
      <c r="ET90" s="38"/>
      <c r="EU90" s="38"/>
      <c r="EV90" s="38"/>
      <c r="EW90" s="38"/>
      <c r="EX90" s="38"/>
      <c r="EY90" s="38"/>
      <c r="EZ90" s="38"/>
      <c r="FA90" s="38"/>
      <c r="FB90" s="38"/>
      <c r="FC90" s="38"/>
      <c r="FD90" s="38"/>
      <c r="FE90" s="38"/>
      <c r="FF90" s="38"/>
      <c r="FG90" s="38"/>
      <c r="FH90" s="38"/>
      <c r="FI90" s="38"/>
      <c r="FJ90" s="38"/>
      <c r="FK90" s="38"/>
      <c r="FL90" s="38"/>
      <c r="FM90" s="38"/>
      <c r="FN90" s="38"/>
      <c r="FO90" s="38"/>
      <c r="FP90" s="38"/>
      <c r="FQ90" s="38"/>
      <c r="FR90" s="38"/>
      <c r="FS90" s="38"/>
      <c r="FT90" s="38"/>
      <c r="FU90" s="38"/>
      <c r="FV90" s="38"/>
      <c r="FW90" s="38"/>
      <c r="FX90" s="38"/>
      <c r="FY90" s="38"/>
      <c r="FZ90" s="38"/>
      <c r="GA90" s="38"/>
      <c r="GB90" s="38"/>
      <c r="GC90" s="38"/>
      <c r="GD90" s="38"/>
      <c r="GE90" s="38"/>
      <c r="GF90" s="38"/>
      <c r="GG90" s="38"/>
      <c r="GH90" s="38"/>
      <c r="GI90" s="38"/>
      <c r="GJ90" s="38"/>
      <c r="GK90" s="38"/>
      <c r="GL90" s="38"/>
      <c r="GM90" s="38"/>
      <c r="GN90" s="38"/>
      <c r="GO90" s="38"/>
      <c r="GP90" s="38"/>
      <c r="GQ90" s="38"/>
      <c r="GR90" s="38"/>
      <c r="GS90" s="38"/>
      <c r="GT90" s="38"/>
      <c r="GU90" s="38"/>
      <c r="GV90" s="38"/>
      <c r="GW90" s="38"/>
      <c r="GX90" s="38"/>
      <c r="GY90" s="38"/>
      <c r="GZ90" s="38"/>
      <c r="HA90" s="38"/>
      <c r="HB90" s="38"/>
      <c r="HC90" s="38"/>
      <c r="HD90" s="38"/>
      <c r="HE90" s="38"/>
      <c r="HF90" s="38"/>
      <c r="HG90" s="38"/>
      <c r="HH90" s="38"/>
      <c r="HI90" s="38"/>
      <c r="HJ90" s="38"/>
      <c r="HK90" s="38"/>
      <c r="HL90" s="38"/>
      <c r="HM90" s="38"/>
      <c r="HN90" s="38"/>
      <c r="HO90" s="38"/>
      <c r="HP90" s="38"/>
      <c r="HQ90" s="38"/>
      <c r="HR90" s="38"/>
      <c r="HS90" s="38"/>
      <c r="HT90" s="38"/>
      <c r="HU90" s="38"/>
      <c r="HV90" s="38"/>
      <c r="HW90" s="38"/>
      <c r="HX90" s="38"/>
      <c r="HY90" s="38"/>
      <c r="HZ90" s="38"/>
      <c r="IA90" s="38"/>
      <c r="IB90" s="38"/>
      <c r="IC90" s="38"/>
      <c r="ID90" s="38"/>
      <c r="IE90" s="38"/>
      <c r="IF90" s="38"/>
      <c r="IG90" s="38"/>
      <c r="IH90" s="38"/>
      <c r="II90" s="38"/>
      <c r="IJ90" s="38"/>
      <c r="IK90" s="38"/>
      <c r="IL90" s="38"/>
      <c r="IM90" s="38"/>
      <c r="IN90" s="38"/>
      <c r="IO90" s="38"/>
      <c r="IP90" s="38"/>
      <c r="IQ90" s="38"/>
      <c r="IR90" s="38"/>
      <c r="IS90" s="38"/>
      <c r="IT90" s="38"/>
      <c r="IU90" s="38"/>
      <c r="IV90" s="38"/>
      <c r="IW90" s="38"/>
      <c r="IX90" s="38"/>
      <c r="IY90" s="38"/>
      <c r="IZ90" s="38"/>
      <c r="JA90" s="38"/>
      <c r="JB90" s="38"/>
      <c r="JC90" s="38"/>
      <c r="JD90" s="38"/>
      <c r="JE90" s="38"/>
      <c r="JF90" s="38"/>
      <c r="JG90" s="38"/>
      <c r="JH90" s="38"/>
      <c r="JI90" s="38"/>
      <c r="JJ90" s="38"/>
      <c r="JK90" s="38"/>
      <c r="JL90" s="38"/>
      <c r="JM90" s="38"/>
      <c r="JN90" s="38"/>
      <c r="JO90" s="38"/>
      <c r="JP90" s="38"/>
      <c r="JQ90" s="38"/>
      <c r="JR90" s="38"/>
      <c r="JS90" s="38"/>
      <c r="JT90" s="38"/>
      <c r="JU90" s="38"/>
      <c r="JV90" s="38"/>
      <c r="JW90" s="38"/>
      <c r="JX90" s="38"/>
      <c r="JY90" s="38"/>
      <c r="JZ90" s="38"/>
      <c r="KA90" s="38"/>
      <c r="KB90" s="38"/>
      <c r="KC90" s="38"/>
      <c r="KD90" s="38"/>
      <c r="KE90" s="38"/>
      <c r="KF90" s="38"/>
      <c r="KG90" s="38"/>
      <c r="KH90" s="38"/>
      <c r="KI90" s="38"/>
      <c r="KJ90" s="38"/>
      <c r="KK90" s="38"/>
      <c r="KL90" s="38"/>
      <c r="KM90" s="38"/>
      <c r="KN90" s="38"/>
      <c r="KO90" s="38"/>
      <c r="KP90" s="38"/>
      <c r="KQ90" s="38"/>
      <c r="KR90" s="38"/>
      <c r="KS90" s="38"/>
      <c r="KT90" s="38"/>
      <c r="KU90" s="38"/>
      <c r="KV90" s="38"/>
      <c r="KW90" s="38"/>
      <c r="KX90" s="38"/>
      <c r="KY90" s="38"/>
      <c r="KZ90" s="38"/>
      <c r="LA90" s="38"/>
      <c r="LB90" s="38"/>
      <c r="LC90" s="38"/>
      <c r="LD90" s="38"/>
      <c r="LE90" s="38"/>
      <c r="LF90" s="38"/>
      <c r="LG90" s="38"/>
      <c r="LH90" s="38"/>
      <c r="LI90" s="38"/>
      <c r="LJ90" s="38"/>
      <c r="LK90" s="38"/>
      <c r="LL90" s="38"/>
      <c r="LM90" s="38"/>
      <c r="LN90" s="38"/>
      <c r="LO90" s="38"/>
      <c r="LP90" s="38"/>
      <c r="LQ90" s="38"/>
      <c r="LR90" s="38"/>
      <c r="LS90" s="38"/>
      <c r="LT90" s="38"/>
      <c r="LU90" s="38"/>
      <c r="LV90" s="38"/>
      <c r="LW90" s="38"/>
      <c r="LX90" s="38"/>
      <c r="LY90" s="38"/>
      <c r="LZ90" s="38"/>
      <c r="MA90" s="38"/>
      <c r="MB90" s="38"/>
      <c r="MC90" s="38"/>
      <c r="MD90" s="38"/>
      <c r="ME90" s="38"/>
      <c r="MF90" s="38"/>
      <c r="MG90" s="38"/>
      <c r="MH90" s="38"/>
      <c r="MI90" s="38"/>
      <c r="MJ90" s="38"/>
      <c r="MK90" s="38"/>
      <c r="ML90" s="38"/>
      <c r="MM90" s="38"/>
      <c r="MN90" s="38"/>
      <c r="MO90" s="38"/>
      <c r="MP90" s="38"/>
      <c r="MQ90" s="38"/>
      <c r="MR90" s="38"/>
      <c r="MS90" s="38"/>
      <c r="MT90" s="38"/>
      <c r="MU90" s="38"/>
      <c r="MV90" s="38"/>
      <c r="MW90" s="38"/>
      <c r="MX90" s="38"/>
      <c r="MY90" s="38"/>
      <c r="MZ90" s="38"/>
      <c r="NA90" s="38"/>
      <c r="NB90" s="38"/>
      <c r="NC90" s="38"/>
      <c r="ND90" s="38"/>
      <c r="NE90" s="38"/>
      <c r="NF90" s="38"/>
      <c r="NG90" s="38"/>
      <c r="NH90" s="38"/>
      <c r="NI90" s="38"/>
      <c r="NJ90" s="38"/>
      <c r="NK90" s="38"/>
      <c r="NL90" s="38"/>
      <c r="NM90" s="38"/>
      <c r="NN90" s="38"/>
      <c r="NO90" s="38"/>
      <c r="NP90" s="38"/>
      <c r="NQ90" s="38"/>
      <c r="NR90" s="38"/>
      <c r="NS90" s="38"/>
      <c r="NT90" s="38"/>
      <c r="NU90" s="38"/>
      <c r="NV90" s="38"/>
      <c r="NW90" s="38"/>
      <c r="NX90" s="38"/>
      <c r="NY90" s="38"/>
      <c r="NZ90" s="38"/>
      <c r="OA90" s="38"/>
      <c r="OB90" s="38"/>
      <c r="OC90" s="38"/>
      <c r="OD90" s="38"/>
      <c r="OE90" s="38"/>
      <c r="OF90" s="38"/>
      <c r="OG90" s="38"/>
      <c r="OH90" s="38"/>
      <c r="OI90" s="38"/>
      <c r="OJ90" s="38"/>
      <c r="OK90" s="38"/>
      <c r="OL90" s="38"/>
      <c r="OM90" s="38"/>
      <c r="ON90" s="38"/>
      <c r="OO90" s="38"/>
      <c r="OP90" s="38"/>
      <c r="OQ90" s="38"/>
      <c r="OR90" s="38"/>
      <c r="OS90" s="38"/>
      <c r="OT90" s="38"/>
      <c r="OU90" s="38"/>
      <c r="OV90" s="38"/>
      <c r="OW90" s="38"/>
      <c r="OX90" s="38"/>
      <c r="OY90" s="38"/>
      <c r="OZ90" s="38"/>
      <c r="PA90" s="38"/>
      <c r="PB90" s="38"/>
      <c r="PC90" s="38"/>
      <c r="PD90" s="38"/>
      <c r="PE90" s="38"/>
      <c r="PF90" s="38"/>
      <c r="PG90" s="38"/>
      <c r="PH90" s="38"/>
      <c r="PI90" s="38"/>
      <c r="PJ90" s="38"/>
      <c r="PK90" s="38"/>
      <c r="PL90" s="38"/>
      <c r="PM90" s="38"/>
      <c r="PN90" s="38"/>
      <c r="PO90" s="38"/>
      <c r="PP90" s="38"/>
      <c r="PQ90" s="38"/>
      <c r="PR90" s="38"/>
      <c r="PS90" s="38"/>
      <c r="PT90" s="38"/>
      <c r="PU90" s="38"/>
      <c r="PV90" s="38"/>
      <c r="PW90" s="38"/>
      <c r="PX90" s="38"/>
      <c r="PY90" s="38"/>
      <c r="PZ90" s="38"/>
      <c r="QA90" s="38"/>
      <c r="QB90" s="38"/>
      <c r="QC90" s="38"/>
      <c r="QD90" s="38"/>
      <c r="QE90" s="38"/>
      <c r="QF90" s="38"/>
      <c r="QG90" s="38"/>
      <c r="QH90" s="38"/>
      <c r="QI90" s="38"/>
      <c r="QJ90" s="38"/>
      <c r="QK90" s="38"/>
      <c r="QL90" s="38"/>
      <c r="QM90" s="38"/>
      <c r="QN90" s="38"/>
      <c r="QO90" s="38"/>
      <c r="QP90" s="38"/>
      <c r="QQ90" s="38"/>
      <c r="QR90" s="38"/>
      <c r="QS90" s="38"/>
      <c r="QT90" s="38"/>
      <c r="QU90" s="38"/>
      <c r="QV90" s="38"/>
      <c r="QW90" s="38"/>
      <c r="QX90" s="38"/>
      <c r="QY90" s="38"/>
      <c r="QZ90" s="38"/>
      <c r="RA90" s="38"/>
      <c r="RB90" s="38"/>
      <c r="RC90" s="38"/>
      <c r="RD90" s="38"/>
      <c r="RE90" s="38"/>
      <c r="RF90" s="38"/>
      <c r="RG90" s="38"/>
      <c r="RH90" s="38"/>
      <c r="RI90" s="38"/>
      <c r="RJ90" s="38"/>
      <c r="RK90" s="38"/>
      <c r="RL90" s="38"/>
      <c r="RM90" s="38"/>
      <c r="RN90" s="38"/>
      <c r="RO90" s="38"/>
      <c r="RP90" s="38"/>
      <c r="RQ90" s="38"/>
      <c r="RR90" s="38"/>
      <c r="RS90" s="38"/>
      <c r="RT90" s="38"/>
      <c r="RU90" s="38"/>
      <c r="RV90" s="38"/>
      <c r="RW90" s="38"/>
      <c r="RX90" s="38"/>
      <c r="RY90" s="38"/>
      <c r="RZ90" s="38"/>
      <c r="SA90" s="38"/>
      <c r="SB90" s="38"/>
      <c r="SC90" s="38"/>
      <c r="SD90" s="38"/>
      <c r="SE90" s="38"/>
      <c r="SF90" s="38"/>
      <c r="SG90" s="38"/>
      <c r="SH90" s="38"/>
      <c r="SI90" s="38"/>
      <c r="SJ90" s="38"/>
      <c r="SK90" s="38"/>
      <c r="SL90" s="38"/>
      <c r="SM90" s="38"/>
      <c r="SN90" s="38"/>
      <c r="SO90" s="38"/>
      <c r="SP90" s="38"/>
      <c r="SQ90" s="38"/>
      <c r="SR90" s="38"/>
      <c r="SS90" s="38"/>
      <c r="ST90" s="38"/>
      <c r="SU90" s="38"/>
      <c r="SV90" s="38"/>
      <c r="SW90" s="38"/>
      <c r="SX90" s="38"/>
      <c r="SY90" s="38"/>
      <c r="SZ90" s="38"/>
      <c r="TA90" s="38"/>
      <c r="TB90" s="38"/>
      <c r="TC90" s="38"/>
      <c r="TD90" s="38"/>
      <c r="TE90" s="38"/>
      <c r="TF90" s="38"/>
      <c r="TG90" s="38"/>
      <c r="TH90" s="38"/>
      <c r="TI90" s="38"/>
      <c r="TJ90" s="38"/>
      <c r="TK90" s="38"/>
      <c r="TL90" s="38"/>
      <c r="TM90" s="38"/>
      <c r="TN90" s="38"/>
      <c r="TO90" s="38"/>
      <c r="TP90" s="38"/>
      <c r="TQ90" s="38"/>
      <c r="TR90" s="38"/>
      <c r="TS90" s="38"/>
      <c r="TT90" s="38"/>
      <c r="TU90" s="38"/>
      <c r="TV90" s="38"/>
      <c r="TW90" s="38"/>
      <c r="TX90" s="38"/>
      <c r="TY90" s="38"/>
      <c r="TZ90" s="38"/>
      <c r="UA90" s="38"/>
      <c r="UB90" s="38"/>
      <c r="UC90" s="38"/>
      <c r="UD90" s="38"/>
      <c r="UE90" s="38"/>
      <c r="UF90" s="38"/>
      <c r="UG90" s="38"/>
      <c r="UH90" s="38"/>
      <c r="UI90" s="38"/>
      <c r="UJ90" s="38"/>
      <c r="UK90" s="38"/>
      <c r="UL90" s="38"/>
      <c r="UM90" s="38"/>
      <c r="UN90" s="38"/>
      <c r="UO90" s="38"/>
      <c r="UP90" s="38"/>
      <c r="UQ90" s="38"/>
      <c r="UR90" s="38"/>
      <c r="US90" s="38"/>
      <c r="UT90" s="38"/>
      <c r="UU90" s="38"/>
      <c r="UV90" s="38"/>
      <c r="UW90" s="38"/>
      <c r="UX90" s="38"/>
      <c r="UY90" s="38"/>
      <c r="UZ90" s="38"/>
      <c r="VA90" s="38"/>
      <c r="VB90" s="38"/>
      <c r="VC90" s="38"/>
      <c r="VD90" s="38"/>
      <c r="VE90" s="38"/>
      <c r="VF90" s="38"/>
      <c r="VG90" s="38"/>
      <c r="VH90" s="38"/>
      <c r="VI90" s="38"/>
      <c r="VJ90" s="38"/>
      <c r="VK90" s="38"/>
      <c r="VL90" s="38"/>
      <c r="VM90" s="38"/>
      <c r="VN90" s="38"/>
      <c r="VO90" s="38"/>
      <c r="VP90" s="38"/>
      <c r="VQ90" s="38"/>
      <c r="VR90" s="38"/>
      <c r="VS90" s="38"/>
      <c r="VT90" s="38"/>
      <c r="VU90" s="38"/>
      <c r="VV90" s="38"/>
      <c r="VW90" s="38"/>
      <c r="VX90" s="38"/>
      <c r="VY90" s="38"/>
      <c r="VZ90" s="38"/>
      <c r="WA90" s="38"/>
      <c r="WB90" s="38"/>
      <c r="WC90" s="38"/>
      <c r="WD90" s="38"/>
      <c r="WE90" s="38"/>
      <c r="WF90" s="38"/>
      <c r="WG90" s="38"/>
      <c r="WH90" s="38"/>
      <c r="WI90" s="38"/>
      <c r="WJ90" s="38"/>
      <c r="WK90" s="38"/>
      <c r="WL90" s="38"/>
      <c r="WM90" s="38"/>
      <c r="WN90" s="38"/>
      <c r="WO90" s="38"/>
      <c r="WP90" s="38"/>
      <c r="WQ90" s="38"/>
      <c r="WR90" s="38"/>
      <c r="WS90" s="38"/>
      <c r="WT90" s="38"/>
      <c r="WU90" s="38"/>
      <c r="WV90" s="38"/>
      <c r="WW90" s="38"/>
      <c r="WX90" s="38"/>
      <c r="WY90" s="38"/>
      <c r="WZ90" s="38"/>
      <c r="XA90" s="38"/>
      <c r="XB90" s="38"/>
      <c r="XC90" s="38"/>
      <c r="XD90" s="38"/>
      <c r="XE90" s="38"/>
      <c r="XF90" s="38"/>
      <c r="XG90" s="38"/>
      <c r="XH90" s="38"/>
      <c r="XI90" s="38"/>
      <c r="XJ90" s="38"/>
      <c r="XK90" s="38"/>
      <c r="XL90" s="38"/>
      <c r="XM90" s="38"/>
      <c r="XN90" s="38"/>
      <c r="XO90" s="38"/>
      <c r="XP90" s="38"/>
      <c r="XQ90" s="38"/>
      <c r="XR90" s="38"/>
      <c r="XS90" s="38"/>
      <c r="XT90" s="38"/>
      <c r="XU90" s="38"/>
      <c r="XV90" s="38"/>
      <c r="XW90" s="38"/>
      <c r="XX90" s="38"/>
      <c r="XY90" s="38"/>
      <c r="XZ90" s="38"/>
      <c r="YA90" s="38"/>
      <c r="YB90" s="38"/>
      <c r="YC90" s="38"/>
      <c r="YD90" s="38"/>
      <c r="YE90" s="38"/>
      <c r="YF90" s="38"/>
      <c r="YG90" s="38"/>
      <c r="YH90" s="38"/>
      <c r="YI90" s="38"/>
      <c r="YJ90" s="38"/>
      <c r="YK90" s="38"/>
      <c r="YL90" s="38"/>
      <c r="YM90" s="38"/>
      <c r="YN90" s="38"/>
      <c r="YO90" s="38"/>
      <c r="YP90" s="38"/>
      <c r="YQ90" s="38"/>
      <c r="YR90" s="38"/>
      <c r="YS90" s="38"/>
      <c r="YT90" s="38"/>
      <c r="YU90" s="38"/>
      <c r="YV90" s="38"/>
      <c r="YW90" s="38"/>
      <c r="YX90" s="38"/>
      <c r="YY90" s="38"/>
      <c r="YZ90" s="38"/>
      <c r="ZA90" s="38"/>
      <c r="ZB90" s="38"/>
      <c r="ZC90" s="38"/>
      <c r="ZD90" s="38"/>
      <c r="ZE90" s="38"/>
      <c r="ZF90" s="38"/>
      <c r="ZG90" s="38"/>
      <c r="ZH90" s="38"/>
      <c r="ZI90" s="38"/>
      <c r="ZJ90" s="38"/>
      <c r="ZK90" s="38"/>
      <c r="ZL90" s="38"/>
      <c r="ZM90" s="38"/>
      <c r="ZN90" s="38"/>
      <c r="ZO90" s="38"/>
      <c r="ZP90" s="38"/>
      <c r="ZQ90" s="38"/>
      <c r="ZR90" s="38"/>
      <c r="ZS90" s="38"/>
      <c r="ZT90" s="38"/>
      <c r="ZU90" s="38"/>
      <c r="ZV90" s="38"/>
      <c r="ZW90" s="38"/>
      <c r="ZX90" s="38"/>
      <c r="ZY90" s="38"/>
      <c r="ZZ90" s="38"/>
      <c r="AAA90" s="38"/>
      <c r="AAB90" s="38"/>
      <c r="AAC90" s="38"/>
      <c r="AAD90" s="38"/>
      <c r="AAE90" s="38"/>
      <c r="AAF90" s="38"/>
      <c r="AAG90" s="38"/>
      <c r="AAH90" s="38"/>
      <c r="AAI90" s="38"/>
      <c r="AAJ90" s="38"/>
      <c r="AAK90" s="38"/>
      <c r="AAL90" s="38"/>
      <c r="AAM90" s="38"/>
      <c r="AAN90" s="38"/>
      <c r="AAO90" s="38"/>
      <c r="AAP90" s="38"/>
      <c r="AAQ90" s="38"/>
      <c r="AAR90" s="38"/>
      <c r="AAS90" s="38"/>
      <c r="AAT90" s="38"/>
      <c r="AAU90" s="38"/>
      <c r="AAV90" s="38"/>
      <c r="AAW90" s="38"/>
      <c r="AAX90" s="38"/>
      <c r="AAY90" s="38"/>
      <c r="AAZ90" s="38"/>
      <c r="ABA90" s="38"/>
      <c r="ABB90" s="38"/>
      <c r="ABC90" s="38"/>
      <c r="ABD90" s="38"/>
      <c r="ABE90" s="38"/>
      <c r="ABF90" s="38"/>
      <c r="ABG90" s="38"/>
      <c r="ABH90" s="38"/>
      <c r="ABI90" s="38"/>
      <c r="ABJ90" s="38"/>
      <c r="ABK90" s="38"/>
      <c r="ABL90" s="38"/>
      <c r="ABM90" s="38"/>
      <c r="ABN90" s="38"/>
      <c r="ABO90" s="38"/>
      <c r="ABP90" s="38"/>
      <c r="ABQ90" s="38"/>
      <c r="ABR90" s="38"/>
      <c r="ABS90" s="38"/>
      <c r="ABT90" s="38"/>
      <c r="ABU90" s="38"/>
      <c r="ABV90" s="38"/>
      <c r="ABW90" s="38"/>
      <c r="ABX90" s="38"/>
      <c r="ABY90" s="38"/>
      <c r="ABZ90" s="38"/>
      <c r="ACA90" s="38"/>
      <c r="ACB90" s="38"/>
      <c r="ACC90" s="38"/>
      <c r="ACD90" s="38"/>
      <c r="ACE90" s="38"/>
      <c r="ACF90" s="38"/>
      <c r="ACG90" s="38"/>
      <c r="ACH90" s="38"/>
      <c r="ACI90" s="38"/>
      <c r="ACJ90" s="38"/>
      <c r="ACK90" s="38"/>
      <c r="ACL90" s="38"/>
      <c r="ACM90" s="38"/>
      <c r="ACN90" s="38"/>
      <c r="ACO90" s="38"/>
      <c r="ACP90" s="38"/>
      <c r="ACQ90" s="38"/>
      <c r="ACR90" s="38"/>
      <c r="ACS90" s="38"/>
      <c r="ACT90" s="38"/>
      <c r="ACU90" s="38"/>
      <c r="ACV90" s="38"/>
      <c r="ACW90" s="38"/>
      <c r="ACX90" s="38"/>
      <c r="ACY90" s="38"/>
      <c r="ACZ90" s="38"/>
      <c r="ADA90" s="38"/>
      <c r="ADB90" s="38"/>
      <c r="ADC90" s="38"/>
      <c r="ADD90" s="38"/>
      <c r="ADE90" s="38"/>
      <c r="ADF90" s="38"/>
      <c r="ADG90" s="38"/>
      <c r="ADH90" s="38"/>
      <c r="ADI90" s="38"/>
      <c r="ADJ90" s="38"/>
      <c r="ADK90" s="38"/>
      <c r="ADL90" s="38"/>
      <c r="ADM90" s="38"/>
      <c r="ADN90" s="38"/>
      <c r="ADO90" s="38"/>
      <c r="ADP90" s="38"/>
      <c r="ADQ90" s="38"/>
      <c r="ADR90" s="38"/>
      <c r="ADS90" s="38"/>
      <c r="ADT90" s="38"/>
      <c r="ADU90" s="38"/>
      <c r="ADV90" s="38"/>
      <c r="ADW90" s="38"/>
      <c r="ADX90" s="38"/>
      <c r="ADY90" s="38"/>
      <c r="ADZ90" s="38"/>
      <c r="AEA90" s="38"/>
      <c r="AEB90" s="38"/>
      <c r="AEC90" s="38"/>
      <c r="AED90" s="38"/>
      <c r="AEE90" s="38"/>
      <c r="AEF90" s="38"/>
      <c r="AEG90" s="38"/>
      <c r="AEH90" s="38"/>
      <c r="AEI90" s="38"/>
      <c r="AEJ90" s="38"/>
      <c r="AEK90" s="38"/>
      <c r="AEL90" s="38"/>
      <c r="AEM90" s="38"/>
      <c r="AEN90" s="38"/>
      <c r="AEO90" s="38"/>
      <c r="AEP90" s="38"/>
      <c r="AEQ90" s="38"/>
      <c r="AER90" s="38"/>
      <c r="AES90" s="38"/>
      <c r="AET90" s="38"/>
      <c r="AEU90" s="38"/>
      <c r="AEV90" s="38"/>
      <c r="AEW90" s="38"/>
      <c r="AEX90" s="38"/>
      <c r="AEY90" s="38"/>
      <c r="AEZ90" s="38"/>
      <c r="AFA90" s="38"/>
      <c r="AFB90" s="38"/>
      <c r="AFC90" s="38"/>
      <c r="AFD90" s="38"/>
      <c r="AFE90" s="38"/>
      <c r="AFF90" s="38"/>
      <c r="AFG90" s="38"/>
      <c r="AFH90" s="38"/>
      <c r="AFI90" s="38"/>
      <c r="AFJ90" s="38"/>
      <c r="AFK90" s="38"/>
      <c r="AFL90" s="38"/>
      <c r="AFM90" s="38"/>
      <c r="AFN90" s="38"/>
      <c r="AFO90" s="38"/>
      <c r="AFP90" s="38"/>
      <c r="AFQ90" s="38"/>
      <c r="AFR90" s="38"/>
      <c r="AFS90" s="38"/>
      <c r="AFT90" s="38"/>
      <c r="AFU90" s="38"/>
      <c r="AFV90" s="38"/>
      <c r="AFW90" s="38"/>
      <c r="AFX90" s="38"/>
      <c r="AFY90" s="38"/>
      <c r="AFZ90" s="38"/>
      <c r="AGA90" s="38"/>
      <c r="AGB90" s="38"/>
      <c r="AGC90" s="38"/>
      <c r="AGD90" s="38"/>
      <c r="AGE90" s="38"/>
      <c r="AGF90" s="38"/>
      <c r="AGG90" s="38"/>
      <c r="AGH90" s="38"/>
      <c r="AGI90" s="38"/>
      <c r="AGJ90" s="38"/>
      <c r="AGK90" s="38"/>
      <c r="AGL90" s="38"/>
      <c r="AGM90" s="38"/>
      <c r="AGN90" s="38"/>
      <c r="AGO90" s="38"/>
      <c r="AGP90" s="38"/>
      <c r="AGQ90" s="38"/>
      <c r="AGR90" s="38"/>
      <c r="AGS90" s="38"/>
      <c r="AGT90" s="38"/>
      <c r="AGU90" s="38"/>
      <c r="AGV90" s="38"/>
      <c r="AGW90" s="38"/>
      <c r="AGX90" s="38"/>
      <c r="AGY90" s="38"/>
      <c r="AGZ90" s="38"/>
      <c r="AHA90" s="38"/>
      <c r="AHB90" s="38"/>
      <c r="AHC90" s="38"/>
      <c r="AHD90" s="38"/>
      <c r="AHE90" s="38"/>
      <c r="AHF90" s="38"/>
      <c r="AHG90" s="38"/>
      <c r="AHH90" s="38"/>
      <c r="AHI90" s="38"/>
      <c r="AHJ90" s="38"/>
      <c r="AHK90" s="38"/>
      <c r="AHL90" s="38"/>
      <c r="AHM90" s="38"/>
      <c r="AHN90" s="38"/>
      <c r="AHO90" s="38"/>
      <c r="AHP90" s="38"/>
      <c r="AHQ90" s="38"/>
      <c r="AHR90" s="38"/>
      <c r="AHS90" s="38"/>
      <c r="AHT90" s="38"/>
      <c r="AHU90" s="38"/>
      <c r="AHV90" s="38"/>
    </row>
    <row r="91" spans="1:906" s="27" customFormat="1" x14ac:dyDescent="0.35">
      <c r="A91" s="83">
        <v>86</v>
      </c>
      <c r="B91" s="108" t="s">
        <v>148</v>
      </c>
      <c r="C91" s="109" t="s">
        <v>149</v>
      </c>
      <c r="D91" s="109" t="s">
        <v>151</v>
      </c>
      <c r="E91" s="125"/>
      <c r="F91" s="125"/>
      <c r="G91" s="125"/>
      <c r="H91" s="125"/>
      <c r="I91" s="37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8"/>
      <c r="BU91" s="38"/>
      <c r="BV91" s="38"/>
      <c r="BW91" s="38"/>
      <c r="BX91" s="38"/>
      <c r="BY91" s="38"/>
      <c r="BZ91" s="38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38"/>
      <c r="CL91" s="38"/>
      <c r="CM91" s="38"/>
      <c r="CN91" s="38"/>
      <c r="CO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8"/>
      <c r="DA91" s="38"/>
      <c r="DB91" s="38"/>
      <c r="DC91" s="38"/>
      <c r="DD91" s="38"/>
      <c r="DE91" s="38"/>
      <c r="DF91" s="38"/>
      <c r="DG91" s="38"/>
      <c r="DH91" s="38"/>
      <c r="DI91" s="38"/>
      <c r="DJ91" s="38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8"/>
      <c r="EN91" s="38"/>
      <c r="EO91" s="38"/>
      <c r="EP91" s="38"/>
      <c r="EQ91" s="38"/>
      <c r="ER91" s="38"/>
      <c r="ES91" s="38"/>
      <c r="ET91" s="38"/>
      <c r="EU91" s="38"/>
      <c r="EV91" s="38"/>
      <c r="EW91" s="38"/>
      <c r="EX91" s="38"/>
      <c r="EY91" s="38"/>
      <c r="EZ91" s="38"/>
      <c r="FA91" s="38"/>
      <c r="FB91" s="38"/>
      <c r="FC91" s="38"/>
      <c r="FD91" s="38"/>
      <c r="FE91" s="38"/>
      <c r="FF91" s="38"/>
      <c r="FG91" s="38"/>
      <c r="FH91" s="38"/>
      <c r="FI91" s="38"/>
      <c r="FJ91" s="38"/>
      <c r="FK91" s="38"/>
      <c r="FL91" s="38"/>
      <c r="FM91" s="38"/>
      <c r="FN91" s="38"/>
      <c r="FO91" s="38"/>
      <c r="FP91" s="38"/>
      <c r="FQ91" s="38"/>
      <c r="FR91" s="38"/>
      <c r="FS91" s="38"/>
      <c r="FT91" s="38"/>
      <c r="FU91" s="38"/>
      <c r="FV91" s="38"/>
      <c r="FW91" s="38"/>
      <c r="FX91" s="38"/>
      <c r="FY91" s="38"/>
      <c r="FZ91" s="38"/>
      <c r="GA91" s="38"/>
      <c r="GB91" s="38"/>
      <c r="GC91" s="38"/>
      <c r="GD91" s="38"/>
      <c r="GE91" s="38"/>
      <c r="GF91" s="38"/>
      <c r="GG91" s="38"/>
      <c r="GH91" s="38"/>
      <c r="GI91" s="38"/>
      <c r="GJ91" s="38"/>
      <c r="GK91" s="38"/>
      <c r="GL91" s="38"/>
      <c r="GM91" s="38"/>
      <c r="GN91" s="38"/>
      <c r="GO91" s="38"/>
      <c r="GP91" s="38"/>
      <c r="GQ91" s="38"/>
      <c r="GR91" s="38"/>
      <c r="GS91" s="38"/>
      <c r="GT91" s="38"/>
      <c r="GU91" s="38"/>
      <c r="GV91" s="38"/>
      <c r="GW91" s="38"/>
      <c r="GX91" s="38"/>
      <c r="GY91" s="38"/>
      <c r="GZ91" s="38"/>
      <c r="HA91" s="38"/>
      <c r="HB91" s="38"/>
      <c r="HC91" s="38"/>
      <c r="HD91" s="38"/>
      <c r="HE91" s="38"/>
      <c r="HF91" s="38"/>
      <c r="HG91" s="38"/>
      <c r="HH91" s="38"/>
      <c r="HI91" s="38"/>
      <c r="HJ91" s="38"/>
      <c r="HK91" s="38"/>
      <c r="HL91" s="38"/>
      <c r="HM91" s="38"/>
      <c r="HN91" s="38"/>
      <c r="HO91" s="38"/>
      <c r="HP91" s="38"/>
      <c r="HQ91" s="38"/>
      <c r="HR91" s="38"/>
      <c r="HS91" s="38"/>
      <c r="HT91" s="38"/>
      <c r="HU91" s="38"/>
      <c r="HV91" s="38"/>
      <c r="HW91" s="38"/>
      <c r="HX91" s="38"/>
      <c r="HY91" s="38"/>
      <c r="HZ91" s="38"/>
      <c r="IA91" s="38"/>
      <c r="IB91" s="38"/>
      <c r="IC91" s="38"/>
      <c r="ID91" s="38"/>
      <c r="IE91" s="38"/>
      <c r="IF91" s="38"/>
      <c r="IG91" s="38"/>
      <c r="IH91" s="38"/>
      <c r="II91" s="38"/>
      <c r="IJ91" s="38"/>
      <c r="IK91" s="38"/>
      <c r="IL91" s="38"/>
      <c r="IM91" s="38"/>
      <c r="IN91" s="38"/>
      <c r="IO91" s="38"/>
      <c r="IP91" s="38"/>
      <c r="IQ91" s="38"/>
      <c r="IR91" s="38"/>
      <c r="IS91" s="38"/>
      <c r="IT91" s="38"/>
      <c r="IU91" s="38"/>
      <c r="IV91" s="38"/>
      <c r="IW91" s="38"/>
      <c r="IX91" s="38"/>
      <c r="IY91" s="38"/>
      <c r="IZ91" s="38"/>
      <c r="JA91" s="38"/>
      <c r="JB91" s="38"/>
      <c r="JC91" s="38"/>
      <c r="JD91" s="38"/>
      <c r="JE91" s="38"/>
      <c r="JF91" s="38"/>
      <c r="JG91" s="38"/>
      <c r="JH91" s="38"/>
      <c r="JI91" s="38"/>
      <c r="JJ91" s="38"/>
      <c r="JK91" s="38"/>
      <c r="JL91" s="38"/>
      <c r="JM91" s="38"/>
      <c r="JN91" s="38"/>
      <c r="JO91" s="38"/>
      <c r="JP91" s="38"/>
      <c r="JQ91" s="38"/>
      <c r="JR91" s="38"/>
      <c r="JS91" s="38"/>
      <c r="JT91" s="38"/>
      <c r="JU91" s="38"/>
      <c r="JV91" s="38"/>
      <c r="JW91" s="38"/>
      <c r="JX91" s="38"/>
      <c r="JY91" s="38"/>
      <c r="JZ91" s="38"/>
      <c r="KA91" s="38"/>
      <c r="KB91" s="38"/>
      <c r="KC91" s="38"/>
      <c r="KD91" s="38"/>
      <c r="KE91" s="38"/>
      <c r="KF91" s="38"/>
      <c r="KG91" s="38"/>
      <c r="KH91" s="38"/>
      <c r="KI91" s="38"/>
      <c r="KJ91" s="38"/>
      <c r="KK91" s="38"/>
      <c r="KL91" s="38"/>
      <c r="KM91" s="38"/>
      <c r="KN91" s="38"/>
      <c r="KO91" s="38"/>
      <c r="KP91" s="38"/>
      <c r="KQ91" s="38"/>
      <c r="KR91" s="38"/>
      <c r="KS91" s="38"/>
      <c r="KT91" s="38"/>
      <c r="KU91" s="38"/>
      <c r="KV91" s="38"/>
      <c r="KW91" s="38"/>
      <c r="KX91" s="38"/>
      <c r="KY91" s="38"/>
      <c r="KZ91" s="38"/>
      <c r="LA91" s="38"/>
      <c r="LB91" s="38"/>
      <c r="LC91" s="38"/>
      <c r="LD91" s="38"/>
      <c r="LE91" s="38"/>
      <c r="LF91" s="38"/>
      <c r="LG91" s="38"/>
      <c r="LH91" s="38"/>
      <c r="LI91" s="38"/>
      <c r="LJ91" s="38"/>
      <c r="LK91" s="38"/>
      <c r="LL91" s="38"/>
      <c r="LM91" s="38"/>
      <c r="LN91" s="38"/>
      <c r="LO91" s="38"/>
      <c r="LP91" s="38"/>
      <c r="LQ91" s="38"/>
      <c r="LR91" s="38"/>
      <c r="LS91" s="38"/>
      <c r="LT91" s="38"/>
      <c r="LU91" s="38"/>
      <c r="LV91" s="38"/>
      <c r="LW91" s="38"/>
      <c r="LX91" s="38"/>
      <c r="LY91" s="38"/>
      <c r="LZ91" s="38"/>
      <c r="MA91" s="38"/>
      <c r="MB91" s="38"/>
      <c r="MC91" s="38"/>
      <c r="MD91" s="38"/>
      <c r="ME91" s="38"/>
      <c r="MF91" s="38"/>
      <c r="MG91" s="38"/>
      <c r="MH91" s="38"/>
      <c r="MI91" s="38"/>
      <c r="MJ91" s="38"/>
      <c r="MK91" s="38"/>
      <c r="ML91" s="38"/>
      <c r="MM91" s="38"/>
      <c r="MN91" s="38"/>
      <c r="MO91" s="38"/>
      <c r="MP91" s="38"/>
      <c r="MQ91" s="38"/>
      <c r="MR91" s="38"/>
      <c r="MS91" s="38"/>
      <c r="MT91" s="38"/>
      <c r="MU91" s="38"/>
      <c r="MV91" s="38"/>
      <c r="MW91" s="38"/>
      <c r="MX91" s="38"/>
      <c r="MY91" s="38"/>
      <c r="MZ91" s="38"/>
      <c r="NA91" s="38"/>
      <c r="NB91" s="38"/>
      <c r="NC91" s="38"/>
      <c r="ND91" s="38"/>
      <c r="NE91" s="38"/>
      <c r="NF91" s="38"/>
      <c r="NG91" s="38"/>
      <c r="NH91" s="38"/>
      <c r="NI91" s="38"/>
      <c r="NJ91" s="38"/>
      <c r="NK91" s="38"/>
      <c r="NL91" s="38"/>
      <c r="NM91" s="38"/>
      <c r="NN91" s="38"/>
      <c r="NO91" s="38"/>
      <c r="NP91" s="38"/>
      <c r="NQ91" s="38"/>
      <c r="NR91" s="38"/>
      <c r="NS91" s="38"/>
      <c r="NT91" s="38"/>
      <c r="NU91" s="38"/>
      <c r="NV91" s="38"/>
      <c r="NW91" s="38"/>
      <c r="NX91" s="38"/>
      <c r="NY91" s="38"/>
      <c r="NZ91" s="38"/>
      <c r="OA91" s="38"/>
      <c r="OB91" s="38"/>
      <c r="OC91" s="38"/>
      <c r="OD91" s="38"/>
      <c r="OE91" s="38"/>
      <c r="OF91" s="38"/>
      <c r="OG91" s="38"/>
      <c r="OH91" s="38"/>
      <c r="OI91" s="38"/>
      <c r="OJ91" s="38"/>
      <c r="OK91" s="38"/>
      <c r="OL91" s="38"/>
      <c r="OM91" s="38"/>
      <c r="ON91" s="38"/>
      <c r="OO91" s="38"/>
      <c r="OP91" s="38"/>
      <c r="OQ91" s="38"/>
      <c r="OR91" s="38"/>
      <c r="OS91" s="38"/>
      <c r="OT91" s="38"/>
      <c r="OU91" s="38"/>
      <c r="OV91" s="38"/>
      <c r="OW91" s="38"/>
      <c r="OX91" s="38"/>
      <c r="OY91" s="38"/>
      <c r="OZ91" s="38"/>
      <c r="PA91" s="38"/>
      <c r="PB91" s="38"/>
      <c r="PC91" s="38"/>
      <c r="PD91" s="38"/>
      <c r="PE91" s="38"/>
      <c r="PF91" s="38"/>
      <c r="PG91" s="38"/>
      <c r="PH91" s="38"/>
      <c r="PI91" s="38"/>
      <c r="PJ91" s="38"/>
      <c r="PK91" s="38"/>
      <c r="PL91" s="38"/>
      <c r="PM91" s="38"/>
      <c r="PN91" s="38"/>
      <c r="PO91" s="38"/>
      <c r="PP91" s="38"/>
      <c r="PQ91" s="38"/>
      <c r="PR91" s="38"/>
      <c r="PS91" s="38"/>
      <c r="PT91" s="38"/>
      <c r="PU91" s="38"/>
      <c r="PV91" s="38"/>
      <c r="PW91" s="38"/>
      <c r="PX91" s="38"/>
      <c r="PY91" s="38"/>
      <c r="PZ91" s="38"/>
      <c r="QA91" s="38"/>
      <c r="QB91" s="38"/>
      <c r="QC91" s="38"/>
      <c r="QD91" s="38"/>
      <c r="QE91" s="38"/>
      <c r="QF91" s="38"/>
      <c r="QG91" s="38"/>
      <c r="QH91" s="38"/>
      <c r="QI91" s="38"/>
      <c r="QJ91" s="38"/>
      <c r="QK91" s="38"/>
      <c r="QL91" s="38"/>
      <c r="QM91" s="38"/>
      <c r="QN91" s="38"/>
      <c r="QO91" s="38"/>
      <c r="QP91" s="38"/>
      <c r="QQ91" s="38"/>
      <c r="QR91" s="38"/>
      <c r="QS91" s="38"/>
      <c r="QT91" s="38"/>
      <c r="QU91" s="38"/>
      <c r="QV91" s="38"/>
      <c r="QW91" s="38"/>
      <c r="QX91" s="38"/>
      <c r="QY91" s="38"/>
      <c r="QZ91" s="38"/>
      <c r="RA91" s="38"/>
      <c r="RB91" s="38"/>
      <c r="RC91" s="38"/>
      <c r="RD91" s="38"/>
      <c r="RE91" s="38"/>
      <c r="RF91" s="38"/>
      <c r="RG91" s="38"/>
      <c r="RH91" s="38"/>
      <c r="RI91" s="38"/>
      <c r="RJ91" s="38"/>
      <c r="RK91" s="38"/>
      <c r="RL91" s="38"/>
      <c r="RM91" s="38"/>
      <c r="RN91" s="38"/>
      <c r="RO91" s="38"/>
      <c r="RP91" s="38"/>
      <c r="RQ91" s="38"/>
      <c r="RR91" s="38"/>
      <c r="RS91" s="38"/>
      <c r="RT91" s="38"/>
      <c r="RU91" s="38"/>
      <c r="RV91" s="38"/>
      <c r="RW91" s="38"/>
      <c r="RX91" s="38"/>
      <c r="RY91" s="38"/>
      <c r="RZ91" s="38"/>
      <c r="SA91" s="38"/>
      <c r="SB91" s="38"/>
      <c r="SC91" s="38"/>
      <c r="SD91" s="38"/>
      <c r="SE91" s="38"/>
      <c r="SF91" s="38"/>
      <c r="SG91" s="38"/>
      <c r="SH91" s="38"/>
      <c r="SI91" s="38"/>
      <c r="SJ91" s="38"/>
      <c r="SK91" s="38"/>
      <c r="SL91" s="38"/>
      <c r="SM91" s="38"/>
      <c r="SN91" s="38"/>
      <c r="SO91" s="38"/>
      <c r="SP91" s="38"/>
      <c r="SQ91" s="38"/>
      <c r="SR91" s="38"/>
      <c r="SS91" s="38"/>
      <c r="ST91" s="38"/>
      <c r="SU91" s="38"/>
      <c r="SV91" s="38"/>
      <c r="SW91" s="38"/>
      <c r="SX91" s="38"/>
      <c r="SY91" s="38"/>
      <c r="SZ91" s="38"/>
      <c r="TA91" s="38"/>
      <c r="TB91" s="38"/>
      <c r="TC91" s="38"/>
      <c r="TD91" s="38"/>
      <c r="TE91" s="38"/>
      <c r="TF91" s="38"/>
      <c r="TG91" s="38"/>
      <c r="TH91" s="38"/>
      <c r="TI91" s="38"/>
      <c r="TJ91" s="38"/>
      <c r="TK91" s="38"/>
      <c r="TL91" s="38"/>
      <c r="TM91" s="38"/>
      <c r="TN91" s="38"/>
      <c r="TO91" s="38"/>
      <c r="TP91" s="38"/>
      <c r="TQ91" s="38"/>
      <c r="TR91" s="38"/>
      <c r="TS91" s="38"/>
      <c r="TT91" s="38"/>
      <c r="TU91" s="38"/>
      <c r="TV91" s="38"/>
      <c r="TW91" s="38"/>
      <c r="TX91" s="38"/>
      <c r="TY91" s="38"/>
      <c r="TZ91" s="38"/>
      <c r="UA91" s="38"/>
      <c r="UB91" s="38"/>
      <c r="UC91" s="38"/>
      <c r="UD91" s="38"/>
      <c r="UE91" s="38"/>
      <c r="UF91" s="38"/>
      <c r="UG91" s="38"/>
      <c r="UH91" s="38"/>
      <c r="UI91" s="38"/>
      <c r="UJ91" s="38"/>
      <c r="UK91" s="38"/>
      <c r="UL91" s="38"/>
      <c r="UM91" s="38"/>
      <c r="UN91" s="38"/>
      <c r="UO91" s="38"/>
      <c r="UP91" s="38"/>
      <c r="UQ91" s="38"/>
      <c r="UR91" s="38"/>
      <c r="US91" s="38"/>
      <c r="UT91" s="38"/>
      <c r="UU91" s="38"/>
      <c r="UV91" s="38"/>
      <c r="UW91" s="38"/>
      <c r="UX91" s="38"/>
      <c r="UY91" s="38"/>
      <c r="UZ91" s="38"/>
      <c r="VA91" s="38"/>
      <c r="VB91" s="38"/>
      <c r="VC91" s="38"/>
      <c r="VD91" s="38"/>
      <c r="VE91" s="38"/>
      <c r="VF91" s="38"/>
      <c r="VG91" s="38"/>
      <c r="VH91" s="38"/>
      <c r="VI91" s="38"/>
      <c r="VJ91" s="38"/>
      <c r="VK91" s="38"/>
      <c r="VL91" s="38"/>
      <c r="VM91" s="38"/>
      <c r="VN91" s="38"/>
      <c r="VO91" s="38"/>
      <c r="VP91" s="38"/>
      <c r="VQ91" s="38"/>
      <c r="VR91" s="38"/>
      <c r="VS91" s="38"/>
      <c r="VT91" s="38"/>
      <c r="VU91" s="38"/>
      <c r="VV91" s="38"/>
      <c r="VW91" s="38"/>
      <c r="VX91" s="38"/>
      <c r="VY91" s="38"/>
      <c r="VZ91" s="38"/>
      <c r="WA91" s="38"/>
      <c r="WB91" s="38"/>
      <c r="WC91" s="38"/>
      <c r="WD91" s="38"/>
      <c r="WE91" s="38"/>
      <c r="WF91" s="38"/>
      <c r="WG91" s="38"/>
      <c r="WH91" s="38"/>
      <c r="WI91" s="38"/>
      <c r="WJ91" s="38"/>
      <c r="WK91" s="38"/>
      <c r="WL91" s="38"/>
      <c r="WM91" s="38"/>
      <c r="WN91" s="38"/>
      <c r="WO91" s="38"/>
      <c r="WP91" s="38"/>
      <c r="WQ91" s="38"/>
      <c r="WR91" s="38"/>
      <c r="WS91" s="38"/>
      <c r="WT91" s="38"/>
      <c r="WU91" s="38"/>
      <c r="WV91" s="38"/>
      <c r="WW91" s="38"/>
      <c r="WX91" s="38"/>
      <c r="WY91" s="38"/>
      <c r="WZ91" s="38"/>
      <c r="XA91" s="38"/>
      <c r="XB91" s="38"/>
      <c r="XC91" s="38"/>
      <c r="XD91" s="38"/>
      <c r="XE91" s="38"/>
      <c r="XF91" s="38"/>
      <c r="XG91" s="38"/>
      <c r="XH91" s="38"/>
      <c r="XI91" s="38"/>
      <c r="XJ91" s="38"/>
      <c r="XK91" s="38"/>
      <c r="XL91" s="38"/>
      <c r="XM91" s="38"/>
      <c r="XN91" s="38"/>
      <c r="XO91" s="38"/>
      <c r="XP91" s="38"/>
      <c r="XQ91" s="38"/>
      <c r="XR91" s="38"/>
      <c r="XS91" s="38"/>
      <c r="XT91" s="38"/>
      <c r="XU91" s="38"/>
      <c r="XV91" s="38"/>
      <c r="XW91" s="38"/>
      <c r="XX91" s="38"/>
      <c r="XY91" s="38"/>
      <c r="XZ91" s="38"/>
      <c r="YA91" s="38"/>
      <c r="YB91" s="38"/>
      <c r="YC91" s="38"/>
      <c r="YD91" s="38"/>
      <c r="YE91" s="38"/>
      <c r="YF91" s="38"/>
      <c r="YG91" s="38"/>
      <c r="YH91" s="38"/>
      <c r="YI91" s="38"/>
      <c r="YJ91" s="38"/>
      <c r="YK91" s="38"/>
      <c r="YL91" s="38"/>
      <c r="YM91" s="38"/>
      <c r="YN91" s="38"/>
      <c r="YO91" s="38"/>
      <c r="YP91" s="38"/>
      <c r="YQ91" s="38"/>
      <c r="YR91" s="38"/>
      <c r="YS91" s="38"/>
      <c r="YT91" s="38"/>
      <c r="YU91" s="38"/>
      <c r="YV91" s="38"/>
      <c r="YW91" s="38"/>
      <c r="YX91" s="38"/>
      <c r="YY91" s="38"/>
      <c r="YZ91" s="38"/>
      <c r="ZA91" s="38"/>
      <c r="ZB91" s="38"/>
      <c r="ZC91" s="38"/>
      <c r="ZD91" s="38"/>
      <c r="ZE91" s="38"/>
      <c r="ZF91" s="38"/>
      <c r="ZG91" s="38"/>
      <c r="ZH91" s="38"/>
      <c r="ZI91" s="38"/>
      <c r="ZJ91" s="38"/>
      <c r="ZK91" s="38"/>
      <c r="ZL91" s="38"/>
      <c r="ZM91" s="38"/>
      <c r="ZN91" s="38"/>
      <c r="ZO91" s="38"/>
      <c r="ZP91" s="38"/>
      <c r="ZQ91" s="38"/>
      <c r="ZR91" s="38"/>
      <c r="ZS91" s="38"/>
      <c r="ZT91" s="38"/>
      <c r="ZU91" s="38"/>
      <c r="ZV91" s="38"/>
      <c r="ZW91" s="38"/>
      <c r="ZX91" s="38"/>
      <c r="ZY91" s="38"/>
      <c r="ZZ91" s="38"/>
      <c r="AAA91" s="38"/>
      <c r="AAB91" s="38"/>
      <c r="AAC91" s="38"/>
      <c r="AAD91" s="38"/>
      <c r="AAE91" s="38"/>
      <c r="AAF91" s="38"/>
      <c r="AAG91" s="38"/>
      <c r="AAH91" s="38"/>
      <c r="AAI91" s="38"/>
      <c r="AAJ91" s="38"/>
      <c r="AAK91" s="38"/>
      <c r="AAL91" s="38"/>
      <c r="AAM91" s="38"/>
      <c r="AAN91" s="38"/>
      <c r="AAO91" s="38"/>
      <c r="AAP91" s="38"/>
      <c r="AAQ91" s="38"/>
      <c r="AAR91" s="38"/>
      <c r="AAS91" s="38"/>
      <c r="AAT91" s="38"/>
      <c r="AAU91" s="38"/>
      <c r="AAV91" s="38"/>
      <c r="AAW91" s="38"/>
      <c r="AAX91" s="38"/>
      <c r="AAY91" s="38"/>
      <c r="AAZ91" s="38"/>
      <c r="ABA91" s="38"/>
      <c r="ABB91" s="38"/>
      <c r="ABC91" s="38"/>
      <c r="ABD91" s="38"/>
      <c r="ABE91" s="38"/>
      <c r="ABF91" s="38"/>
      <c r="ABG91" s="38"/>
      <c r="ABH91" s="38"/>
      <c r="ABI91" s="38"/>
      <c r="ABJ91" s="38"/>
      <c r="ABK91" s="38"/>
      <c r="ABL91" s="38"/>
      <c r="ABM91" s="38"/>
      <c r="ABN91" s="38"/>
      <c r="ABO91" s="38"/>
      <c r="ABP91" s="38"/>
      <c r="ABQ91" s="38"/>
      <c r="ABR91" s="38"/>
      <c r="ABS91" s="38"/>
      <c r="ABT91" s="38"/>
      <c r="ABU91" s="38"/>
      <c r="ABV91" s="38"/>
      <c r="ABW91" s="38"/>
      <c r="ABX91" s="38"/>
      <c r="ABY91" s="38"/>
      <c r="ABZ91" s="38"/>
      <c r="ACA91" s="38"/>
      <c r="ACB91" s="38"/>
      <c r="ACC91" s="38"/>
      <c r="ACD91" s="38"/>
      <c r="ACE91" s="38"/>
      <c r="ACF91" s="38"/>
      <c r="ACG91" s="38"/>
      <c r="ACH91" s="38"/>
      <c r="ACI91" s="38"/>
      <c r="ACJ91" s="38"/>
      <c r="ACK91" s="38"/>
      <c r="ACL91" s="38"/>
      <c r="ACM91" s="38"/>
      <c r="ACN91" s="38"/>
      <c r="ACO91" s="38"/>
      <c r="ACP91" s="38"/>
      <c r="ACQ91" s="38"/>
      <c r="ACR91" s="38"/>
      <c r="ACS91" s="38"/>
      <c r="ACT91" s="38"/>
      <c r="ACU91" s="38"/>
      <c r="ACV91" s="38"/>
      <c r="ACW91" s="38"/>
      <c r="ACX91" s="38"/>
      <c r="ACY91" s="38"/>
      <c r="ACZ91" s="38"/>
      <c r="ADA91" s="38"/>
      <c r="ADB91" s="38"/>
      <c r="ADC91" s="38"/>
      <c r="ADD91" s="38"/>
      <c r="ADE91" s="38"/>
      <c r="ADF91" s="38"/>
      <c r="ADG91" s="38"/>
      <c r="ADH91" s="38"/>
      <c r="ADI91" s="38"/>
      <c r="ADJ91" s="38"/>
      <c r="ADK91" s="38"/>
      <c r="ADL91" s="38"/>
      <c r="ADM91" s="38"/>
      <c r="ADN91" s="38"/>
      <c r="ADO91" s="38"/>
      <c r="ADP91" s="38"/>
      <c r="ADQ91" s="38"/>
      <c r="ADR91" s="38"/>
      <c r="ADS91" s="38"/>
      <c r="ADT91" s="38"/>
      <c r="ADU91" s="38"/>
      <c r="ADV91" s="38"/>
      <c r="ADW91" s="38"/>
      <c r="ADX91" s="38"/>
      <c r="ADY91" s="38"/>
      <c r="ADZ91" s="38"/>
      <c r="AEA91" s="38"/>
      <c r="AEB91" s="38"/>
      <c r="AEC91" s="38"/>
      <c r="AED91" s="38"/>
      <c r="AEE91" s="38"/>
      <c r="AEF91" s="38"/>
      <c r="AEG91" s="38"/>
      <c r="AEH91" s="38"/>
      <c r="AEI91" s="38"/>
      <c r="AEJ91" s="38"/>
      <c r="AEK91" s="38"/>
      <c r="AEL91" s="38"/>
      <c r="AEM91" s="38"/>
      <c r="AEN91" s="38"/>
      <c r="AEO91" s="38"/>
      <c r="AEP91" s="38"/>
      <c r="AEQ91" s="38"/>
      <c r="AER91" s="38"/>
      <c r="AES91" s="38"/>
      <c r="AET91" s="38"/>
      <c r="AEU91" s="38"/>
      <c r="AEV91" s="38"/>
      <c r="AEW91" s="38"/>
      <c r="AEX91" s="38"/>
      <c r="AEY91" s="38"/>
      <c r="AEZ91" s="38"/>
      <c r="AFA91" s="38"/>
      <c r="AFB91" s="38"/>
      <c r="AFC91" s="38"/>
      <c r="AFD91" s="38"/>
      <c r="AFE91" s="38"/>
      <c r="AFF91" s="38"/>
      <c r="AFG91" s="38"/>
      <c r="AFH91" s="38"/>
      <c r="AFI91" s="38"/>
      <c r="AFJ91" s="38"/>
      <c r="AFK91" s="38"/>
      <c r="AFL91" s="38"/>
      <c r="AFM91" s="38"/>
      <c r="AFN91" s="38"/>
      <c r="AFO91" s="38"/>
      <c r="AFP91" s="38"/>
      <c r="AFQ91" s="38"/>
      <c r="AFR91" s="38"/>
      <c r="AFS91" s="38"/>
      <c r="AFT91" s="38"/>
      <c r="AFU91" s="38"/>
      <c r="AFV91" s="38"/>
      <c r="AFW91" s="38"/>
      <c r="AFX91" s="38"/>
      <c r="AFY91" s="38"/>
      <c r="AFZ91" s="38"/>
      <c r="AGA91" s="38"/>
      <c r="AGB91" s="38"/>
      <c r="AGC91" s="38"/>
      <c r="AGD91" s="38"/>
      <c r="AGE91" s="38"/>
      <c r="AGF91" s="38"/>
      <c r="AGG91" s="38"/>
      <c r="AGH91" s="38"/>
      <c r="AGI91" s="38"/>
      <c r="AGJ91" s="38"/>
      <c r="AGK91" s="38"/>
      <c r="AGL91" s="38"/>
      <c r="AGM91" s="38"/>
      <c r="AGN91" s="38"/>
      <c r="AGO91" s="38"/>
      <c r="AGP91" s="38"/>
      <c r="AGQ91" s="38"/>
      <c r="AGR91" s="38"/>
      <c r="AGS91" s="38"/>
      <c r="AGT91" s="38"/>
      <c r="AGU91" s="38"/>
      <c r="AGV91" s="38"/>
      <c r="AGW91" s="38"/>
      <c r="AGX91" s="38"/>
      <c r="AGY91" s="38"/>
      <c r="AGZ91" s="38"/>
      <c r="AHA91" s="38"/>
      <c r="AHB91" s="38"/>
      <c r="AHC91" s="38"/>
      <c r="AHD91" s="38"/>
      <c r="AHE91" s="38"/>
      <c r="AHF91" s="38"/>
      <c r="AHG91" s="38"/>
      <c r="AHH91" s="38"/>
      <c r="AHI91" s="38"/>
      <c r="AHJ91" s="38"/>
      <c r="AHK91" s="38"/>
      <c r="AHL91" s="38"/>
      <c r="AHM91" s="38"/>
      <c r="AHN91" s="38"/>
      <c r="AHO91" s="38"/>
      <c r="AHP91" s="38"/>
      <c r="AHQ91" s="38"/>
      <c r="AHR91" s="38"/>
      <c r="AHS91" s="38"/>
      <c r="AHT91" s="38"/>
      <c r="AHU91" s="38"/>
      <c r="AHV91" s="38"/>
    </row>
    <row r="92" spans="1:906" s="27" customFormat="1" x14ac:dyDescent="0.35">
      <c r="A92" s="83">
        <v>87</v>
      </c>
      <c r="B92" s="108" t="s">
        <v>148</v>
      </c>
      <c r="C92" s="109" t="s">
        <v>152</v>
      </c>
      <c r="D92" s="109" t="s">
        <v>150</v>
      </c>
      <c r="E92" s="125"/>
      <c r="F92" s="125"/>
      <c r="G92" s="125"/>
      <c r="H92" s="125"/>
      <c r="I92" s="37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  <c r="CP92" s="38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38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/>
      <c r="EH92" s="38"/>
      <c r="EI92" s="38"/>
      <c r="EJ92" s="38"/>
      <c r="EK92" s="38"/>
      <c r="EL92" s="38"/>
      <c r="EM92" s="38"/>
      <c r="EN92" s="38"/>
      <c r="EO92" s="38"/>
      <c r="EP92" s="38"/>
      <c r="EQ92" s="38"/>
      <c r="ER92" s="38"/>
      <c r="ES92" s="38"/>
      <c r="ET92" s="38"/>
      <c r="EU92" s="38"/>
      <c r="EV92" s="38"/>
      <c r="EW92" s="38"/>
      <c r="EX92" s="38"/>
      <c r="EY92" s="38"/>
      <c r="EZ92" s="38"/>
      <c r="FA92" s="38"/>
      <c r="FB92" s="38"/>
      <c r="FC92" s="38"/>
      <c r="FD92" s="38"/>
      <c r="FE92" s="38"/>
      <c r="FF92" s="38"/>
      <c r="FG92" s="38"/>
      <c r="FH92" s="38"/>
      <c r="FI92" s="38"/>
      <c r="FJ92" s="38"/>
      <c r="FK92" s="38"/>
      <c r="FL92" s="38"/>
      <c r="FM92" s="38"/>
      <c r="FN92" s="38"/>
      <c r="FO92" s="38"/>
      <c r="FP92" s="38"/>
      <c r="FQ92" s="38"/>
      <c r="FR92" s="38"/>
      <c r="FS92" s="38"/>
      <c r="FT92" s="38"/>
      <c r="FU92" s="38"/>
      <c r="FV92" s="38"/>
      <c r="FW92" s="38"/>
      <c r="FX92" s="38"/>
      <c r="FY92" s="38"/>
      <c r="FZ92" s="38"/>
      <c r="GA92" s="38"/>
      <c r="GB92" s="38"/>
      <c r="GC92" s="38"/>
      <c r="GD92" s="38"/>
      <c r="GE92" s="38"/>
      <c r="GF92" s="38"/>
      <c r="GG92" s="38"/>
      <c r="GH92" s="38"/>
      <c r="GI92" s="38"/>
      <c r="GJ92" s="38"/>
      <c r="GK92" s="38"/>
      <c r="GL92" s="38"/>
      <c r="GM92" s="38"/>
      <c r="GN92" s="38"/>
      <c r="GO92" s="38"/>
      <c r="GP92" s="38"/>
      <c r="GQ92" s="38"/>
      <c r="GR92" s="38"/>
      <c r="GS92" s="38"/>
      <c r="GT92" s="38"/>
      <c r="GU92" s="38"/>
      <c r="GV92" s="38"/>
      <c r="GW92" s="38"/>
      <c r="GX92" s="38"/>
      <c r="GY92" s="38"/>
      <c r="GZ92" s="38"/>
      <c r="HA92" s="38"/>
      <c r="HB92" s="38"/>
      <c r="HC92" s="38"/>
      <c r="HD92" s="38"/>
      <c r="HE92" s="38"/>
      <c r="HF92" s="38"/>
      <c r="HG92" s="38"/>
      <c r="HH92" s="38"/>
      <c r="HI92" s="38"/>
      <c r="HJ92" s="38"/>
      <c r="HK92" s="38"/>
      <c r="HL92" s="38"/>
      <c r="HM92" s="38"/>
      <c r="HN92" s="38"/>
      <c r="HO92" s="38"/>
      <c r="HP92" s="38"/>
      <c r="HQ92" s="38"/>
      <c r="HR92" s="38"/>
      <c r="HS92" s="38"/>
      <c r="HT92" s="38"/>
      <c r="HU92" s="38"/>
      <c r="HV92" s="38"/>
      <c r="HW92" s="38"/>
      <c r="HX92" s="38"/>
      <c r="HY92" s="38"/>
      <c r="HZ92" s="38"/>
      <c r="IA92" s="38"/>
      <c r="IB92" s="38"/>
      <c r="IC92" s="38"/>
      <c r="ID92" s="38"/>
      <c r="IE92" s="38"/>
      <c r="IF92" s="38"/>
      <c r="IG92" s="38"/>
      <c r="IH92" s="38"/>
      <c r="II92" s="38"/>
      <c r="IJ92" s="38"/>
      <c r="IK92" s="38"/>
      <c r="IL92" s="38"/>
      <c r="IM92" s="38"/>
      <c r="IN92" s="38"/>
      <c r="IO92" s="38"/>
      <c r="IP92" s="38"/>
      <c r="IQ92" s="38"/>
      <c r="IR92" s="38"/>
      <c r="IS92" s="38"/>
      <c r="IT92" s="38"/>
      <c r="IU92" s="38"/>
      <c r="IV92" s="38"/>
      <c r="IW92" s="38"/>
      <c r="IX92" s="38"/>
      <c r="IY92" s="38"/>
      <c r="IZ92" s="38"/>
      <c r="JA92" s="38"/>
      <c r="JB92" s="38"/>
      <c r="JC92" s="38"/>
      <c r="JD92" s="38"/>
      <c r="JE92" s="38"/>
      <c r="JF92" s="38"/>
      <c r="JG92" s="38"/>
      <c r="JH92" s="38"/>
      <c r="JI92" s="38"/>
      <c r="JJ92" s="38"/>
      <c r="JK92" s="38"/>
      <c r="JL92" s="38"/>
      <c r="JM92" s="38"/>
      <c r="JN92" s="38"/>
      <c r="JO92" s="38"/>
      <c r="JP92" s="38"/>
      <c r="JQ92" s="38"/>
      <c r="JR92" s="38"/>
      <c r="JS92" s="38"/>
      <c r="JT92" s="38"/>
      <c r="JU92" s="38"/>
      <c r="JV92" s="38"/>
      <c r="JW92" s="38"/>
      <c r="JX92" s="38"/>
      <c r="JY92" s="38"/>
      <c r="JZ92" s="38"/>
      <c r="KA92" s="38"/>
      <c r="KB92" s="38"/>
      <c r="KC92" s="38"/>
      <c r="KD92" s="38"/>
      <c r="KE92" s="38"/>
      <c r="KF92" s="38"/>
      <c r="KG92" s="38"/>
      <c r="KH92" s="38"/>
      <c r="KI92" s="38"/>
      <c r="KJ92" s="38"/>
      <c r="KK92" s="38"/>
      <c r="KL92" s="38"/>
      <c r="KM92" s="38"/>
      <c r="KN92" s="38"/>
      <c r="KO92" s="38"/>
      <c r="KP92" s="38"/>
      <c r="KQ92" s="38"/>
      <c r="KR92" s="38"/>
      <c r="KS92" s="38"/>
      <c r="KT92" s="38"/>
      <c r="KU92" s="38"/>
      <c r="KV92" s="38"/>
      <c r="KW92" s="38"/>
      <c r="KX92" s="38"/>
      <c r="KY92" s="38"/>
      <c r="KZ92" s="38"/>
      <c r="LA92" s="38"/>
      <c r="LB92" s="38"/>
      <c r="LC92" s="38"/>
      <c r="LD92" s="38"/>
      <c r="LE92" s="38"/>
      <c r="LF92" s="38"/>
      <c r="LG92" s="38"/>
      <c r="LH92" s="38"/>
      <c r="LI92" s="38"/>
      <c r="LJ92" s="38"/>
      <c r="LK92" s="38"/>
      <c r="LL92" s="38"/>
      <c r="LM92" s="38"/>
      <c r="LN92" s="38"/>
      <c r="LO92" s="38"/>
      <c r="LP92" s="38"/>
      <c r="LQ92" s="38"/>
      <c r="LR92" s="38"/>
      <c r="LS92" s="38"/>
      <c r="LT92" s="38"/>
      <c r="LU92" s="38"/>
      <c r="LV92" s="38"/>
      <c r="LW92" s="38"/>
      <c r="LX92" s="38"/>
      <c r="LY92" s="38"/>
      <c r="LZ92" s="38"/>
      <c r="MA92" s="38"/>
      <c r="MB92" s="38"/>
      <c r="MC92" s="38"/>
      <c r="MD92" s="38"/>
      <c r="ME92" s="38"/>
      <c r="MF92" s="38"/>
      <c r="MG92" s="38"/>
      <c r="MH92" s="38"/>
      <c r="MI92" s="38"/>
      <c r="MJ92" s="38"/>
      <c r="MK92" s="38"/>
      <c r="ML92" s="38"/>
      <c r="MM92" s="38"/>
      <c r="MN92" s="38"/>
      <c r="MO92" s="38"/>
      <c r="MP92" s="38"/>
      <c r="MQ92" s="38"/>
      <c r="MR92" s="38"/>
      <c r="MS92" s="38"/>
      <c r="MT92" s="38"/>
      <c r="MU92" s="38"/>
      <c r="MV92" s="38"/>
      <c r="MW92" s="38"/>
      <c r="MX92" s="38"/>
      <c r="MY92" s="38"/>
      <c r="MZ92" s="38"/>
      <c r="NA92" s="38"/>
      <c r="NB92" s="38"/>
      <c r="NC92" s="38"/>
      <c r="ND92" s="38"/>
      <c r="NE92" s="38"/>
      <c r="NF92" s="38"/>
      <c r="NG92" s="38"/>
      <c r="NH92" s="38"/>
      <c r="NI92" s="38"/>
      <c r="NJ92" s="38"/>
      <c r="NK92" s="38"/>
      <c r="NL92" s="38"/>
      <c r="NM92" s="38"/>
      <c r="NN92" s="38"/>
      <c r="NO92" s="38"/>
      <c r="NP92" s="38"/>
      <c r="NQ92" s="38"/>
      <c r="NR92" s="38"/>
      <c r="NS92" s="38"/>
      <c r="NT92" s="38"/>
      <c r="NU92" s="38"/>
      <c r="NV92" s="38"/>
      <c r="NW92" s="38"/>
      <c r="NX92" s="38"/>
      <c r="NY92" s="38"/>
      <c r="NZ92" s="38"/>
      <c r="OA92" s="38"/>
      <c r="OB92" s="38"/>
      <c r="OC92" s="38"/>
      <c r="OD92" s="38"/>
      <c r="OE92" s="38"/>
      <c r="OF92" s="38"/>
      <c r="OG92" s="38"/>
      <c r="OH92" s="38"/>
      <c r="OI92" s="38"/>
      <c r="OJ92" s="38"/>
      <c r="OK92" s="38"/>
      <c r="OL92" s="38"/>
      <c r="OM92" s="38"/>
      <c r="ON92" s="38"/>
      <c r="OO92" s="38"/>
      <c r="OP92" s="38"/>
      <c r="OQ92" s="38"/>
      <c r="OR92" s="38"/>
      <c r="OS92" s="38"/>
      <c r="OT92" s="38"/>
      <c r="OU92" s="38"/>
      <c r="OV92" s="38"/>
      <c r="OW92" s="38"/>
      <c r="OX92" s="38"/>
      <c r="OY92" s="38"/>
      <c r="OZ92" s="38"/>
      <c r="PA92" s="38"/>
      <c r="PB92" s="38"/>
      <c r="PC92" s="38"/>
      <c r="PD92" s="38"/>
      <c r="PE92" s="38"/>
      <c r="PF92" s="38"/>
      <c r="PG92" s="38"/>
      <c r="PH92" s="38"/>
      <c r="PI92" s="38"/>
      <c r="PJ92" s="38"/>
      <c r="PK92" s="38"/>
      <c r="PL92" s="38"/>
      <c r="PM92" s="38"/>
      <c r="PN92" s="38"/>
      <c r="PO92" s="38"/>
      <c r="PP92" s="38"/>
      <c r="PQ92" s="38"/>
      <c r="PR92" s="38"/>
      <c r="PS92" s="38"/>
      <c r="PT92" s="38"/>
      <c r="PU92" s="38"/>
      <c r="PV92" s="38"/>
      <c r="PW92" s="38"/>
      <c r="PX92" s="38"/>
      <c r="PY92" s="38"/>
      <c r="PZ92" s="38"/>
      <c r="QA92" s="38"/>
      <c r="QB92" s="38"/>
      <c r="QC92" s="38"/>
      <c r="QD92" s="38"/>
      <c r="QE92" s="38"/>
      <c r="QF92" s="38"/>
      <c r="QG92" s="38"/>
      <c r="QH92" s="38"/>
      <c r="QI92" s="38"/>
      <c r="QJ92" s="38"/>
      <c r="QK92" s="38"/>
      <c r="QL92" s="38"/>
      <c r="QM92" s="38"/>
      <c r="QN92" s="38"/>
      <c r="QO92" s="38"/>
      <c r="QP92" s="38"/>
      <c r="QQ92" s="38"/>
      <c r="QR92" s="38"/>
      <c r="QS92" s="38"/>
      <c r="QT92" s="38"/>
      <c r="QU92" s="38"/>
      <c r="QV92" s="38"/>
      <c r="QW92" s="38"/>
      <c r="QX92" s="38"/>
      <c r="QY92" s="38"/>
      <c r="QZ92" s="38"/>
      <c r="RA92" s="38"/>
      <c r="RB92" s="38"/>
      <c r="RC92" s="38"/>
      <c r="RD92" s="38"/>
      <c r="RE92" s="38"/>
      <c r="RF92" s="38"/>
      <c r="RG92" s="38"/>
      <c r="RH92" s="38"/>
      <c r="RI92" s="38"/>
      <c r="RJ92" s="38"/>
      <c r="RK92" s="38"/>
      <c r="RL92" s="38"/>
      <c r="RM92" s="38"/>
      <c r="RN92" s="38"/>
      <c r="RO92" s="38"/>
      <c r="RP92" s="38"/>
      <c r="RQ92" s="38"/>
      <c r="RR92" s="38"/>
      <c r="RS92" s="38"/>
      <c r="RT92" s="38"/>
      <c r="RU92" s="38"/>
      <c r="RV92" s="38"/>
      <c r="RW92" s="38"/>
      <c r="RX92" s="38"/>
      <c r="RY92" s="38"/>
      <c r="RZ92" s="38"/>
      <c r="SA92" s="38"/>
      <c r="SB92" s="38"/>
      <c r="SC92" s="38"/>
      <c r="SD92" s="38"/>
      <c r="SE92" s="38"/>
      <c r="SF92" s="38"/>
      <c r="SG92" s="38"/>
      <c r="SH92" s="38"/>
      <c r="SI92" s="38"/>
      <c r="SJ92" s="38"/>
      <c r="SK92" s="38"/>
      <c r="SL92" s="38"/>
      <c r="SM92" s="38"/>
      <c r="SN92" s="38"/>
      <c r="SO92" s="38"/>
      <c r="SP92" s="38"/>
      <c r="SQ92" s="38"/>
      <c r="SR92" s="38"/>
      <c r="SS92" s="38"/>
      <c r="ST92" s="38"/>
      <c r="SU92" s="38"/>
      <c r="SV92" s="38"/>
      <c r="SW92" s="38"/>
      <c r="SX92" s="38"/>
      <c r="SY92" s="38"/>
      <c r="SZ92" s="38"/>
      <c r="TA92" s="38"/>
      <c r="TB92" s="38"/>
      <c r="TC92" s="38"/>
      <c r="TD92" s="38"/>
      <c r="TE92" s="38"/>
      <c r="TF92" s="38"/>
      <c r="TG92" s="38"/>
      <c r="TH92" s="38"/>
      <c r="TI92" s="38"/>
      <c r="TJ92" s="38"/>
      <c r="TK92" s="38"/>
      <c r="TL92" s="38"/>
      <c r="TM92" s="38"/>
      <c r="TN92" s="38"/>
      <c r="TO92" s="38"/>
      <c r="TP92" s="38"/>
      <c r="TQ92" s="38"/>
      <c r="TR92" s="38"/>
      <c r="TS92" s="38"/>
      <c r="TT92" s="38"/>
      <c r="TU92" s="38"/>
      <c r="TV92" s="38"/>
      <c r="TW92" s="38"/>
      <c r="TX92" s="38"/>
      <c r="TY92" s="38"/>
      <c r="TZ92" s="38"/>
      <c r="UA92" s="38"/>
      <c r="UB92" s="38"/>
      <c r="UC92" s="38"/>
      <c r="UD92" s="38"/>
      <c r="UE92" s="38"/>
      <c r="UF92" s="38"/>
      <c r="UG92" s="38"/>
      <c r="UH92" s="38"/>
      <c r="UI92" s="38"/>
      <c r="UJ92" s="38"/>
      <c r="UK92" s="38"/>
      <c r="UL92" s="38"/>
      <c r="UM92" s="38"/>
      <c r="UN92" s="38"/>
      <c r="UO92" s="38"/>
      <c r="UP92" s="38"/>
      <c r="UQ92" s="38"/>
      <c r="UR92" s="38"/>
      <c r="US92" s="38"/>
      <c r="UT92" s="38"/>
      <c r="UU92" s="38"/>
      <c r="UV92" s="38"/>
      <c r="UW92" s="38"/>
      <c r="UX92" s="38"/>
      <c r="UY92" s="38"/>
      <c r="UZ92" s="38"/>
      <c r="VA92" s="38"/>
      <c r="VB92" s="38"/>
      <c r="VC92" s="38"/>
      <c r="VD92" s="38"/>
      <c r="VE92" s="38"/>
      <c r="VF92" s="38"/>
      <c r="VG92" s="38"/>
      <c r="VH92" s="38"/>
      <c r="VI92" s="38"/>
      <c r="VJ92" s="38"/>
      <c r="VK92" s="38"/>
      <c r="VL92" s="38"/>
      <c r="VM92" s="38"/>
      <c r="VN92" s="38"/>
      <c r="VO92" s="38"/>
      <c r="VP92" s="38"/>
      <c r="VQ92" s="38"/>
      <c r="VR92" s="38"/>
      <c r="VS92" s="38"/>
      <c r="VT92" s="38"/>
      <c r="VU92" s="38"/>
      <c r="VV92" s="38"/>
      <c r="VW92" s="38"/>
      <c r="VX92" s="38"/>
      <c r="VY92" s="38"/>
      <c r="VZ92" s="38"/>
      <c r="WA92" s="38"/>
      <c r="WB92" s="38"/>
      <c r="WC92" s="38"/>
      <c r="WD92" s="38"/>
      <c r="WE92" s="38"/>
      <c r="WF92" s="38"/>
      <c r="WG92" s="38"/>
      <c r="WH92" s="38"/>
      <c r="WI92" s="38"/>
      <c r="WJ92" s="38"/>
      <c r="WK92" s="38"/>
      <c r="WL92" s="38"/>
      <c r="WM92" s="38"/>
      <c r="WN92" s="38"/>
      <c r="WO92" s="38"/>
      <c r="WP92" s="38"/>
      <c r="WQ92" s="38"/>
      <c r="WR92" s="38"/>
      <c r="WS92" s="38"/>
      <c r="WT92" s="38"/>
      <c r="WU92" s="38"/>
      <c r="WV92" s="38"/>
      <c r="WW92" s="38"/>
      <c r="WX92" s="38"/>
      <c r="WY92" s="38"/>
      <c r="WZ92" s="38"/>
      <c r="XA92" s="38"/>
      <c r="XB92" s="38"/>
      <c r="XC92" s="38"/>
      <c r="XD92" s="38"/>
      <c r="XE92" s="38"/>
      <c r="XF92" s="38"/>
      <c r="XG92" s="38"/>
      <c r="XH92" s="38"/>
      <c r="XI92" s="38"/>
      <c r="XJ92" s="38"/>
      <c r="XK92" s="38"/>
      <c r="XL92" s="38"/>
      <c r="XM92" s="38"/>
      <c r="XN92" s="38"/>
      <c r="XO92" s="38"/>
      <c r="XP92" s="38"/>
      <c r="XQ92" s="38"/>
      <c r="XR92" s="38"/>
      <c r="XS92" s="38"/>
      <c r="XT92" s="38"/>
      <c r="XU92" s="38"/>
      <c r="XV92" s="38"/>
      <c r="XW92" s="38"/>
      <c r="XX92" s="38"/>
      <c r="XY92" s="38"/>
      <c r="XZ92" s="38"/>
      <c r="YA92" s="38"/>
      <c r="YB92" s="38"/>
      <c r="YC92" s="38"/>
      <c r="YD92" s="38"/>
      <c r="YE92" s="38"/>
      <c r="YF92" s="38"/>
      <c r="YG92" s="38"/>
      <c r="YH92" s="38"/>
      <c r="YI92" s="38"/>
      <c r="YJ92" s="38"/>
      <c r="YK92" s="38"/>
      <c r="YL92" s="38"/>
      <c r="YM92" s="38"/>
      <c r="YN92" s="38"/>
      <c r="YO92" s="38"/>
      <c r="YP92" s="38"/>
      <c r="YQ92" s="38"/>
      <c r="YR92" s="38"/>
      <c r="YS92" s="38"/>
      <c r="YT92" s="38"/>
      <c r="YU92" s="38"/>
      <c r="YV92" s="38"/>
      <c r="YW92" s="38"/>
      <c r="YX92" s="38"/>
      <c r="YY92" s="38"/>
      <c r="YZ92" s="38"/>
      <c r="ZA92" s="38"/>
      <c r="ZB92" s="38"/>
      <c r="ZC92" s="38"/>
      <c r="ZD92" s="38"/>
      <c r="ZE92" s="38"/>
      <c r="ZF92" s="38"/>
      <c r="ZG92" s="38"/>
      <c r="ZH92" s="38"/>
      <c r="ZI92" s="38"/>
      <c r="ZJ92" s="38"/>
      <c r="ZK92" s="38"/>
      <c r="ZL92" s="38"/>
      <c r="ZM92" s="38"/>
      <c r="ZN92" s="38"/>
      <c r="ZO92" s="38"/>
      <c r="ZP92" s="38"/>
      <c r="ZQ92" s="38"/>
      <c r="ZR92" s="38"/>
      <c r="ZS92" s="38"/>
      <c r="ZT92" s="38"/>
      <c r="ZU92" s="38"/>
      <c r="ZV92" s="38"/>
      <c r="ZW92" s="38"/>
      <c r="ZX92" s="38"/>
      <c r="ZY92" s="38"/>
      <c r="ZZ92" s="38"/>
      <c r="AAA92" s="38"/>
      <c r="AAB92" s="38"/>
      <c r="AAC92" s="38"/>
      <c r="AAD92" s="38"/>
      <c r="AAE92" s="38"/>
      <c r="AAF92" s="38"/>
      <c r="AAG92" s="38"/>
      <c r="AAH92" s="38"/>
      <c r="AAI92" s="38"/>
      <c r="AAJ92" s="38"/>
      <c r="AAK92" s="38"/>
      <c r="AAL92" s="38"/>
      <c r="AAM92" s="38"/>
      <c r="AAN92" s="38"/>
      <c r="AAO92" s="38"/>
      <c r="AAP92" s="38"/>
      <c r="AAQ92" s="38"/>
      <c r="AAR92" s="38"/>
      <c r="AAS92" s="38"/>
      <c r="AAT92" s="38"/>
      <c r="AAU92" s="38"/>
      <c r="AAV92" s="38"/>
      <c r="AAW92" s="38"/>
      <c r="AAX92" s="38"/>
      <c r="AAY92" s="38"/>
      <c r="AAZ92" s="38"/>
      <c r="ABA92" s="38"/>
      <c r="ABB92" s="38"/>
      <c r="ABC92" s="38"/>
      <c r="ABD92" s="38"/>
      <c r="ABE92" s="38"/>
      <c r="ABF92" s="38"/>
      <c r="ABG92" s="38"/>
      <c r="ABH92" s="38"/>
      <c r="ABI92" s="38"/>
      <c r="ABJ92" s="38"/>
      <c r="ABK92" s="38"/>
      <c r="ABL92" s="38"/>
      <c r="ABM92" s="38"/>
      <c r="ABN92" s="38"/>
      <c r="ABO92" s="38"/>
      <c r="ABP92" s="38"/>
      <c r="ABQ92" s="38"/>
      <c r="ABR92" s="38"/>
      <c r="ABS92" s="38"/>
      <c r="ABT92" s="38"/>
      <c r="ABU92" s="38"/>
      <c r="ABV92" s="38"/>
      <c r="ABW92" s="38"/>
      <c r="ABX92" s="38"/>
      <c r="ABY92" s="38"/>
      <c r="ABZ92" s="38"/>
      <c r="ACA92" s="38"/>
      <c r="ACB92" s="38"/>
      <c r="ACC92" s="38"/>
      <c r="ACD92" s="38"/>
      <c r="ACE92" s="38"/>
      <c r="ACF92" s="38"/>
      <c r="ACG92" s="38"/>
      <c r="ACH92" s="38"/>
      <c r="ACI92" s="38"/>
      <c r="ACJ92" s="38"/>
      <c r="ACK92" s="38"/>
      <c r="ACL92" s="38"/>
      <c r="ACM92" s="38"/>
      <c r="ACN92" s="38"/>
      <c r="ACO92" s="38"/>
      <c r="ACP92" s="38"/>
      <c r="ACQ92" s="38"/>
      <c r="ACR92" s="38"/>
      <c r="ACS92" s="38"/>
      <c r="ACT92" s="38"/>
      <c r="ACU92" s="38"/>
      <c r="ACV92" s="38"/>
      <c r="ACW92" s="38"/>
      <c r="ACX92" s="38"/>
      <c r="ACY92" s="38"/>
      <c r="ACZ92" s="38"/>
      <c r="ADA92" s="38"/>
      <c r="ADB92" s="38"/>
      <c r="ADC92" s="38"/>
      <c r="ADD92" s="38"/>
      <c r="ADE92" s="38"/>
      <c r="ADF92" s="38"/>
      <c r="ADG92" s="38"/>
      <c r="ADH92" s="38"/>
      <c r="ADI92" s="38"/>
      <c r="ADJ92" s="38"/>
      <c r="ADK92" s="38"/>
      <c r="ADL92" s="38"/>
      <c r="ADM92" s="38"/>
      <c r="ADN92" s="38"/>
      <c r="ADO92" s="38"/>
      <c r="ADP92" s="38"/>
      <c r="ADQ92" s="38"/>
      <c r="ADR92" s="38"/>
      <c r="ADS92" s="38"/>
      <c r="ADT92" s="38"/>
      <c r="ADU92" s="38"/>
      <c r="ADV92" s="38"/>
      <c r="ADW92" s="38"/>
      <c r="ADX92" s="38"/>
      <c r="ADY92" s="38"/>
      <c r="ADZ92" s="38"/>
      <c r="AEA92" s="38"/>
      <c r="AEB92" s="38"/>
      <c r="AEC92" s="38"/>
      <c r="AED92" s="38"/>
      <c r="AEE92" s="38"/>
      <c r="AEF92" s="38"/>
      <c r="AEG92" s="38"/>
      <c r="AEH92" s="38"/>
      <c r="AEI92" s="38"/>
      <c r="AEJ92" s="38"/>
      <c r="AEK92" s="38"/>
      <c r="AEL92" s="38"/>
      <c r="AEM92" s="38"/>
      <c r="AEN92" s="38"/>
      <c r="AEO92" s="38"/>
      <c r="AEP92" s="38"/>
      <c r="AEQ92" s="38"/>
      <c r="AER92" s="38"/>
      <c r="AES92" s="38"/>
      <c r="AET92" s="38"/>
      <c r="AEU92" s="38"/>
      <c r="AEV92" s="38"/>
      <c r="AEW92" s="38"/>
      <c r="AEX92" s="38"/>
      <c r="AEY92" s="38"/>
      <c r="AEZ92" s="38"/>
      <c r="AFA92" s="38"/>
      <c r="AFB92" s="38"/>
      <c r="AFC92" s="38"/>
      <c r="AFD92" s="38"/>
      <c r="AFE92" s="38"/>
      <c r="AFF92" s="38"/>
      <c r="AFG92" s="38"/>
      <c r="AFH92" s="38"/>
      <c r="AFI92" s="38"/>
      <c r="AFJ92" s="38"/>
      <c r="AFK92" s="38"/>
      <c r="AFL92" s="38"/>
      <c r="AFM92" s="38"/>
      <c r="AFN92" s="38"/>
      <c r="AFO92" s="38"/>
      <c r="AFP92" s="38"/>
      <c r="AFQ92" s="38"/>
      <c r="AFR92" s="38"/>
      <c r="AFS92" s="38"/>
      <c r="AFT92" s="38"/>
      <c r="AFU92" s="38"/>
      <c r="AFV92" s="38"/>
      <c r="AFW92" s="38"/>
      <c r="AFX92" s="38"/>
      <c r="AFY92" s="38"/>
      <c r="AFZ92" s="38"/>
      <c r="AGA92" s="38"/>
      <c r="AGB92" s="38"/>
      <c r="AGC92" s="38"/>
      <c r="AGD92" s="38"/>
      <c r="AGE92" s="38"/>
      <c r="AGF92" s="38"/>
      <c r="AGG92" s="38"/>
      <c r="AGH92" s="38"/>
      <c r="AGI92" s="38"/>
      <c r="AGJ92" s="38"/>
      <c r="AGK92" s="38"/>
      <c r="AGL92" s="38"/>
      <c r="AGM92" s="38"/>
      <c r="AGN92" s="38"/>
      <c r="AGO92" s="38"/>
      <c r="AGP92" s="38"/>
      <c r="AGQ92" s="38"/>
      <c r="AGR92" s="38"/>
      <c r="AGS92" s="38"/>
      <c r="AGT92" s="38"/>
      <c r="AGU92" s="38"/>
      <c r="AGV92" s="38"/>
      <c r="AGW92" s="38"/>
      <c r="AGX92" s="38"/>
      <c r="AGY92" s="38"/>
      <c r="AGZ92" s="38"/>
      <c r="AHA92" s="38"/>
      <c r="AHB92" s="38"/>
      <c r="AHC92" s="38"/>
      <c r="AHD92" s="38"/>
      <c r="AHE92" s="38"/>
      <c r="AHF92" s="38"/>
      <c r="AHG92" s="38"/>
      <c r="AHH92" s="38"/>
      <c r="AHI92" s="38"/>
      <c r="AHJ92" s="38"/>
      <c r="AHK92" s="38"/>
      <c r="AHL92" s="38"/>
      <c r="AHM92" s="38"/>
      <c r="AHN92" s="38"/>
      <c r="AHO92" s="38"/>
      <c r="AHP92" s="38"/>
      <c r="AHQ92" s="38"/>
      <c r="AHR92" s="38"/>
      <c r="AHS92" s="38"/>
      <c r="AHT92" s="38"/>
      <c r="AHU92" s="38"/>
      <c r="AHV92" s="38"/>
    </row>
    <row r="93" spans="1:906" s="27" customFormat="1" x14ac:dyDescent="0.35">
      <c r="A93" s="83">
        <v>88</v>
      </c>
      <c r="B93" s="108" t="s">
        <v>148</v>
      </c>
      <c r="C93" s="109" t="s">
        <v>152</v>
      </c>
      <c r="D93" s="109" t="s">
        <v>129</v>
      </c>
      <c r="E93" s="125">
        <v>22.5</v>
      </c>
      <c r="F93" s="125">
        <v>26.95</v>
      </c>
      <c r="G93" s="125">
        <v>21.5</v>
      </c>
      <c r="H93" s="125"/>
      <c r="I93" s="37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  <c r="CP93" s="38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38"/>
      <c r="DK93" s="38"/>
      <c r="DL93" s="38"/>
      <c r="DM93" s="38"/>
      <c r="DN93" s="38"/>
      <c r="DO93" s="38"/>
      <c r="DP93" s="38"/>
      <c r="DQ93" s="38"/>
      <c r="DR93" s="38"/>
      <c r="DS93" s="38"/>
      <c r="DT93" s="38"/>
      <c r="DU93" s="38"/>
      <c r="DV93" s="38"/>
      <c r="DW93" s="38"/>
      <c r="DX93" s="38"/>
      <c r="DY93" s="38"/>
      <c r="DZ93" s="38"/>
      <c r="EA93" s="38"/>
      <c r="EB93" s="38"/>
      <c r="EC93" s="38"/>
      <c r="ED93" s="38"/>
      <c r="EE93" s="38"/>
      <c r="EF93" s="38"/>
      <c r="EG93" s="38"/>
      <c r="EH93" s="38"/>
      <c r="EI93" s="38"/>
      <c r="EJ93" s="38"/>
      <c r="EK93" s="38"/>
      <c r="EL93" s="38"/>
      <c r="EM93" s="38"/>
      <c r="EN93" s="38"/>
      <c r="EO93" s="38"/>
      <c r="EP93" s="38"/>
      <c r="EQ93" s="38"/>
      <c r="ER93" s="38"/>
      <c r="ES93" s="38"/>
      <c r="ET93" s="38"/>
      <c r="EU93" s="38"/>
      <c r="EV93" s="38"/>
      <c r="EW93" s="38"/>
      <c r="EX93" s="38"/>
      <c r="EY93" s="38"/>
      <c r="EZ93" s="38"/>
      <c r="FA93" s="38"/>
      <c r="FB93" s="38"/>
      <c r="FC93" s="38"/>
      <c r="FD93" s="38"/>
      <c r="FE93" s="38"/>
      <c r="FF93" s="38"/>
      <c r="FG93" s="38"/>
      <c r="FH93" s="38"/>
      <c r="FI93" s="38"/>
      <c r="FJ93" s="38"/>
      <c r="FK93" s="38"/>
      <c r="FL93" s="38"/>
      <c r="FM93" s="38"/>
      <c r="FN93" s="38"/>
      <c r="FO93" s="38"/>
      <c r="FP93" s="38"/>
      <c r="FQ93" s="38"/>
      <c r="FR93" s="38"/>
      <c r="FS93" s="38"/>
      <c r="FT93" s="38"/>
      <c r="FU93" s="38"/>
      <c r="FV93" s="38"/>
      <c r="FW93" s="38"/>
      <c r="FX93" s="38"/>
      <c r="FY93" s="38"/>
      <c r="FZ93" s="38"/>
      <c r="GA93" s="38"/>
      <c r="GB93" s="38"/>
      <c r="GC93" s="38"/>
      <c r="GD93" s="38"/>
      <c r="GE93" s="38"/>
      <c r="GF93" s="38"/>
      <c r="GG93" s="38"/>
      <c r="GH93" s="38"/>
      <c r="GI93" s="38"/>
      <c r="GJ93" s="38"/>
      <c r="GK93" s="38"/>
      <c r="GL93" s="38"/>
      <c r="GM93" s="38"/>
      <c r="GN93" s="38"/>
      <c r="GO93" s="38"/>
      <c r="GP93" s="38"/>
      <c r="GQ93" s="38"/>
      <c r="GR93" s="38"/>
      <c r="GS93" s="38"/>
      <c r="GT93" s="38"/>
      <c r="GU93" s="38"/>
      <c r="GV93" s="38"/>
      <c r="GW93" s="38"/>
      <c r="GX93" s="38"/>
      <c r="GY93" s="38"/>
      <c r="GZ93" s="38"/>
      <c r="HA93" s="38"/>
      <c r="HB93" s="38"/>
      <c r="HC93" s="38"/>
      <c r="HD93" s="38"/>
      <c r="HE93" s="38"/>
      <c r="HF93" s="38"/>
      <c r="HG93" s="38"/>
      <c r="HH93" s="38"/>
      <c r="HI93" s="38"/>
      <c r="HJ93" s="38"/>
      <c r="HK93" s="38"/>
      <c r="HL93" s="38"/>
      <c r="HM93" s="38"/>
      <c r="HN93" s="38"/>
      <c r="HO93" s="38"/>
      <c r="HP93" s="38"/>
      <c r="HQ93" s="38"/>
      <c r="HR93" s="38"/>
      <c r="HS93" s="38"/>
      <c r="HT93" s="38"/>
      <c r="HU93" s="38"/>
      <c r="HV93" s="38"/>
      <c r="HW93" s="38"/>
      <c r="HX93" s="38"/>
      <c r="HY93" s="38"/>
      <c r="HZ93" s="38"/>
      <c r="IA93" s="38"/>
      <c r="IB93" s="38"/>
      <c r="IC93" s="38"/>
      <c r="ID93" s="38"/>
      <c r="IE93" s="38"/>
      <c r="IF93" s="38"/>
      <c r="IG93" s="38"/>
      <c r="IH93" s="38"/>
      <c r="II93" s="38"/>
      <c r="IJ93" s="38"/>
      <c r="IK93" s="38"/>
      <c r="IL93" s="38"/>
      <c r="IM93" s="38"/>
      <c r="IN93" s="38"/>
      <c r="IO93" s="38"/>
      <c r="IP93" s="38"/>
      <c r="IQ93" s="38"/>
      <c r="IR93" s="38"/>
      <c r="IS93" s="38"/>
      <c r="IT93" s="38"/>
      <c r="IU93" s="38"/>
      <c r="IV93" s="38"/>
      <c r="IW93" s="38"/>
      <c r="IX93" s="38"/>
      <c r="IY93" s="38"/>
      <c r="IZ93" s="38"/>
      <c r="JA93" s="38"/>
      <c r="JB93" s="38"/>
      <c r="JC93" s="38"/>
      <c r="JD93" s="38"/>
      <c r="JE93" s="38"/>
      <c r="JF93" s="38"/>
      <c r="JG93" s="38"/>
      <c r="JH93" s="38"/>
      <c r="JI93" s="38"/>
      <c r="JJ93" s="38"/>
      <c r="JK93" s="38"/>
      <c r="JL93" s="38"/>
      <c r="JM93" s="38"/>
      <c r="JN93" s="38"/>
      <c r="JO93" s="38"/>
      <c r="JP93" s="38"/>
      <c r="JQ93" s="38"/>
      <c r="JR93" s="38"/>
      <c r="JS93" s="38"/>
      <c r="JT93" s="38"/>
      <c r="JU93" s="38"/>
      <c r="JV93" s="38"/>
      <c r="JW93" s="38"/>
      <c r="JX93" s="38"/>
      <c r="JY93" s="38"/>
      <c r="JZ93" s="38"/>
      <c r="KA93" s="38"/>
      <c r="KB93" s="38"/>
      <c r="KC93" s="38"/>
      <c r="KD93" s="38"/>
      <c r="KE93" s="38"/>
      <c r="KF93" s="38"/>
      <c r="KG93" s="38"/>
      <c r="KH93" s="38"/>
      <c r="KI93" s="38"/>
      <c r="KJ93" s="38"/>
      <c r="KK93" s="38"/>
      <c r="KL93" s="38"/>
      <c r="KM93" s="38"/>
      <c r="KN93" s="38"/>
      <c r="KO93" s="38"/>
      <c r="KP93" s="38"/>
      <c r="KQ93" s="38"/>
      <c r="KR93" s="38"/>
      <c r="KS93" s="38"/>
      <c r="KT93" s="38"/>
      <c r="KU93" s="38"/>
      <c r="KV93" s="38"/>
      <c r="KW93" s="38"/>
      <c r="KX93" s="38"/>
      <c r="KY93" s="38"/>
      <c r="KZ93" s="38"/>
      <c r="LA93" s="38"/>
      <c r="LB93" s="38"/>
      <c r="LC93" s="38"/>
      <c r="LD93" s="38"/>
      <c r="LE93" s="38"/>
      <c r="LF93" s="38"/>
      <c r="LG93" s="38"/>
      <c r="LH93" s="38"/>
      <c r="LI93" s="38"/>
      <c r="LJ93" s="38"/>
      <c r="LK93" s="38"/>
      <c r="LL93" s="38"/>
      <c r="LM93" s="38"/>
      <c r="LN93" s="38"/>
      <c r="LO93" s="38"/>
      <c r="LP93" s="38"/>
      <c r="LQ93" s="38"/>
      <c r="LR93" s="38"/>
      <c r="LS93" s="38"/>
      <c r="LT93" s="38"/>
      <c r="LU93" s="38"/>
      <c r="LV93" s="38"/>
      <c r="LW93" s="38"/>
      <c r="LX93" s="38"/>
      <c r="LY93" s="38"/>
      <c r="LZ93" s="38"/>
      <c r="MA93" s="38"/>
      <c r="MB93" s="38"/>
      <c r="MC93" s="38"/>
      <c r="MD93" s="38"/>
      <c r="ME93" s="38"/>
      <c r="MF93" s="38"/>
      <c r="MG93" s="38"/>
      <c r="MH93" s="38"/>
      <c r="MI93" s="38"/>
      <c r="MJ93" s="38"/>
      <c r="MK93" s="38"/>
      <c r="ML93" s="38"/>
      <c r="MM93" s="38"/>
      <c r="MN93" s="38"/>
      <c r="MO93" s="38"/>
      <c r="MP93" s="38"/>
      <c r="MQ93" s="38"/>
      <c r="MR93" s="38"/>
      <c r="MS93" s="38"/>
      <c r="MT93" s="38"/>
      <c r="MU93" s="38"/>
      <c r="MV93" s="38"/>
      <c r="MW93" s="38"/>
      <c r="MX93" s="38"/>
      <c r="MY93" s="38"/>
      <c r="MZ93" s="38"/>
      <c r="NA93" s="38"/>
      <c r="NB93" s="38"/>
      <c r="NC93" s="38"/>
      <c r="ND93" s="38"/>
      <c r="NE93" s="38"/>
      <c r="NF93" s="38"/>
      <c r="NG93" s="38"/>
      <c r="NH93" s="38"/>
      <c r="NI93" s="38"/>
      <c r="NJ93" s="38"/>
      <c r="NK93" s="38"/>
      <c r="NL93" s="38"/>
      <c r="NM93" s="38"/>
      <c r="NN93" s="38"/>
      <c r="NO93" s="38"/>
      <c r="NP93" s="38"/>
      <c r="NQ93" s="38"/>
      <c r="NR93" s="38"/>
      <c r="NS93" s="38"/>
      <c r="NT93" s="38"/>
      <c r="NU93" s="38"/>
      <c r="NV93" s="38"/>
      <c r="NW93" s="38"/>
      <c r="NX93" s="38"/>
      <c r="NY93" s="38"/>
      <c r="NZ93" s="38"/>
      <c r="OA93" s="38"/>
      <c r="OB93" s="38"/>
      <c r="OC93" s="38"/>
      <c r="OD93" s="38"/>
      <c r="OE93" s="38"/>
      <c r="OF93" s="38"/>
      <c r="OG93" s="38"/>
      <c r="OH93" s="38"/>
      <c r="OI93" s="38"/>
      <c r="OJ93" s="38"/>
      <c r="OK93" s="38"/>
      <c r="OL93" s="38"/>
      <c r="OM93" s="38"/>
      <c r="ON93" s="38"/>
      <c r="OO93" s="38"/>
      <c r="OP93" s="38"/>
      <c r="OQ93" s="38"/>
      <c r="OR93" s="38"/>
      <c r="OS93" s="38"/>
      <c r="OT93" s="38"/>
      <c r="OU93" s="38"/>
      <c r="OV93" s="38"/>
      <c r="OW93" s="38"/>
      <c r="OX93" s="38"/>
      <c r="OY93" s="38"/>
      <c r="OZ93" s="38"/>
      <c r="PA93" s="38"/>
      <c r="PB93" s="38"/>
      <c r="PC93" s="38"/>
      <c r="PD93" s="38"/>
      <c r="PE93" s="38"/>
      <c r="PF93" s="38"/>
      <c r="PG93" s="38"/>
      <c r="PH93" s="38"/>
      <c r="PI93" s="38"/>
      <c r="PJ93" s="38"/>
      <c r="PK93" s="38"/>
      <c r="PL93" s="38"/>
      <c r="PM93" s="38"/>
      <c r="PN93" s="38"/>
      <c r="PO93" s="38"/>
      <c r="PP93" s="38"/>
      <c r="PQ93" s="38"/>
      <c r="PR93" s="38"/>
      <c r="PS93" s="38"/>
      <c r="PT93" s="38"/>
      <c r="PU93" s="38"/>
      <c r="PV93" s="38"/>
      <c r="PW93" s="38"/>
      <c r="PX93" s="38"/>
      <c r="PY93" s="38"/>
      <c r="PZ93" s="38"/>
      <c r="QA93" s="38"/>
      <c r="QB93" s="38"/>
      <c r="QC93" s="38"/>
      <c r="QD93" s="38"/>
      <c r="QE93" s="38"/>
      <c r="QF93" s="38"/>
      <c r="QG93" s="38"/>
      <c r="QH93" s="38"/>
      <c r="QI93" s="38"/>
      <c r="QJ93" s="38"/>
      <c r="QK93" s="38"/>
      <c r="QL93" s="38"/>
      <c r="QM93" s="38"/>
      <c r="QN93" s="38"/>
      <c r="QO93" s="38"/>
      <c r="QP93" s="38"/>
      <c r="QQ93" s="38"/>
      <c r="QR93" s="38"/>
      <c r="QS93" s="38"/>
      <c r="QT93" s="38"/>
      <c r="QU93" s="38"/>
      <c r="QV93" s="38"/>
      <c r="QW93" s="38"/>
      <c r="QX93" s="38"/>
      <c r="QY93" s="38"/>
      <c r="QZ93" s="38"/>
      <c r="RA93" s="38"/>
      <c r="RB93" s="38"/>
      <c r="RC93" s="38"/>
      <c r="RD93" s="38"/>
      <c r="RE93" s="38"/>
      <c r="RF93" s="38"/>
      <c r="RG93" s="38"/>
      <c r="RH93" s="38"/>
      <c r="RI93" s="38"/>
      <c r="RJ93" s="38"/>
      <c r="RK93" s="38"/>
      <c r="RL93" s="38"/>
      <c r="RM93" s="38"/>
      <c r="RN93" s="38"/>
      <c r="RO93" s="38"/>
      <c r="RP93" s="38"/>
      <c r="RQ93" s="38"/>
      <c r="RR93" s="38"/>
      <c r="RS93" s="38"/>
      <c r="RT93" s="38"/>
      <c r="RU93" s="38"/>
      <c r="RV93" s="38"/>
      <c r="RW93" s="38"/>
      <c r="RX93" s="38"/>
      <c r="RY93" s="38"/>
      <c r="RZ93" s="38"/>
      <c r="SA93" s="38"/>
      <c r="SB93" s="38"/>
      <c r="SC93" s="38"/>
      <c r="SD93" s="38"/>
      <c r="SE93" s="38"/>
      <c r="SF93" s="38"/>
      <c r="SG93" s="38"/>
      <c r="SH93" s="38"/>
      <c r="SI93" s="38"/>
      <c r="SJ93" s="38"/>
      <c r="SK93" s="38"/>
      <c r="SL93" s="38"/>
      <c r="SM93" s="38"/>
      <c r="SN93" s="38"/>
      <c r="SO93" s="38"/>
      <c r="SP93" s="38"/>
      <c r="SQ93" s="38"/>
      <c r="SR93" s="38"/>
      <c r="SS93" s="38"/>
      <c r="ST93" s="38"/>
      <c r="SU93" s="38"/>
      <c r="SV93" s="38"/>
      <c r="SW93" s="38"/>
      <c r="SX93" s="38"/>
      <c r="SY93" s="38"/>
      <c r="SZ93" s="38"/>
      <c r="TA93" s="38"/>
      <c r="TB93" s="38"/>
      <c r="TC93" s="38"/>
      <c r="TD93" s="38"/>
      <c r="TE93" s="38"/>
      <c r="TF93" s="38"/>
      <c r="TG93" s="38"/>
      <c r="TH93" s="38"/>
      <c r="TI93" s="38"/>
      <c r="TJ93" s="38"/>
      <c r="TK93" s="38"/>
      <c r="TL93" s="38"/>
      <c r="TM93" s="38"/>
      <c r="TN93" s="38"/>
      <c r="TO93" s="38"/>
      <c r="TP93" s="38"/>
      <c r="TQ93" s="38"/>
      <c r="TR93" s="38"/>
      <c r="TS93" s="38"/>
      <c r="TT93" s="38"/>
      <c r="TU93" s="38"/>
      <c r="TV93" s="38"/>
      <c r="TW93" s="38"/>
      <c r="TX93" s="38"/>
      <c r="TY93" s="38"/>
      <c r="TZ93" s="38"/>
      <c r="UA93" s="38"/>
      <c r="UB93" s="38"/>
      <c r="UC93" s="38"/>
      <c r="UD93" s="38"/>
      <c r="UE93" s="38"/>
      <c r="UF93" s="38"/>
      <c r="UG93" s="38"/>
      <c r="UH93" s="38"/>
      <c r="UI93" s="38"/>
      <c r="UJ93" s="38"/>
      <c r="UK93" s="38"/>
      <c r="UL93" s="38"/>
      <c r="UM93" s="38"/>
      <c r="UN93" s="38"/>
      <c r="UO93" s="38"/>
      <c r="UP93" s="38"/>
      <c r="UQ93" s="38"/>
      <c r="UR93" s="38"/>
      <c r="US93" s="38"/>
      <c r="UT93" s="38"/>
      <c r="UU93" s="38"/>
      <c r="UV93" s="38"/>
      <c r="UW93" s="38"/>
      <c r="UX93" s="38"/>
      <c r="UY93" s="38"/>
      <c r="UZ93" s="38"/>
      <c r="VA93" s="38"/>
      <c r="VB93" s="38"/>
      <c r="VC93" s="38"/>
      <c r="VD93" s="38"/>
      <c r="VE93" s="38"/>
      <c r="VF93" s="38"/>
      <c r="VG93" s="38"/>
      <c r="VH93" s="38"/>
      <c r="VI93" s="38"/>
      <c r="VJ93" s="38"/>
      <c r="VK93" s="38"/>
      <c r="VL93" s="38"/>
      <c r="VM93" s="38"/>
      <c r="VN93" s="38"/>
      <c r="VO93" s="38"/>
      <c r="VP93" s="38"/>
      <c r="VQ93" s="38"/>
      <c r="VR93" s="38"/>
      <c r="VS93" s="38"/>
      <c r="VT93" s="38"/>
      <c r="VU93" s="38"/>
      <c r="VV93" s="38"/>
      <c r="VW93" s="38"/>
      <c r="VX93" s="38"/>
      <c r="VY93" s="38"/>
      <c r="VZ93" s="38"/>
      <c r="WA93" s="38"/>
      <c r="WB93" s="38"/>
      <c r="WC93" s="38"/>
      <c r="WD93" s="38"/>
      <c r="WE93" s="38"/>
      <c r="WF93" s="38"/>
      <c r="WG93" s="38"/>
      <c r="WH93" s="38"/>
      <c r="WI93" s="38"/>
      <c r="WJ93" s="38"/>
      <c r="WK93" s="38"/>
      <c r="WL93" s="38"/>
      <c r="WM93" s="38"/>
      <c r="WN93" s="38"/>
      <c r="WO93" s="38"/>
      <c r="WP93" s="38"/>
      <c r="WQ93" s="38"/>
      <c r="WR93" s="38"/>
      <c r="WS93" s="38"/>
      <c r="WT93" s="38"/>
      <c r="WU93" s="38"/>
      <c r="WV93" s="38"/>
      <c r="WW93" s="38"/>
      <c r="WX93" s="38"/>
      <c r="WY93" s="38"/>
      <c r="WZ93" s="38"/>
      <c r="XA93" s="38"/>
      <c r="XB93" s="38"/>
      <c r="XC93" s="38"/>
      <c r="XD93" s="38"/>
      <c r="XE93" s="38"/>
      <c r="XF93" s="38"/>
      <c r="XG93" s="38"/>
      <c r="XH93" s="38"/>
      <c r="XI93" s="38"/>
      <c r="XJ93" s="38"/>
      <c r="XK93" s="38"/>
      <c r="XL93" s="38"/>
      <c r="XM93" s="38"/>
      <c r="XN93" s="38"/>
      <c r="XO93" s="38"/>
      <c r="XP93" s="38"/>
      <c r="XQ93" s="38"/>
      <c r="XR93" s="38"/>
      <c r="XS93" s="38"/>
      <c r="XT93" s="38"/>
      <c r="XU93" s="38"/>
      <c r="XV93" s="38"/>
      <c r="XW93" s="38"/>
      <c r="XX93" s="38"/>
      <c r="XY93" s="38"/>
      <c r="XZ93" s="38"/>
      <c r="YA93" s="38"/>
      <c r="YB93" s="38"/>
      <c r="YC93" s="38"/>
      <c r="YD93" s="38"/>
      <c r="YE93" s="38"/>
      <c r="YF93" s="38"/>
      <c r="YG93" s="38"/>
      <c r="YH93" s="38"/>
      <c r="YI93" s="38"/>
      <c r="YJ93" s="38"/>
      <c r="YK93" s="38"/>
      <c r="YL93" s="38"/>
      <c r="YM93" s="38"/>
      <c r="YN93" s="38"/>
      <c r="YO93" s="38"/>
      <c r="YP93" s="38"/>
      <c r="YQ93" s="38"/>
      <c r="YR93" s="38"/>
      <c r="YS93" s="38"/>
      <c r="YT93" s="38"/>
      <c r="YU93" s="38"/>
      <c r="YV93" s="38"/>
      <c r="YW93" s="38"/>
      <c r="YX93" s="38"/>
      <c r="YY93" s="38"/>
      <c r="YZ93" s="38"/>
      <c r="ZA93" s="38"/>
      <c r="ZB93" s="38"/>
      <c r="ZC93" s="38"/>
      <c r="ZD93" s="38"/>
      <c r="ZE93" s="38"/>
      <c r="ZF93" s="38"/>
      <c r="ZG93" s="38"/>
      <c r="ZH93" s="38"/>
      <c r="ZI93" s="38"/>
      <c r="ZJ93" s="38"/>
      <c r="ZK93" s="38"/>
      <c r="ZL93" s="38"/>
      <c r="ZM93" s="38"/>
      <c r="ZN93" s="38"/>
      <c r="ZO93" s="38"/>
      <c r="ZP93" s="38"/>
      <c r="ZQ93" s="38"/>
      <c r="ZR93" s="38"/>
      <c r="ZS93" s="38"/>
      <c r="ZT93" s="38"/>
      <c r="ZU93" s="38"/>
      <c r="ZV93" s="38"/>
      <c r="ZW93" s="38"/>
      <c r="ZX93" s="38"/>
      <c r="ZY93" s="38"/>
      <c r="ZZ93" s="38"/>
      <c r="AAA93" s="38"/>
      <c r="AAB93" s="38"/>
      <c r="AAC93" s="38"/>
      <c r="AAD93" s="38"/>
      <c r="AAE93" s="38"/>
      <c r="AAF93" s="38"/>
      <c r="AAG93" s="38"/>
      <c r="AAH93" s="38"/>
      <c r="AAI93" s="38"/>
      <c r="AAJ93" s="38"/>
      <c r="AAK93" s="38"/>
      <c r="AAL93" s="38"/>
      <c r="AAM93" s="38"/>
      <c r="AAN93" s="38"/>
      <c r="AAO93" s="38"/>
      <c r="AAP93" s="38"/>
      <c r="AAQ93" s="38"/>
      <c r="AAR93" s="38"/>
      <c r="AAS93" s="38"/>
      <c r="AAT93" s="38"/>
      <c r="AAU93" s="38"/>
      <c r="AAV93" s="38"/>
      <c r="AAW93" s="38"/>
      <c r="AAX93" s="38"/>
      <c r="AAY93" s="38"/>
      <c r="AAZ93" s="38"/>
      <c r="ABA93" s="38"/>
      <c r="ABB93" s="38"/>
      <c r="ABC93" s="38"/>
      <c r="ABD93" s="38"/>
      <c r="ABE93" s="38"/>
      <c r="ABF93" s="38"/>
      <c r="ABG93" s="38"/>
      <c r="ABH93" s="38"/>
      <c r="ABI93" s="38"/>
      <c r="ABJ93" s="38"/>
      <c r="ABK93" s="38"/>
      <c r="ABL93" s="38"/>
      <c r="ABM93" s="38"/>
      <c r="ABN93" s="38"/>
      <c r="ABO93" s="38"/>
      <c r="ABP93" s="38"/>
      <c r="ABQ93" s="38"/>
      <c r="ABR93" s="38"/>
      <c r="ABS93" s="38"/>
      <c r="ABT93" s="38"/>
      <c r="ABU93" s="38"/>
      <c r="ABV93" s="38"/>
      <c r="ABW93" s="38"/>
      <c r="ABX93" s="38"/>
      <c r="ABY93" s="38"/>
      <c r="ABZ93" s="38"/>
      <c r="ACA93" s="38"/>
      <c r="ACB93" s="38"/>
      <c r="ACC93" s="38"/>
      <c r="ACD93" s="38"/>
      <c r="ACE93" s="38"/>
      <c r="ACF93" s="38"/>
      <c r="ACG93" s="38"/>
      <c r="ACH93" s="38"/>
      <c r="ACI93" s="38"/>
      <c r="ACJ93" s="38"/>
      <c r="ACK93" s="38"/>
      <c r="ACL93" s="38"/>
      <c r="ACM93" s="38"/>
      <c r="ACN93" s="38"/>
      <c r="ACO93" s="38"/>
      <c r="ACP93" s="38"/>
      <c r="ACQ93" s="38"/>
      <c r="ACR93" s="38"/>
      <c r="ACS93" s="38"/>
      <c r="ACT93" s="38"/>
      <c r="ACU93" s="38"/>
      <c r="ACV93" s="38"/>
      <c r="ACW93" s="38"/>
      <c r="ACX93" s="38"/>
      <c r="ACY93" s="38"/>
      <c r="ACZ93" s="38"/>
      <c r="ADA93" s="38"/>
      <c r="ADB93" s="38"/>
      <c r="ADC93" s="38"/>
      <c r="ADD93" s="38"/>
      <c r="ADE93" s="38"/>
      <c r="ADF93" s="38"/>
      <c r="ADG93" s="38"/>
      <c r="ADH93" s="38"/>
      <c r="ADI93" s="38"/>
      <c r="ADJ93" s="38"/>
      <c r="ADK93" s="38"/>
      <c r="ADL93" s="38"/>
      <c r="ADM93" s="38"/>
      <c r="ADN93" s="38"/>
      <c r="ADO93" s="38"/>
      <c r="ADP93" s="38"/>
      <c r="ADQ93" s="38"/>
      <c r="ADR93" s="38"/>
      <c r="ADS93" s="38"/>
      <c r="ADT93" s="38"/>
      <c r="ADU93" s="38"/>
      <c r="ADV93" s="38"/>
      <c r="ADW93" s="38"/>
      <c r="ADX93" s="38"/>
      <c r="ADY93" s="38"/>
      <c r="ADZ93" s="38"/>
      <c r="AEA93" s="38"/>
      <c r="AEB93" s="38"/>
      <c r="AEC93" s="38"/>
      <c r="AED93" s="38"/>
      <c r="AEE93" s="38"/>
      <c r="AEF93" s="38"/>
      <c r="AEG93" s="38"/>
      <c r="AEH93" s="38"/>
      <c r="AEI93" s="38"/>
      <c r="AEJ93" s="38"/>
      <c r="AEK93" s="38"/>
      <c r="AEL93" s="38"/>
      <c r="AEM93" s="38"/>
      <c r="AEN93" s="38"/>
      <c r="AEO93" s="38"/>
      <c r="AEP93" s="38"/>
      <c r="AEQ93" s="38"/>
      <c r="AER93" s="38"/>
      <c r="AES93" s="38"/>
      <c r="AET93" s="38"/>
      <c r="AEU93" s="38"/>
      <c r="AEV93" s="38"/>
      <c r="AEW93" s="38"/>
      <c r="AEX93" s="38"/>
      <c r="AEY93" s="38"/>
      <c r="AEZ93" s="38"/>
      <c r="AFA93" s="38"/>
      <c r="AFB93" s="38"/>
      <c r="AFC93" s="38"/>
      <c r="AFD93" s="38"/>
      <c r="AFE93" s="38"/>
      <c r="AFF93" s="38"/>
      <c r="AFG93" s="38"/>
      <c r="AFH93" s="38"/>
      <c r="AFI93" s="38"/>
      <c r="AFJ93" s="38"/>
      <c r="AFK93" s="38"/>
      <c r="AFL93" s="38"/>
      <c r="AFM93" s="38"/>
      <c r="AFN93" s="38"/>
      <c r="AFO93" s="38"/>
      <c r="AFP93" s="38"/>
      <c r="AFQ93" s="38"/>
      <c r="AFR93" s="38"/>
      <c r="AFS93" s="38"/>
      <c r="AFT93" s="38"/>
      <c r="AFU93" s="38"/>
      <c r="AFV93" s="38"/>
      <c r="AFW93" s="38"/>
      <c r="AFX93" s="38"/>
      <c r="AFY93" s="38"/>
      <c r="AFZ93" s="38"/>
      <c r="AGA93" s="38"/>
      <c r="AGB93" s="38"/>
      <c r="AGC93" s="38"/>
      <c r="AGD93" s="38"/>
      <c r="AGE93" s="38"/>
      <c r="AGF93" s="38"/>
      <c r="AGG93" s="38"/>
      <c r="AGH93" s="38"/>
      <c r="AGI93" s="38"/>
      <c r="AGJ93" s="38"/>
      <c r="AGK93" s="38"/>
      <c r="AGL93" s="38"/>
      <c r="AGM93" s="38"/>
      <c r="AGN93" s="38"/>
      <c r="AGO93" s="38"/>
      <c r="AGP93" s="38"/>
      <c r="AGQ93" s="38"/>
      <c r="AGR93" s="38"/>
      <c r="AGS93" s="38"/>
      <c r="AGT93" s="38"/>
      <c r="AGU93" s="38"/>
      <c r="AGV93" s="38"/>
      <c r="AGW93" s="38"/>
      <c r="AGX93" s="38"/>
      <c r="AGY93" s="38"/>
      <c r="AGZ93" s="38"/>
      <c r="AHA93" s="38"/>
      <c r="AHB93" s="38"/>
      <c r="AHC93" s="38"/>
      <c r="AHD93" s="38"/>
      <c r="AHE93" s="38"/>
      <c r="AHF93" s="38"/>
      <c r="AHG93" s="38"/>
      <c r="AHH93" s="38"/>
      <c r="AHI93" s="38"/>
      <c r="AHJ93" s="38"/>
      <c r="AHK93" s="38"/>
      <c r="AHL93" s="38"/>
      <c r="AHM93" s="38"/>
      <c r="AHN93" s="38"/>
      <c r="AHO93" s="38"/>
      <c r="AHP93" s="38"/>
      <c r="AHQ93" s="38"/>
      <c r="AHR93" s="38"/>
      <c r="AHS93" s="38"/>
      <c r="AHT93" s="38"/>
      <c r="AHU93" s="38"/>
      <c r="AHV93" s="38"/>
    </row>
    <row r="94" spans="1:906" s="27" customFormat="1" x14ac:dyDescent="0.35">
      <c r="A94" s="83">
        <v>89</v>
      </c>
      <c r="B94" s="108" t="s">
        <v>154</v>
      </c>
      <c r="C94" s="109" t="s">
        <v>155</v>
      </c>
      <c r="D94" s="109" t="s">
        <v>156</v>
      </c>
      <c r="E94" s="125">
        <v>11.75</v>
      </c>
      <c r="F94" s="125">
        <v>13</v>
      </c>
      <c r="G94" s="125">
        <v>9.9499999999999993</v>
      </c>
      <c r="H94" s="125">
        <v>11.25</v>
      </c>
      <c r="I94" s="37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8"/>
      <c r="DA94" s="38"/>
      <c r="DB94" s="38"/>
      <c r="DC94" s="38"/>
      <c r="DD94" s="38"/>
      <c r="DE94" s="38"/>
      <c r="DF94" s="38"/>
      <c r="DG94" s="38"/>
      <c r="DH94" s="38"/>
      <c r="DI94" s="38"/>
      <c r="DJ94" s="38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8"/>
      <c r="EN94" s="38"/>
      <c r="EO94" s="38"/>
      <c r="EP94" s="38"/>
      <c r="EQ94" s="38"/>
      <c r="ER94" s="38"/>
      <c r="ES94" s="38"/>
      <c r="ET94" s="38"/>
      <c r="EU94" s="38"/>
      <c r="EV94" s="38"/>
      <c r="EW94" s="38"/>
      <c r="EX94" s="38"/>
      <c r="EY94" s="38"/>
      <c r="EZ94" s="38"/>
      <c r="FA94" s="38"/>
      <c r="FB94" s="38"/>
      <c r="FC94" s="38"/>
      <c r="FD94" s="38"/>
      <c r="FE94" s="38"/>
      <c r="FF94" s="38"/>
      <c r="FG94" s="38"/>
      <c r="FH94" s="38"/>
      <c r="FI94" s="38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  <c r="HI94" s="38"/>
      <c r="HJ94" s="38"/>
      <c r="HK94" s="38"/>
      <c r="HL94" s="38"/>
      <c r="HM94" s="38"/>
      <c r="HN94" s="38"/>
      <c r="HO94" s="38"/>
      <c r="HP94" s="38"/>
      <c r="HQ94" s="38"/>
      <c r="HR94" s="38"/>
      <c r="HS94" s="38"/>
      <c r="HT94" s="38"/>
      <c r="HU94" s="38"/>
      <c r="HV94" s="38"/>
      <c r="HW94" s="38"/>
      <c r="HX94" s="38"/>
      <c r="HY94" s="38"/>
      <c r="HZ94" s="38"/>
      <c r="IA94" s="38"/>
      <c r="IB94" s="38"/>
      <c r="IC94" s="38"/>
      <c r="ID94" s="38"/>
      <c r="IE94" s="38"/>
      <c r="IF94" s="38"/>
      <c r="IG94" s="38"/>
      <c r="IH94" s="38"/>
      <c r="II94" s="38"/>
      <c r="IJ94" s="38"/>
      <c r="IK94" s="38"/>
      <c r="IL94" s="38"/>
      <c r="IM94" s="38"/>
      <c r="IN94" s="38"/>
      <c r="IO94" s="38"/>
      <c r="IP94" s="38"/>
      <c r="IQ94" s="38"/>
      <c r="IR94" s="38"/>
      <c r="IS94" s="38"/>
      <c r="IT94" s="38"/>
      <c r="IU94" s="38"/>
      <c r="IV94" s="38"/>
      <c r="IW94" s="38"/>
      <c r="IX94" s="38"/>
      <c r="IY94" s="38"/>
      <c r="IZ94" s="38"/>
      <c r="JA94" s="38"/>
      <c r="JB94" s="38"/>
      <c r="JC94" s="38"/>
      <c r="JD94" s="38"/>
      <c r="JE94" s="38"/>
      <c r="JF94" s="38"/>
      <c r="JG94" s="38"/>
      <c r="JH94" s="38"/>
      <c r="JI94" s="38"/>
      <c r="JJ94" s="38"/>
      <c r="JK94" s="38"/>
      <c r="JL94" s="38"/>
      <c r="JM94" s="38"/>
      <c r="JN94" s="38"/>
      <c r="JO94" s="38"/>
      <c r="JP94" s="38"/>
      <c r="JQ94" s="38"/>
      <c r="JR94" s="38"/>
      <c r="JS94" s="38"/>
      <c r="JT94" s="38"/>
      <c r="JU94" s="38"/>
      <c r="JV94" s="38"/>
      <c r="JW94" s="38"/>
      <c r="JX94" s="38"/>
      <c r="JY94" s="38"/>
      <c r="JZ94" s="38"/>
      <c r="KA94" s="38"/>
      <c r="KB94" s="38"/>
      <c r="KC94" s="38"/>
      <c r="KD94" s="38"/>
      <c r="KE94" s="38"/>
      <c r="KF94" s="38"/>
      <c r="KG94" s="38"/>
      <c r="KH94" s="38"/>
      <c r="KI94" s="38"/>
      <c r="KJ94" s="38"/>
      <c r="KK94" s="38"/>
      <c r="KL94" s="38"/>
      <c r="KM94" s="38"/>
      <c r="KN94" s="38"/>
      <c r="KO94" s="38"/>
      <c r="KP94" s="38"/>
      <c r="KQ94" s="38"/>
      <c r="KR94" s="38"/>
      <c r="KS94" s="38"/>
      <c r="KT94" s="38"/>
      <c r="KU94" s="38"/>
      <c r="KV94" s="38"/>
      <c r="KW94" s="38"/>
      <c r="KX94" s="38"/>
      <c r="KY94" s="38"/>
      <c r="KZ94" s="38"/>
      <c r="LA94" s="38"/>
      <c r="LB94" s="38"/>
      <c r="LC94" s="38"/>
      <c r="LD94" s="38"/>
      <c r="LE94" s="38"/>
      <c r="LF94" s="38"/>
      <c r="LG94" s="38"/>
      <c r="LH94" s="38"/>
      <c r="LI94" s="38"/>
      <c r="LJ94" s="38"/>
      <c r="LK94" s="38"/>
      <c r="LL94" s="38"/>
      <c r="LM94" s="38"/>
      <c r="LN94" s="38"/>
      <c r="LO94" s="38"/>
      <c r="LP94" s="38"/>
      <c r="LQ94" s="38"/>
      <c r="LR94" s="38"/>
      <c r="LS94" s="38"/>
      <c r="LT94" s="38"/>
      <c r="LU94" s="38"/>
      <c r="LV94" s="38"/>
      <c r="LW94" s="38"/>
      <c r="LX94" s="38"/>
      <c r="LY94" s="38"/>
      <c r="LZ94" s="38"/>
      <c r="MA94" s="38"/>
      <c r="MB94" s="38"/>
      <c r="MC94" s="38"/>
      <c r="MD94" s="38"/>
      <c r="ME94" s="38"/>
      <c r="MF94" s="38"/>
      <c r="MG94" s="38"/>
      <c r="MH94" s="38"/>
      <c r="MI94" s="38"/>
      <c r="MJ94" s="38"/>
      <c r="MK94" s="38"/>
      <c r="ML94" s="38"/>
      <c r="MM94" s="38"/>
      <c r="MN94" s="38"/>
      <c r="MO94" s="38"/>
      <c r="MP94" s="38"/>
      <c r="MQ94" s="38"/>
      <c r="MR94" s="38"/>
      <c r="MS94" s="38"/>
      <c r="MT94" s="38"/>
      <c r="MU94" s="38"/>
      <c r="MV94" s="38"/>
      <c r="MW94" s="38"/>
      <c r="MX94" s="38"/>
      <c r="MY94" s="38"/>
      <c r="MZ94" s="38"/>
      <c r="NA94" s="38"/>
      <c r="NB94" s="38"/>
      <c r="NC94" s="38"/>
      <c r="ND94" s="38"/>
      <c r="NE94" s="38"/>
      <c r="NF94" s="38"/>
      <c r="NG94" s="38"/>
      <c r="NH94" s="38"/>
      <c r="NI94" s="38"/>
      <c r="NJ94" s="38"/>
      <c r="NK94" s="38"/>
      <c r="NL94" s="38"/>
      <c r="NM94" s="38"/>
      <c r="NN94" s="38"/>
      <c r="NO94" s="38"/>
      <c r="NP94" s="38"/>
      <c r="NQ94" s="38"/>
      <c r="NR94" s="38"/>
      <c r="NS94" s="38"/>
      <c r="NT94" s="38"/>
      <c r="NU94" s="38"/>
      <c r="NV94" s="38"/>
      <c r="NW94" s="38"/>
      <c r="NX94" s="38"/>
      <c r="NY94" s="38"/>
      <c r="NZ94" s="38"/>
      <c r="OA94" s="38"/>
      <c r="OB94" s="38"/>
      <c r="OC94" s="38"/>
      <c r="OD94" s="38"/>
      <c r="OE94" s="38"/>
      <c r="OF94" s="38"/>
      <c r="OG94" s="38"/>
      <c r="OH94" s="38"/>
      <c r="OI94" s="38"/>
      <c r="OJ94" s="38"/>
      <c r="OK94" s="38"/>
      <c r="OL94" s="38"/>
      <c r="OM94" s="38"/>
      <c r="ON94" s="38"/>
      <c r="OO94" s="38"/>
      <c r="OP94" s="38"/>
      <c r="OQ94" s="38"/>
      <c r="OR94" s="38"/>
      <c r="OS94" s="38"/>
      <c r="OT94" s="38"/>
      <c r="OU94" s="38"/>
      <c r="OV94" s="38"/>
      <c r="OW94" s="38"/>
      <c r="OX94" s="38"/>
      <c r="OY94" s="38"/>
      <c r="OZ94" s="38"/>
      <c r="PA94" s="38"/>
      <c r="PB94" s="38"/>
      <c r="PC94" s="38"/>
      <c r="PD94" s="38"/>
      <c r="PE94" s="38"/>
      <c r="PF94" s="38"/>
      <c r="PG94" s="38"/>
      <c r="PH94" s="38"/>
      <c r="PI94" s="38"/>
      <c r="PJ94" s="38"/>
      <c r="PK94" s="38"/>
      <c r="PL94" s="38"/>
      <c r="PM94" s="38"/>
      <c r="PN94" s="38"/>
      <c r="PO94" s="38"/>
      <c r="PP94" s="38"/>
      <c r="PQ94" s="38"/>
      <c r="PR94" s="38"/>
      <c r="PS94" s="38"/>
      <c r="PT94" s="38"/>
      <c r="PU94" s="38"/>
      <c r="PV94" s="38"/>
      <c r="PW94" s="38"/>
      <c r="PX94" s="38"/>
      <c r="PY94" s="38"/>
      <c r="PZ94" s="38"/>
      <c r="QA94" s="38"/>
      <c r="QB94" s="38"/>
      <c r="QC94" s="38"/>
      <c r="QD94" s="38"/>
      <c r="QE94" s="38"/>
      <c r="QF94" s="38"/>
      <c r="QG94" s="38"/>
      <c r="QH94" s="38"/>
      <c r="QI94" s="38"/>
      <c r="QJ94" s="38"/>
      <c r="QK94" s="38"/>
      <c r="QL94" s="38"/>
      <c r="QM94" s="38"/>
      <c r="QN94" s="38"/>
      <c r="QO94" s="38"/>
      <c r="QP94" s="38"/>
      <c r="QQ94" s="38"/>
      <c r="QR94" s="38"/>
      <c r="QS94" s="38"/>
      <c r="QT94" s="38"/>
      <c r="QU94" s="38"/>
      <c r="QV94" s="38"/>
      <c r="QW94" s="38"/>
      <c r="QX94" s="38"/>
      <c r="QY94" s="38"/>
      <c r="QZ94" s="38"/>
      <c r="RA94" s="38"/>
      <c r="RB94" s="38"/>
      <c r="RC94" s="38"/>
      <c r="RD94" s="38"/>
      <c r="RE94" s="38"/>
      <c r="RF94" s="38"/>
      <c r="RG94" s="38"/>
      <c r="RH94" s="38"/>
      <c r="RI94" s="38"/>
      <c r="RJ94" s="38"/>
      <c r="RK94" s="38"/>
      <c r="RL94" s="38"/>
      <c r="RM94" s="38"/>
      <c r="RN94" s="38"/>
      <c r="RO94" s="38"/>
      <c r="RP94" s="38"/>
      <c r="RQ94" s="38"/>
      <c r="RR94" s="38"/>
      <c r="RS94" s="38"/>
      <c r="RT94" s="38"/>
      <c r="RU94" s="38"/>
      <c r="RV94" s="38"/>
      <c r="RW94" s="38"/>
      <c r="RX94" s="38"/>
      <c r="RY94" s="38"/>
      <c r="RZ94" s="38"/>
      <c r="SA94" s="38"/>
      <c r="SB94" s="38"/>
      <c r="SC94" s="38"/>
      <c r="SD94" s="38"/>
      <c r="SE94" s="38"/>
      <c r="SF94" s="38"/>
      <c r="SG94" s="38"/>
      <c r="SH94" s="38"/>
      <c r="SI94" s="38"/>
      <c r="SJ94" s="38"/>
      <c r="SK94" s="38"/>
      <c r="SL94" s="38"/>
      <c r="SM94" s="38"/>
      <c r="SN94" s="38"/>
      <c r="SO94" s="38"/>
      <c r="SP94" s="38"/>
      <c r="SQ94" s="38"/>
      <c r="SR94" s="38"/>
      <c r="SS94" s="38"/>
      <c r="ST94" s="38"/>
      <c r="SU94" s="38"/>
      <c r="SV94" s="38"/>
      <c r="SW94" s="38"/>
      <c r="SX94" s="38"/>
      <c r="SY94" s="38"/>
      <c r="SZ94" s="38"/>
      <c r="TA94" s="38"/>
      <c r="TB94" s="38"/>
      <c r="TC94" s="38"/>
      <c r="TD94" s="38"/>
      <c r="TE94" s="38"/>
      <c r="TF94" s="38"/>
      <c r="TG94" s="38"/>
      <c r="TH94" s="38"/>
      <c r="TI94" s="38"/>
      <c r="TJ94" s="38"/>
      <c r="TK94" s="38"/>
      <c r="TL94" s="38"/>
      <c r="TM94" s="38"/>
      <c r="TN94" s="38"/>
      <c r="TO94" s="38"/>
      <c r="TP94" s="38"/>
      <c r="TQ94" s="38"/>
      <c r="TR94" s="38"/>
      <c r="TS94" s="38"/>
      <c r="TT94" s="38"/>
      <c r="TU94" s="38"/>
      <c r="TV94" s="38"/>
      <c r="TW94" s="38"/>
      <c r="TX94" s="38"/>
      <c r="TY94" s="38"/>
      <c r="TZ94" s="38"/>
      <c r="UA94" s="38"/>
      <c r="UB94" s="38"/>
      <c r="UC94" s="38"/>
      <c r="UD94" s="38"/>
      <c r="UE94" s="38"/>
      <c r="UF94" s="38"/>
      <c r="UG94" s="38"/>
      <c r="UH94" s="38"/>
      <c r="UI94" s="38"/>
      <c r="UJ94" s="38"/>
      <c r="UK94" s="38"/>
      <c r="UL94" s="38"/>
      <c r="UM94" s="38"/>
      <c r="UN94" s="38"/>
      <c r="UO94" s="38"/>
      <c r="UP94" s="38"/>
      <c r="UQ94" s="38"/>
      <c r="UR94" s="38"/>
      <c r="US94" s="38"/>
      <c r="UT94" s="38"/>
      <c r="UU94" s="38"/>
      <c r="UV94" s="38"/>
      <c r="UW94" s="38"/>
      <c r="UX94" s="38"/>
      <c r="UY94" s="38"/>
      <c r="UZ94" s="38"/>
      <c r="VA94" s="38"/>
      <c r="VB94" s="38"/>
      <c r="VC94" s="38"/>
      <c r="VD94" s="38"/>
      <c r="VE94" s="38"/>
      <c r="VF94" s="38"/>
      <c r="VG94" s="38"/>
      <c r="VH94" s="38"/>
      <c r="VI94" s="38"/>
      <c r="VJ94" s="38"/>
      <c r="VK94" s="38"/>
      <c r="VL94" s="38"/>
      <c r="VM94" s="38"/>
      <c r="VN94" s="38"/>
      <c r="VO94" s="38"/>
      <c r="VP94" s="38"/>
      <c r="VQ94" s="38"/>
      <c r="VR94" s="38"/>
      <c r="VS94" s="38"/>
      <c r="VT94" s="38"/>
      <c r="VU94" s="38"/>
      <c r="VV94" s="38"/>
      <c r="VW94" s="38"/>
      <c r="VX94" s="38"/>
      <c r="VY94" s="38"/>
      <c r="VZ94" s="38"/>
      <c r="WA94" s="38"/>
      <c r="WB94" s="38"/>
      <c r="WC94" s="38"/>
      <c r="WD94" s="38"/>
      <c r="WE94" s="38"/>
      <c r="WF94" s="38"/>
      <c r="WG94" s="38"/>
      <c r="WH94" s="38"/>
      <c r="WI94" s="38"/>
      <c r="WJ94" s="38"/>
      <c r="WK94" s="38"/>
      <c r="WL94" s="38"/>
      <c r="WM94" s="38"/>
      <c r="WN94" s="38"/>
      <c r="WO94" s="38"/>
      <c r="WP94" s="38"/>
      <c r="WQ94" s="38"/>
      <c r="WR94" s="38"/>
      <c r="WS94" s="38"/>
      <c r="WT94" s="38"/>
      <c r="WU94" s="38"/>
      <c r="WV94" s="38"/>
      <c r="WW94" s="38"/>
      <c r="WX94" s="38"/>
      <c r="WY94" s="38"/>
      <c r="WZ94" s="38"/>
      <c r="XA94" s="38"/>
      <c r="XB94" s="38"/>
      <c r="XC94" s="38"/>
      <c r="XD94" s="38"/>
      <c r="XE94" s="38"/>
      <c r="XF94" s="38"/>
      <c r="XG94" s="38"/>
      <c r="XH94" s="38"/>
      <c r="XI94" s="38"/>
      <c r="XJ94" s="38"/>
      <c r="XK94" s="38"/>
      <c r="XL94" s="38"/>
      <c r="XM94" s="38"/>
      <c r="XN94" s="38"/>
      <c r="XO94" s="38"/>
      <c r="XP94" s="38"/>
      <c r="XQ94" s="38"/>
      <c r="XR94" s="38"/>
      <c r="XS94" s="38"/>
      <c r="XT94" s="38"/>
      <c r="XU94" s="38"/>
      <c r="XV94" s="38"/>
      <c r="XW94" s="38"/>
      <c r="XX94" s="38"/>
      <c r="XY94" s="38"/>
      <c r="XZ94" s="38"/>
      <c r="YA94" s="38"/>
      <c r="YB94" s="38"/>
      <c r="YC94" s="38"/>
      <c r="YD94" s="38"/>
      <c r="YE94" s="38"/>
      <c r="YF94" s="38"/>
      <c r="YG94" s="38"/>
      <c r="YH94" s="38"/>
      <c r="YI94" s="38"/>
      <c r="YJ94" s="38"/>
      <c r="YK94" s="38"/>
      <c r="YL94" s="38"/>
      <c r="YM94" s="38"/>
      <c r="YN94" s="38"/>
      <c r="YO94" s="38"/>
      <c r="YP94" s="38"/>
      <c r="YQ94" s="38"/>
      <c r="YR94" s="38"/>
      <c r="YS94" s="38"/>
      <c r="YT94" s="38"/>
      <c r="YU94" s="38"/>
      <c r="YV94" s="38"/>
      <c r="YW94" s="38"/>
      <c r="YX94" s="38"/>
      <c r="YY94" s="38"/>
      <c r="YZ94" s="38"/>
      <c r="ZA94" s="38"/>
      <c r="ZB94" s="38"/>
      <c r="ZC94" s="38"/>
      <c r="ZD94" s="38"/>
      <c r="ZE94" s="38"/>
      <c r="ZF94" s="38"/>
      <c r="ZG94" s="38"/>
      <c r="ZH94" s="38"/>
      <c r="ZI94" s="38"/>
      <c r="ZJ94" s="38"/>
      <c r="ZK94" s="38"/>
      <c r="ZL94" s="38"/>
      <c r="ZM94" s="38"/>
      <c r="ZN94" s="38"/>
      <c r="ZO94" s="38"/>
      <c r="ZP94" s="38"/>
      <c r="ZQ94" s="38"/>
      <c r="ZR94" s="38"/>
      <c r="ZS94" s="38"/>
      <c r="ZT94" s="38"/>
      <c r="ZU94" s="38"/>
      <c r="ZV94" s="38"/>
      <c r="ZW94" s="38"/>
      <c r="ZX94" s="38"/>
      <c r="ZY94" s="38"/>
      <c r="ZZ94" s="38"/>
      <c r="AAA94" s="38"/>
      <c r="AAB94" s="38"/>
      <c r="AAC94" s="38"/>
      <c r="AAD94" s="38"/>
      <c r="AAE94" s="38"/>
      <c r="AAF94" s="38"/>
      <c r="AAG94" s="38"/>
      <c r="AAH94" s="38"/>
      <c r="AAI94" s="38"/>
      <c r="AAJ94" s="38"/>
      <c r="AAK94" s="38"/>
      <c r="AAL94" s="38"/>
      <c r="AAM94" s="38"/>
      <c r="AAN94" s="38"/>
      <c r="AAO94" s="38"/>
      <c r="AAP94" s="38"/>
      <c r="AAQ94" s="38"/>
      <c r="AAR94" s="38"/>
      <c r="AAS94" s="38"/>
      <c r="AAT94" s="38"/>
      <c r="AAU94" s="38"/>
      <c r="AAV94" s="38"/>
      <c r="AAW94" s="38"/>
      <c r="AAX94" s="38"/>
      <c r="AAY94" s="38"/>
      <c r="AAZ94" s="38"/>
      <c r="ABA94" s="38"/>
      <c r="ABB94" s="38"/>
      <c r="ABC94" s="38"/>
      <c r="ABD94" s="38"/>
      <c r="ABE94" s="38"/>
      <c r="ABF94" s="38"/>
      <c r="ABG94" s="38"/>
      <c r="ABH94" s="38"/>
      <c r="ABI94" s="38"/>
      <c r="ABJ94" s="38"/>
      <c r="ABK94" s="38"/>
      <c r="ABL94" s="38"/>
      <c r="ABM94" s="38"/>
      <c r="ABN94" s="38"/>
      <c r="ABO94" s="38"/>
      <c r="ABP94" s="38"/>
      <c r="ABQ94" s="38"/>
      <c r="ABR94" s="38"/>
      <c r="ABS94" s="38"/>
      <c r="ABT94" s="38"/>
      <c r="ABU94" s="38"/>
      <c r="ABV94" s="38"/>
      <c r="ABW94" s="38"/>
      <c r="ABX94" s="38"/>
      <c r="ABY94" s="38"/>
      <c r="ABZ94" s="38"/>
      <c r="ACA94" s="38"/>
      <c r="ACB94" s="38"/>
      <c r="ACC94" s="38"/>
      <c r="ACD94" s="38"/>
      <c r="ACE94" s="38"/>
      <c r="ACF94" s="38"/>
      <c r="ACG94" s="38"/>
      <c r="ACH94" s="38"/>
      <c r="ACI94" s="38"/>
      <c r="ACJ94" s="38"/>
      <c r="ACK94" s="38"/>
      <c r="ACL94" s="38"/>
      <c r="ACM94" s="38"/>
      <c r="ACN94" s="38"/>
      <c r="ACO94" s="38"/>
      <c r="ACP94" s="38"/>
      <c r="ACQ94" s="38"/>
      <c r="ACR94" s="38"/>
      <c r="ACS94" s="38"/>
      <c r="ACT94" s="38"/>
      <c r="ACU94" s="38"/>
      <c r="ACV94" s="38"/>
      <c r="ACW94" s="38"/>
      <c r="ACX94" s="38"/>
      <c r="ACY94" s="38"/>
      <c r="ACZ94" s="38"/>
      <c r="ADA94" s="38"/>
      <c r="ADB94" s="38"/>
      <c r="ADC94" s="38"/>
      <c r="ADD94" s="38"/>
      <c r="ADE94" s="38"/>
      <c r="ADF94" s="38"/>
      <c r="ADG94" s="38"/>
      <c r="ADH94" s="38"/>
      <c r="ADI94" s="38"/>
      <c r="ADJ94" s="38"/>
      <c r="ADK94" s="38"/>
      <c r="ADL94" s="38"/>
      <c r="ADM94" s="38"/>
      <c r="ADN94" s="38"/>
      <c r="ADO94" s="38"/>
      <c r="ADP94" s="38"/>
      <c r="ADQ94" s="38"/>
      <c r="ADR94" s="38"/>
      <c r="ADS94" s="38"/>
      <c r="ADT94" s="38"/>
      <c r="ADU94" s="38"/>
      <c r="ADV94" s="38"/>
      <c r="ADW94" s="38"/>
      <c r="ADX94" s="38"/>
      <c r="ADY94" s="38"/>
      <c r="ADZ94" s="38"/>
      <c r="AEA94" s="38"/>
      <c r="AEB94" s="38"/>
      <c r="AEC94" s="38"/>
      <c r="AED94" s="38"/>
      <c r="AEE94" s="38"/>
      <c r="AEF94" s="38"/>
      <c r="AEG94" s="38"/>
      <c r="AEH94" s="38"/>
      <c r="AEI94" s="38"/>
      <c r="AEJ94" s="38"/>
      <c r="AEK94" s="38"/>
      <c r="AEL94" s="38"/>
      <c r="AEM94" s="38"/>
      <c r="AEN94" s="38"/>
      <c r="AEO94" s="38"/>
      <c r="AEP94" s="38"/>
      <c r="AEQ94" s="38"/>
      <c r="AER94" s="38"/>
      <c r="AES94" s="38"/>
      <c r="AET94" s="38"/>
      <c r="AEU94" s="38"/>
      <c r="AEV94" s="38"/>
      <c r="AEW94" s="38"/>
      <c r="AEX94" s="38"/>
      <c r="AEY94" s="38"/>
      <c r="AEZ94" s="38"/>
      <c r="AFA94" s="38"/>
      <c r="AFB94" s="38"/>
      <c r="AFC94" s="38"/>
      <c r="AFD94" s="38"/>
      <c r="AFE94" s="38"/>
      <c r="AFF94" s="38"/>
      <c r="AFG94" s="38"/>
      <c r="AFH94" s="38"/>
      <c r="AFI94" s="38"/>
      <c r="AFJ94" s="38"/>
      <c r="AFK94" s="38"/>
      <c r="AFL94" s="38"/>
      <c r="AFM94" s="38"/>
      <c r="AFN94" s="38"/>
      <c r="AFO94" s="38"/>
      <c r="AFP94" s="38"/>
      <c r="AFQ94" s="38"/>
      <c r="AFR94" s="38"/>
      <c r="AFS94" s="38"/>
      <c r="AFT94" s="38"/>
      <c r="AFU94" s="38"/>
      <c r="AFV94" s="38"/>
      <c r="AFW94" s="38"/>
      <c r="AFX94" s="38"/>
      <c r="AFY94" s="38"/>
      <c r="AFZ94" s="38"/>
      <c r="AGA94" s="38"/>
      <c r="AGB94" s="38"/>
      <c r="AGC94" s="38"/>
      <c r="AGD94" s="38"/>
      <c r="AGE94" s="38"/>
      <c r="AGF94" s="38"/>
      <c r="AGG94" s="38"/>
      <c r="AGH94" s="38"/>
      <c r="AGI94" s="38"/>
      <c r="AGJ94" s="38"/>
      <c r="AGK94" s="38"/>
      <c r="AGL94" s="38"/>
      <c r="AGM94" s="38"/>
      <c r="AGN94" s="38"/>
      <c r="AGO94" s="38"/>
      <c r="AGP94" s="38"/>
      <c r="AGQ94" s="38"/>
      <c r="AGR94" s="38"/>
      <c r="AGS94" s="38"/>
      <c r="AGT94" s="38"/>
      <c r="AGU94" s="38"/>
      <c r="AGV94" s="38"/>
      <c r="AGW94" s="38"/>
      <c r="AGX94" s="38"/>
      <c r="AGY94" s="38"/>
      <c r="AGZ94" s="38"/>
      <c r="AHA94" s="38"/>
      <c r="AHB94" s="38"/>
      <c r="AHC94" s="38"/>
      <c r="AHD94" s="38"/>
      <c r="AHE94" s="38"/>
      <c r="AHF94" s="38"/>
      <c r="AHG94" s="38"/>
      <c r="AHH94" s="38"/>
      <c r="AHI94" s="38"/>
      <c r="AHJ94" s="38"/>
      <c r="AHK94" s="38"/>
      <c r="AHL94" s="38"/>
      <c r="AHM94" s="38"/>
      <c r="AHN94" s="38"/>
      <c r="AHO94" s="38"/>
      <c r="AHP94" s="38"/>
      <c r="AHQ94" s="38"/>
      <c r="AHR94" s="38"/>
      <c r="AHS94" s="38"/>
      <c r="AHT94" s="38"/>
      <c r="AHU94" s="38"/>
      <c r="AHV94" s="38"/>
    </row>
    <row r="95" spans="1:906" s="27" customFormat="1" x14ac:dyDescent="0.35">
      <c r="A95" s="83">
        <v>90</v>
      </c>
      <c r="B95" s="108" t="s">
        <v>157</v>
      </c>
      <c r="C95" s="109" t="s">
        <v>155</v>
      </c>
      <c r="D95" s="109" t="s">
        <v>158</v>
      </c>
      <c r="E95" s="125">
        <v>9.5</v>
      </c>
      <c r="F95" s="142">
        <v>6.95</v>
      </c>
      <c r="G95" s="125">
        <v>8.25</v>
      </c>
      <c r="H95" s="125">
        <v>9.25</v>
      </c>
      <c r="I95" s="37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  <c r="CH95" s="38"/>
      <c r="CI95" s="38"/>
      <c r="CJ95" s="38"/>
      <c r="CK95" s="38"/>
      <c r="CL95" s="38"/>
      <c r="CM95" s="38"/>
      <c r="CN95" s="38"/>
      <c r="CO95" s="38"/>
      <c r="CP95" s="38"/>
      <c r="CQ95" s="38"/>
      <c r="CR95" s="38"/>
      <c r="CS95" s="38"/>
      <c r="CT95" s="38"/>
      <c r="CU95" s="38"/>
      <c r="CV95" s="38"/>
      <c r="CW95" s="38"/>
      <c r="CX95" s="38"/>
      <c r="CY95" s="38"/>
      <c r="CZ95" s="38"/>
      <c r="DA95" s="38"/>
      <c r="DB95" s="38"/>
      <c r="DC95" s="38"/>
      <c r="DD95" s="38"/>
      <c r="DE95" s="38"/>
      <c r="DF95" s="38"/>
      <c r="DG95" s="38"/>
      <c r="DH95" s="38"/>
      <c r="DI95" s="38"/>
      <c r="DJ95" s="38"/>
      <c r="DK95" s="38"/>
      <c r="DL95" s="38"/>
      <c r="DM95" s="38"/>
      <c r="DN95" s="38"/>
      <c r="DO95" s="38"/>
      <c r="DP95" s="38"/>
      <c r="DQ95" s="38"/>
      <c r="DR95" s="38"/>
      <c r="DS95" s="38"/>
      <c r="DT95" s="38"/>
      <c r="DU95" s="38"/>
      <c r="DV95" s="38"/>
      <c r="DW95" s="38"/>
      <c r="DX95" s="38"/>
      <c r="DY95" s="38"/>
      <c r="DZ95" s="38"/>
      <c r="EA95" s="38"/>
      <c r="EB95" s="38"/>
      <c r="EC95" s="38"/>
      <c r="ED95" s="38"/>
      <c r="EE95" s="38"/>
      <c r="EF95" s="38"/>
      <c r="EG95" s="38"/>
      <c r="EH95" s="38"/>
      <c r="EI95" s="38"/>
      <c r="EJ95" s="38"/>
      <c r="EK95" s="38"/>
      <c r="EL95" s="38"/>
      <c r="EM95" s="38"/>
      <c r="EN95" s="38"/>
      <c r="EO95" s="38"/>
      <c r="EP95" s="38"/>
      <c r="EQ95" s="38"/>
      <c r="ER95" s="38"/>
      <c r="ES95" s="38"/>
      <c r="ET95" s="38"/>
      <c r="EU95" s="38"/>
      <c r="EV95" s="38"/>
      <c r="EW95" s="38"/>
      <c r="EX95" s="38"/>
      <c r="EY95" s="38"/>
      <c r="EZ95" s="38"/>
      <c r="FA95" s="38"/>
      <c r="FB95" s="38"/>
      <c r="FC95" s="38"/>
      <c r="FD95" s="38"/>
      <c r="FE95" s="38"/>
      <c r="FF95" s="38"/>
      <c r="FG95" s="38"/>
      <c r="FH95" s="38"/>
      <c r="FI95" s="38"/>
      <c r="FJ95" s="38"/>
      <c r="FK95" s="38"/>
      <c r="FL95" s="38"/>
      <c r="FM95" s="38"/>
      <c r="FN95" s="38"/>
      <c r="FO95" s="38"/>
      <c r="FP95" s="38"/>
      <c r="FQ95" s="38"/>
      <c r="FR95" s="38"/>
      <c r="FS95" s="38"/>
      <c r="FT95" s="38"/>
      <c r="FU95" s="38"/>
      <c r="FV95" s="38"/>
      <c r="FW95" s="38"/>
      <c r="FX95" s="38"/>
      <c r="FY95" s="38"/>
      <c r="FZ95" s="38"/>
      <c r="GA95" s="38"/>
      <c r="GB95" s="38"/>
      <c r="GC95" s="38"/>
      <c r="GD95" s="38"/>
      <c r="GE95" s="38"/>
      <c r="GF95" s="38"/>
      <c r="GG95" s="38"/>
      <c r="GH95" s="38"/>
      <c r="GI95" s="38"/>
      <c r="GJ95" s="38"/>
      <c r="GK95" s="38"/>
      <c r="GL95" s="38"/>
      <c r="GM95" s="38"/>
      <c r="GN95" s="38"/>
      <c r="GO95" s="38"/>
      <c r="GP95" s="38"/>
      <c r="GQ95" s="38"/>
      <c r="GR95" s="38"/>
      <c r="GS95" s="38"/>
      <c r="GT95" s="38"/>
      <c r="GU95" s="38"/>
      <c r="GV95" s="38"/>
      <c r="GW95" s="38"/>
      <c r="GX95" s="38"/>
      <c r="GY95" s="38"/>
      <c r="GZ95" s="38"/>
      <c r="HA95" s="38"/>
      <c r="HB95" s="38"/>
      <c r="HC95" s="38"/>
      <c r="HD95" s="38"/>
      <c r="HE95" s="38"/>
      <c r="HF95" s="38"/>
      <c r="HG95" s="38"/>
      <c r="HH95" s="38"/>
      <c r="HI95" s="38"/>
      <c r="HJ95" s="38"/>
      <c r="HK95" s="38"/>
      <c r="HL95" s="38"/>
      <c r="HM95" s="38"/>
      <c r="HN95" s="38"/>
      <c r="HO95" s="38"/>
      <c r="HP95" s="38"/>
      <c r="HQ95" s="38"/>
      <c r="HR95" s="38"/>
      <c r="HS95" s="38"/>
      <c r="HT95" s="38"/>
      <c r="HU95" s="38"/>
      <c r="HV95" s="38"/>
      <c r="HW95" s="38"/>
      <c r="HX95" s="38"/>
      <c r="HY95" s="38"/>
      <c r="HZ95" s="38"/>
      <c r="IA95" s="38"/>
      <c r="IB95" s="38"/>
      <c r="IC95" s="38"/>
      <c r="ID95" s="38"/>
      <c r="IE95" s="38"/>
      <c r="IF95" s="38"/>
      <c r="IG95" s="38"/>
      <c r="IH95" s="38"/>
      <c r="II95" s="38"/>
      <c r="IJ95" s="38"/>
      <c r="IK95" s="38"/>
      <c r="IL95" s="38"/>
      <c r="IM95" s="38"/>
      <c r="IN95" s="38"/>
      <c r="IO95" s="38"/>
      <c r="IP95" s="38"/>
      <c r="IQ95" s="38"/>
      <c r="IR95" s="38"/>
      <c r="IS95" s="38"/>
      <c r="IT95" s="38"/>
      <c r="IU95" s="38"/>
      <c r="IV95" s="38"/>
      <c r="IW95" s="38"/>
      <c r="IX95" s="38"/>
      <c r="IY95" s="38"/>
      <c r="IZ95" s="38"/>
      <c r="JA95" s="38"/>
      <c r="JB95" s="38"/>
      <c r="JC95" s="38"/>
      <c r="JD95" s="38"/>
      <c r="JE95" s="38"/>
      <c r="JF95" s="38"/>
      <c r="JG95" s="38"/>
      <c r="JH95" s="38"/>
      <c r="JI95" s="38"/>
      <c r="JJ95" s="38"/>
      <c r="JK95" s="38"/>
      <c r="JL95" s="38"/>
      <c r="JM95" s="38"/>
      <c r="JN95" s="38"/>
      <c r="JO95" s="38"/>
      <c r="JP95" s="38"/>
      <c r="JQ95" s="38"/>
      <c r="JR95" s="38"/>
      <c r="JS95" s="38"/>
      <c r="JT95" s="38"/>
      <c r="JU95" s="38"/>
      <c r="JV95" s="38"/>
      <c r="JW95" s="38"/>
      <c r="JX95" s="38"/>
      <c r="JY95" s="38"/>
      <c r="JZ95" s="38"/>
      <c r="KA95" s="38"/>
      <c r="KB95" s="38"/>
      <c r="KC95" s="38"/>
      <c r="KD95" s="38"/>
      <c r="KE95" s="38"/>
      <c r="KF95" s="38"/>
      <c r="KG95" s="38"/>
      <c r="KH95" s="38"/>
      <c r="KI95" s="38"/>
      <c r="KJ95" s="38"/>
      <c r="KK95" s="38"/>
      <c r="KL95" s="38"/>
      <c r="KM95" s="38"/>
      <c r="KN95" s="38"/>
      <c r="KO95" s="38"/>
      <c r="KP95" s="38"/>
      <c r="KQ95" s="38"/>
      <c r="KR95" s="38"/>
      <c r="KS95" s="38"/>
      <c r="KT95" s="38"/>
      <c r="KU95" s="38"/>
      <c r="KV95" s="38"/>
      <c r="KW95" s="38"/>
      <c r="KX95" s="38"/>
      <c r="KY95" s="38"/>
      <c r="KZ95" s="38"/>
      <c r="LA95" s="38"/>
      <c r="LB95" s="38"/>
      <c r="LC95" s="38"/>
      <c r="LD95" s="38"/>
      <c r="LE95" s="38"/>
      <c r="LF95" s="38"/>
      <c r="LG95" s="38"/>
      <c r="LH95" s="38"/>
      <c r="LI95" s="38"/>
      <c r="LJ95" s="38"/>
      <c r="LK95" s="38"/>
      <c r="LL95" s="38"/>
      <c r="LM95" s="38"/>
      <c r="LN95" s="38"/>
      <c r="LO95" s="38"/>
      <c r="LP95" s="38"/>
      <c r="LQ95" s="38"/>
      <c r="LR95" s="38"/>
      <c r="LS95" s="38"/>
      <c r="LT95" s="38"/>
      <c r="LU95" s="38"/>
      <c r="LV95" s="38"/>
      <c r="LW95" s="38"/>
      <c r="LX95" s="38"/>
      <c r="LY95" s="38"/>
      <c r="LZ95" s="38"/>
      <c r="MA95" s="38"/>
      <c r="MB95" s="38"/>
      <c r="MC95" s="38"/>
      <c r="MD95" s="38"/>
      <c r="ME95" s="38"/>
      <c r="MF95" s="38"/>
      <c r="MG95" s="38"/>
      <c r="MH95" s="38"/>
      <c r="MI95" s="38"/>
      <c r="MJ95" s="38"/>
      <c r="MK95" s="38"/>
      <c r="ML95" s="38"/>
      <c r="MM95" s="38"/>
      <c r="MN95" s="38"/>
      <c r="MO95" s="38"/>
      <c r="MP95" s="38"/>
      <c r="MQ95" s="38"/>
      <c r="MR95" s="38"/>
      <c r="MS95" s="38"/>
      <c r="MT95" s="38"/>
      <c r="MU95" s="38"/>
      <c r="MV95" s="38"/>
      <c r="MW95" s="38"/>
      <c r="MX95" s="38"/>
      <c r="MY95" s="38"/>
      <c r="MZ95" s="38"/>
      <c r="NA95" s="38"/>
      <c r="NB95" s="38"/>
      <c r="NC95" s="38"/>
      <c r="ND95" s="38"/>
      <c r="NE95" s="38"/>
      <c r="NF95" s="38"/>
      <c r="NG95" s="38"/>
      <c r="NH95" s="38"/>
      <c r="NI95" s="38"/>
      <c r="NJ95" s="38"/>
      <c r="NK95" s="38"/>
      <c r="NL95" s="38"/>
      <c r="NM95" s="38"/>
      <c r="NN95" s="38"/>
      <c r="NO95" s="38"/>
      <c r="NP95" s="38"/>
      <c r="NQ95" s="38"/>
      <c r="NR95" s="38"/>
      <c r="NS95" s="38"/>
      <c r="NT95" s="38"/>
      <c r="NU95" s="38"/>
      <c r="NV95" s="38"/>
      <c r="NW95" s="38"/>
      <c r="NX95" s="38"/>
      <c r="NY95" s="38"/>
      <c r="NZ95" s="38"/>
      <c r="OA95" s="38"/>
      <c r="OB95" s="38"/>
      <c r="OC95" s="38"/>
      <c r="OD95" s="38"/>
      <c r="OE95" s="38"/>
      <c r="OF95" s="38"/>
      <c r="OG95" s="38"/>
      <c r="OH95" s="38"/>
      <c r="OI95" s="38"/>
      <c r="OJ95" s="38"/>
      <c r="OK95" s="38"/>
      <c r="OL95" s="38"/>
      <c r="OM95" s="38"/>
      <c r="ON95" s="38"/>
      <c r="OO95" s="38"/>
      <c r="OP95" s="38"/>
      <c r="OQ95" s="38"/>
      <c r="OR95" s="38"/>
      <c r="OS95" s="38"/>
      <c r="OT95" s="38"/>
      <c r="OU95" s="38"/>
      <c r="OV95" s="38"/>
      <c r="OW95" s="38"/>
      <c r="OX95" s="38"/>
      <c r="OY95" s="38"/>
      <c r="OZ95" s="38"/>
      <c r="PA95" s="38"/>
      <c r="PB95" s="38"/>
      <c r="PC95" s="38"/>
      <c r="PD95" s="38"/>
      <c r="PE95" s="38"/>
      <c r="PF95" s="38"/>
      <c r="PG95" s="38"/>
      <c r="PH95" s="38"/>
      <c r="PI95" s="38"/>
      <c r="PJ95" s="38"/>
      <c r="PK95" s="38"/>
      <c r="PL95" s="38"/>
      <c r="PM95" s="38"/>
      <c r="PN95" s="38"/>
      <c r="PO95" s="38"/>
      <c r="PP95" s="38"/>
      <c r="PQ95" s="38"/>
      <c r="PR95" s="38"/>
      <c r="PS95" s="38"/>
      <c r="PT95" s="38"/>
      <c r="PU95" s="38"/>
      <c r="PV95" s="38"/>
      <c r="PW95" s="38"/>
      <c r="PX95" s="38"/>
      <c r="PY95" s="38"/>
      <c r="PZ95" s="38"/>
      <c r="QA95" s="38"/>
      <c r="QB95" s="38"/>
      <c r="QC95" s="38"/>
      <c r="QD95" s="38"/>
      <c r="QE95" s="38"/>
      <c r="QF95" s="38"/>
      <c r="QG95" s="38"/>
      <c r="QH95" s="38"/>
      <c r="QI95" s="38"/>
      <c r="QJ95" s="38"/>
      <c r="QK95" s="38"/>
      <c r="QL95" s="38"/>
      <c r="QM95" s="38"/>
      <c r="QN95" s="38"/>
      <c r="QO95" s="38"/>
      <c r="QP95" s="38"/>
      <c r="QQ95" s="38"/>
      <c r="QR95" s="38"/>
      <c r="QS95" s="38"/>
      <c r="QT95" s="38"/>
      <c r="QU95" s="38"/>
      <c r="QV95" s="38"/>
      <c r="QW95" s="38"/>
      <c r="QX95" s="38"/>
      <c r="QY95" s="38"/>
      <c r="QZ95" s="38"/>
      <c r="RA95" s="38"/>
      <c r="RB95" s="38"/>
      <c r="RC95" s="38"/>
      <c r="RD95" s="38"/>
      <c r="RE95" s="38"/>
      <c r="RF95" s="38"/>
      <c r="RG95" s="38"/>
      <c r="RH95" s="38"/>
      <c r="RI95" s="38"/>
      <c r="RJ95" s="38"/>
      <c r="RK95" s="38"/>
      <c r="RL95" s="38"/>
      <c r="RM95" s="38"/>
      <c r="RN95" s="38"/>
      <c r="RO95" s="38"/>
      <c r="RP95" s="38"/>
      <c r="RQ95" s="38"/>
      <c r="RR95" s="38"/>
      <c r="RS95" s="38"/>
      <c r="RT95" s="38"/>
      <c r="RU95" s="38"/>
      <c r="RV95" s="38"/>
      <c r="RW95" s="38"/>
      <c r="RX95" s="38"/>
      <c r="RY95" s="38"/>
      <c r="RZ95" s="38"/>
      <c r="SA95" s="38"/>
      <c r="SB95" s="38"/>
      <c r="SC95" s="38"/>
      <c r="SD95" s="38"/>
      <c r="SE95" s="38"/>
      <c r="SF95" s="38"/>
      <c r="SG95" s="38"/>
      <c r="SH95" s="38"/>
      <c r="SI95" s="38"/>
      <c r="SJ95" s="38"/>
      <c r="SK95" s="38"/>
      <c r="SL95" s="38"/>
      <c r="SM95" s="38"/>
      <c r="SN95" s="38"/>
      <c r="SO95" s="38"/>
      <c r="SP95" s="38"/>
      <c r="SQ95" s="38"/>
      <c r="SR95" s="38"/>
      <c r="SS95" s="38"/>
      <c r="ST95" s="38"/>
      <c r="SU95" s="38"/>
      <c r="SV95" s="38"/>
      <c r="SW95" s="38"/>
      <c r="SX95" s="38"/>
      <c r="SY95" s="38"/>
      <c r="SZ95" s="38"/>
      <c r="TA95" s="38"/>
      <c r="TB95" s="38"/>
      <c r="TC95" s="38"/>
      <c r="TD95" s="38"/>
      <c r="TE95" s="38"/>
      <c r="TF95" s="38"/>
      <c r="TG95" s="38"/>
      <c r="TH95" s="38"/>
      <c r="TI95" s="38"/>
      <c r="TJ95" s="38"/>
      <c r="TK95" s="38"/>
      <c r="TL95" s="38"/>
      <c r="TM95" s="38"/>
      <c r="TN95" s="38"/>
      <c r="TO95" s="38"/>
      <c r="TP95" s="38"/>
      <c r="TQ95" s="38"/>
      <c r="TR95" s="38"/>
      <c r="TS95" s="38"/>
      <c r="TT95" s="38"/>
      <c r="TU95" s="38"/>
      <c r="TV95" s="38"/>
      <c r="TW95" s="38"/>
      <c r="TX95" s="38"/>
      <c r="TY95" s="38"/>
      <c r="TZ95" s="38"/>
      <c r="UA95" s="38"/>
      <c r="UB95" s="38"/>
      <c r="UC95" s="38"/>
      <c r="UD95" s="38"/>
      <c r="UE95" s="38"/>
      <c r="UF95" s="38"/>
      <c r="UG95" s="38"/>
      <c r="UH95" s="38"/>
      <c r="UI95" s="38"/>
      <c r="UJ95" s="38"/>
      <c r="UK95" s="38"/>
      <c r="UL95" s="38"/>
      <c r="UM95" s="38"/>
      <c r="UN95" s="38"/>
      <c r="UO95" s="38"/>
      <c r="UP95" s="38"/>
      <c r="UQ95" s="38"/>
      <c r="UR95" s="38"/>
      <c r="US95" s="38"/>
      <c r="UT95" s="38"/>
      <c r="UU95" s="38"/>
      <c r="UV95" s="38"/>
      <c r="UW95" s="38"/>
      <c r="UX95" s="38"/>
      <c r="UY95" s="38"/>
      <c r="UZ95" s="38"/>
      <c r="VA95" s="38"/>
      <c r="VB95" s="38"/>
      <c r="VC95" s="38"/>
      <c r="VD95" s="38"/>
      <c r="VE95" s="38"/>
      <c r="VF95" s="38"/>
      <c r="VG95" s="38"/>
      <c r="VH95" s="38"/>
      <c r="VI95" s="38"/>
      <c r="VJ95" s="38"/>
      <c r="VK95" s="38"/>
      <c r="VL95" s="38"/>
      <c r="VM95" s="38"/>
      <c r="VN95" s="38"/>
      <c r="VO95" s="38"/>
      <c r="VP95" s="38"/>
      <c r="VQ95" s="38"/>
      <c r="VR95" s="38"/>
      <c r="VS95" s="38"/>
      <c r="VT95" s="38"/>
      <c r="VU95" s="38"/>
      <c r="VV95" s="38"/>
      <c r="VW95" s="38"/>
      <c r="VX95" s="38"/>
      <c r="VY95" s="38"/>
      <c r="VZ95" s="38"/>
      <c r="WA95" s="38"/>
      <c r="WB95" s="38"/>
      <c r="WC95" s="38"/>
      <c r="WD95" s="38"/>
      <c r="WE95" s="38"/>
      <c r="WF95" s="38"/>
      <c r="WG95" s="38"/>
      <c r="WH95" s="38"/>
      <c r="WI95" s="38"/>
      <c r="WJ95" s="38"/>
      <c r="WK95" s="38"/>
      <c r="WL95" s="38"/>
      <c r="WM95" s="38"/>
      <c r="WN95" s="38"/>
      <c r="WO95" s="38"/>
      <c r="WP95" s="38"/>
      <c r="WQ95" s="38"/>
      <c r="WR95" s="38"/>
      <c r="WS95" s="38"/>
      <c r="WT95" s="38"/>
      <c r="WU95" s="38"/>
      <c r="WV95" s="38"/>
      <c r="WW95" s="38"/>
      <c r="WX95" s="38"/>
      <c r="WY95" s="38"/>
      <c r="WZ95" s="38"/>
      <c r="XA95" s="38"/>
      <c r="XB95" s="38"/>
      <c r="XC95" s="38"/>
      <c r="XD95" s="38"/>
      <c r="XE95" s="38"/>
      <c r="XF95" s="38"/>
      <c r="XG95" s="38"/>
      <c r="XH95" s="38"/>
      <c r="XI95" s="38"/>
      <c r="XJ95" s="38"/>
      <c r="XK95" s="38"/>
      <c r="XL95" s="38"/>
      <c r="XM95" s="38"/>
      <c r="XN95" s="38"/>
      <c r="XO95" s="38"/>
      <c r="XP95" s="38"/>
      <c r="XQ95" s="38"/>
      <c r="XR95" s="38"/>
      <c r="XS95" s="38"/>
      <c r="XT95" s="38"/>
      <c r="XU95" s="38"/>
      <c r="XV95" s="38"/>
      <c r="XW95" s="38"/>
      <c r="XX95" s="38"/>
      <c r="XY95" s="38"/>
      <c r="XZ95" s="38"/>
      <c r="YA95" s="38"/>
      <c r="YB95" s="38"/>
      <c r="YC95" s="38"/>
      <c r="YD95" s="38"/>
      <c r="YE95" s="38"/>
      <c r="YF95" s="38"/>
      <c r="YG95" s="38"/>
      <c r="YH95" s="38"/>
      <c r="YI95" s="38"/>
      <c r="YJ95" s="38"/>
      <c r="YK95" s="38"/>
      <c r="YL95" s="38"/>
      <c r="YM95" s="38"/>
      <c r="YN95" s="38"/>
      <c r="YO95" s="38"/>
      <c r="YP95" s="38"/>
      <c r="YQ95" s="38"/>
      <c r="YR95" s="38"/>
      <c r="YS95" s="38"/>
      <c r="YT95" s="38"/>
      <c r="YU95" s="38"/>
      <c r="YV95" s="38"/>
      <c r="YW95" s="38"/>
      <c r="YX95" s="38"/>
      <c r="YY95" s="38"/>
      <c r="YZ95" s="38"/>
      <c r="ZA95" s="38"/>
      <c r="ZB95" s="38"/>
      <c r="ZC95" s="38"/>
      <c r="ZD95" s="38"/>
      <c r="ZE95" s="38"/>
      <c r="ZF95" s="38"/>
      <c r="ZG95" s="38"/>
      <c r="ZH95" s="38"/>
      <c r="ZI95" s="38"/>
      <c r="ZJ95" s="38"/>
      <c r="ZK95" s="38"/>
      <c r="ZL95" s="38"/>
      <c r="ZM95" s="38"/>
      <c r="ZN95" s="38"/>
      <c r="ZO95" s="38"/>
      <c r="ZP95" s="38"/>
      <c r="ZQ95" s="38"/>
      <c r="ZR95" s="38"/>
      <c r="ZS95" s="38"/>
      <c r="ZT95" s="38"/>
      <c r="ZU95" s="38"/>
      <c r="ZV95" s="38"/>
      <c r="ZW95" s="38"/>
      <c r="ZX95" s="38"/>
      <c r="ZY95" s="38"/>
      <c r="ZZ95" s="38"/>
      <c r="AAA95" s="38"/>
      <c r="AAB95" s="38"/>
      <c r="AAC95" s="38"/>
      <c r="AAD95" s="38"/>
      <c r="AAE95" s="38"/>
      <c r="AAF95" s="38"/>
      <c r="AAG95" s="38"/>
      <c r="AAH95" s="38"/>
      <c r="AAI95" s="38"/>
      <c r="AAJ95" s="38"/>
      <c r="AAK95" s="38"/>
      <c r="AAL95" s="38"/>
      <c r="AAM95" s="38"/>
      <c r="AAN95" s="38"/>
      <c r="AAO95" s="38"/>
      <c r="AAP95" s="38"/>
      <c r="AAQ95" s="38"/>
      <c r="AAR95" s="38"/>
      <c r="AAS95" s="38"/>
      <c r="AAT95" s="38"/>
      <c r="AAU95" s="38"/>
      <c r="AAV95" s="38"/>
      <c r="AAW95" s="38"/>
      <c r="AAX95" s="38"/>
      <c r="AAY95" s="38"/>
      <c r="AAZ95" s="38"/>
      <c r="ABA95" s="38"/>
      <c r="ABB95" s="38"/>
      <c r="ABC95" s="38"/>
      <c r="ABD95" s="38"/>
      <c r="ABE95" s="38"/>
      <c r="ABF95" s="38"/>
      <c r="ABG95" s="38"/>
      <c r="ABH95" s="38"/>
      <c r="ABI95" s="38"/>
      <c r="ABJ95" s="38"/>
      <c r="ABK95" s="38"/>
      <c r="ABL95" s="38"/>
      <c r="ABM95" s="38"/>
      <c r="ABN95" s="38"/>
      <c r="ABO95" s="38"/>
      <c r="ABP95" s="38"/>
      <c r="ABQ95" s="38"/>
      <c r="ABR95" s="38"/>
      <c r="ABS95" s="38"/>
      <c r="ABT95" s="38"/>
      <c r="ABU95" s="38"/>
      <c r="ABV95" s="38"/>
      <c r="ABW95" s="38"/>
      <c r="ABX95" s="38"/>
      <c r="ABY95" s="38"/>
      <c r="ABZ95" s="38"/>
      <c r="ACA95" s="38"/>
      <c r="ACB95" s="38"/>
      <c r="ACC95" s="38"/>
      <c r="ACD95" s="38"/>
      <c r="ACE95" s="38"/>
      <c r="ACF95" s="38"/>
      <c r="ACG95" s="38"/>
      <c r="ACH95" s="38"/>
      <c r="ACI95" s="38"/>
      <c r="ACJ95" s="38"/>
      <c r="ACK95" s="38"/>
      <c r="ACL95" s="38"/>
      <c r="ACM95" s="38"/>
      <c r="ACN95" s="38"/>
      <c r="ACO95" s="38"/>
      <c r="ACP95" s="38"/>
      <c r="ACQ95" s="38"/>
      <c r="ACR95" s="38"/>
      <c r="ACS95" s="38"/>
      <c r="ACT95" s="38"/>
      <c r="ACU95" s="38"/>
      <c r="ACV95" s="38"/>
      <c r="ACW95" s="38"/>
      <c r="ACX95" s="38"/>
      <c r="ACY95" s="38"/>
      <c r="ACZ95" s="38"/>
      <c r="ADA95" s="38"/>
      <c r="ADB95" s="38"/>
      <c r="ADC95" s="38"/>
      <c r="ADD95" s="38"/>
      <c r="ADE95" s="38"/>
      <c r="ADF95" s="38"/>
      <c r="ADG95" s="38"/>
      <c r="ADH95" s="38"/>
      <c r="ADI95" s="38"/>
      <c r="ADJ95" s="38"/>
      <c r="ADK95" s="38"/>
      <c r="ADL95" s="38"/>
      <c r="ADM95" s="38"/>
      <c r="ADN95" s="38"/>
      <c r="ADO95" s="38"/>
      <c r="ADP95" s="38"/>
      <c r="ADQ95" s="38"/>
      <c r="ADR95" s="38"/>
      <c r="ADS95" s="38"/>
      <c r="ADT95" s="38"/>
      <c r="ADU95" s="38"/>
      <c r="ADV95" s="38"/>
      <c r="ADW95" s="38"/>
      <c r="ADX95" s="38"/>
      <c r="ADY95" s="38"/>
      <c r="ADZ95" s="38"/>
      <c r="AEA95" s="38"/>
      <c r="AEB95" s="38"/>
      <c r="AEC95" s="38"/>
      <c r="AED95" s="38"/>
      <c r="AEE95" s="38"/>
      <c r="AEF95" s="38"/>
      <c r="AEG95" s="38"/>
      <c r="AEH95" s="38"/>
      <c r="AEI95" s="38"/>
      <c r="AEJ95" s="38"/>
      <c r="AEK95" s="38"/>
      <c r="AEL95" s="38"/>
      <c r="AEM95" s="38"/>
      <c r="AEN95" s="38"/>
      <c r="AEO95" s="38"/>
      <c r="AEP95" s="38"/>
      <c r="AEQ95" s="38"/>
      <c r="AER95" s="38"/>
      <c r="AES95" s="38"/>
      <c r="AET95" s="38"/>
      <c r="AEU95" s="38"/>
      <c r="AEV95" s="38"/>
      <c r="AEW95" s="38"/>
      <c r="AEX95" s="38"/>
      <c r="AEY95" s="38"/>
      <c r="AEZ95" s="38"/>
      <c r="AFA95" s="38"/>
      <c r="AFB95" s="38"/>
      <c r="AFC95" s="38"/>
      <c r="AFD95" s="38"/>
      <c r="AFE95" s="38"/>
      <c r="AFF95" s="38"/>
      <c r="AFG95" s="38"/>
      <c r="AFH95" s="38"/>
      <c r="AFI95" s="38"/>
      <c r="AFJ95" s="38"/>
      <c r="AFK95" s="38"/>
      <c r="AFL95" s="38"/>
      <c r="AFM95" s="38"/>
      <c r="AFN95" s="38"/>
      <c r="AFO95" s="38"/>
      <c r="AFP95" s="38"/>
      <c r="AFQ95" s="38"/>
      <c r="AFR95" s="38"/>
      <c r="AFS95" s="38"/>
      <c r="AFT95" s="38"/>
      <c r="AFU95" s="38"/>
      <c r="AFV95" s="38"/>
      <c r="AFW95" s="38"/>
      <c r="AFX95" s="38"/>
      <c r="AFY95" s="38"/>
      <c r="AFZ95" s="38"/>
      <c r="AGA95" s="38"/>
      <c r="AGB95" s="38"/>
      <c r="AGC95" s="38"/>
      <c r="AGD95" s="38"/>
      <c r="AGE95" s="38"/>
      <c r="AGF95" s="38"/>
      <c r="AGG95" s="38"/>
      <c r="AGH95" s="38"/>
      <c r="AGI95" s="38"/>
      <c r="AGJ95" s="38"/>
      <c r="AGK95" s="38"/>
      <c r="AGL95" s="38"/>
      <c r="AGM95" s="38"/>
      <c r="AGN95" s="38"/>
      <c r="AGO95" s="38"/>
      <c r="AGP95" s="38"/>
      <c r="AGQ95" s="38"/>
      <c r="AGR95" s="38"/>
      <c r="AGS95" s="38"/>
      <c r="AGT95" s="38"/>
      <c r="AGU95" s="38"/>
      <c r="AGV95" s="38"/>
      <c r="AGW95" s="38"/>
      <c r="AGX95" s="38"/>
      <c r="AGY95" s="38"/>
      <c r="AGZ95" s="38"/>
      <c r="AHA95" s="38"/>
      <c r="AHB95" s="38"/>
      <c r="AHC95" s="38"/>
      <c r="AHD95" s="38"/>
      <c r="AHE95" s="38"/>
      <c r="AHF95" s="38"/>
      <c r="AHG95" s="38"/>
      <c r="AHH95" s="38"/>
      <c r="AHI95" s="38"/>
      <c r="AHJ95" s="38"/>
      <c r="AHK95" s="38"/>
      <c r="AHL95" s="38"/>
      <c r="AHM95" s="38"/>
      <c r="AHN95" s="38"/>
      <c r="AHO95" s="38"/>
      <c r="AHP95" s="38"/>
      <c r="AHQ95" s="38"/>
      <c r="AHR95" s="38"/>
      <c r="AHS95" s="38"/>
      <c r="AHT95" s="38"/>
      <c r="AHU95" s="38"/>
      <c r="AHV95" s="38"/>
    </row>
    <row r="96" spans="1:906" s="27" customFormat="1" x14ac:dyDescent="0.35">
      <c r="A96" s="83">
        <v>91</v>
      </c>
      <c r="B96" s="108" t="s">
        <v>159</v>
      </c>
      <c r="C96" s="109" t="s">
        <v>155</v>
      </c>
      <c r="D96" s="109" t="s">
        <v>158</v>
      </c>
      <c r="E96" s="125">
        <v>9.5</v>
      </c>
      <c r="F96" s="125">
        <v>8.9499999999999993</v>
      </c>
      <c r="G96" s="125">
        <v>8.25</v>
      </c>
      <c r="H96" s="125">
        <v>9.25</v>
      </c>
      <c r="I96" s="37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  <c r="CH96" s="38"/>
      <c r="CI96" s="38"/>
      <c r="CJ96" s="38"/>
      <c r="CK96" s="38"/>
      <c r="CL96" s="38"/>
      <c r="CM96" s="38"/>
      <c r="CN96" s="38"/>
      <c r="CO96" s="38"/>
      <c r="CP96" s="38"/>
      <c r="CQ96" s="38"/>
      <c r="CR96" s="38"/>
      <c r="CS96" s="38"/>
      <c r="CT96" s="38"/>
      <c r="CU96" s="38"/>
      <c r="CV96" s="38"/>
      <c r="CW96" s="38"/>
      <c r="CX96" s="38"/>
      <c r="CY96" s="38"/>
      <c r="CZ96" s="38"/>
      <c r="DA96" s="38"/>
      <c r="DB96" s="38"/>
      <c r="DC96" s="38"/>
      <c r="DD96" s="38"/>
      <c r="DE96" s="38"/>
      <c r="DF96" s="38"/>
      <c r="DG96" s="38"/>
      <c r="DH96" s="38"/>
      <c r="DI96" s="38"/>
      <c r="DJ96" s="38"/>
      <c r="DK96" s="38"/>
      <c r="DL96" s="38"/>
      <c r="DM96" s="38"/>
      <c r="DN96" s="38"/>
      <c r="DO96" s="38"/>
      <c r="DP96" s="38"/>
      <c r="DQ96" s="38"/>
      <c r="DR96" s="38"/>
      <c r="DS96" s="38"/>
      <c r="DT96" s="38"/>
      <c r="DU96" s="38"/>
      <c r="DV96" s="38"/>
      <c r="DW96" s="38"/>
      <c r="DX96" s="38"/>
      <c r="DY96" s="38"/>
      <c r="DZ96" s="38"/>
      <c r="EA96" s="38"/>
      <c r="EB96" s="38"/>
      <c r="EC96" s="38"/>
      <c r="ED96" s="38"/>
      <c r="EE96" s="38"/>
      <c r="EF96" s="38"/>
      <c r="EG96" s="38"/>
      <c r="EH96" s="38"/>
      <c r="EI96" s="38"/>
      <c r="EJ96" s="38"/>
      <c r="EK96" s="38"/>
      <c r="EL96" s="38"/>
      <c r="EM96" s="38"/>
      <c r="EN96" s="38"/>
      <c r="EO96" s="38"/>
      <c r="EP96" s="38"/>
      <c r="EQ96" s="38"/>
      <c r="ER96" s="38"/>
      <c r="ES96" s="38"/>
      <c r="ET96" s="38"/>
      <c r="EU96" s="38"/>
      <c r="EV96" s="38"/>
      <c r="EW96" s="38"/>
      <c r="EX96" s="38"/>
      <c r="EY96" s="38"/>
      <c r="EZ96" s="38"/>
      <c r="FA96" s="38"/>
      <c r="FB96" s="38"/>
      <c r="FC96" s="38"/>
      <c r="FD96" s="38"/>
      <c r="FE96" s="38"/>
      <c r="FF96" s="38"/>
      <c r="FG96" s="38"/>
      <c r="FH96" s="38"/>
      <c r="FI96" s="38"/>
      <c r="FJ96" s="38"/>
      <c r="FK96" s="38"/>
      <c r="FL96" s="38"/>
      <c r="FM96" s="38"/>
      <c r="FN96" s="38"/>
      <c r="FO96" s="38"/>
      <c r="FP96" s="38"/>
      <c r="FQ96" s="38"/>
      <c r="FR96" s="38"/>
      <c r="FS96" s="38"/>
      <c r="FT96" s="38"/>
      <c r="FU96" s="38"/>
      <c r="FV96" s="38"/>
      <c r="FW96" s="38"/>
      <c r="FX96" s="38"/>
      <c r="FY96" s="38"/>
      <c r="FZ96" s="38"/>
      <c r="GA96" s="38"/>
      <c r="GB96" s="38"/>
      <c r="GC96" s="38"/>
      <c r="GD96" s="38"/>
      <c r="GE96" s="38"/>
      <c r="GF96" s="38"/>
      <c r="GG96" s="38"/>
      <c r="GH96" s="38"/>
      <c r="GI96" s="38"/>
      <c r="GJ96" s="38"/>
      <c r="GK96" s="38"/>
      <c r="GL96" s="38"/>
      <c r="GM96" s="38"/>
      <c r="GN96" s="38"/>
      <c r="GO96" s="38"/>
      <c r="GP96" s="38"/>
      <c r="GQ96" s="38"/>
      <c r="GR96" s="38"/>
      <c r="GS96" s="38"/>
      <c r="GT96" s="38"/>
      <c r="GU96" s="38"/>
      <c r="GV96" s="38"/>
      <c r="GW96" s="38"/>
      <c r="GX96" s="38"/>
      <c r="GY96" s="38"/>
      <c r="GZ96" s="38"/>
      <c r="HA96" s="38"/>
      <c r="HB96" s="38"/>
      <c r="HC96" s="38"/>
      <c r="HD96" s="38"/>
      <c r="HE96" s="38"/>
      <c r="HF96" s="38"/>
      <c r="HG96" s="38"/>
      <c r="HH96" s="38"/>
      <c r="HI96" s="38"/>
      <c r="HJ96" s="38"/>
      <c r="HK96" s="38"/>
      <c r="HL96" s="38"/>
      <c r="HM96" s="38"/>
      <c r="HN96" s="38"/>
      <c r="HO96" s="38"/>
      <c r="HP96" s="38"/>
      <c r="HQ96" s="38"/>
      <c r="HR96" s="38"/>
      <c r="HS96" s="38"/>
      <c r="HT96" s="38"/>
      <c r="HU96" s="38"/>
      <c r="HV96" s="38"/>
      <c r="HW96" s="38"/>
      <c r="HX96" s="38"/>
      <c r="HY96" s="38"/>
      <c r="HZ96" s="38"/>
      <c r="IA96" s="38"/>
      <c r="IB96" s="38"/>
      <c r="IC96" s="38"/>
      <c r="ID96" s="38"/>
      <c r="IE96" s="38"/>
      <c r="IF96" s="38"/>
      <c r="IG96" s="38"/>
      <c r="IH96" s="38"/>
      <c r="II96" s="38"/>
      <c r="IJ96" s="38"/>
      <c r="IK96" s="38"/>
      <c r="IL96" s="38"/>
      <c r="IM96" s="38"/>
      <c r="IN96" s="38"/>
      <c r="IO96" s="38"/>
      <c r="IP96" s="38"/>
      <c r="IQ96" s="38"/>
      <c r="IR96" s="38"/>
      <c r="IS96" s="38"/>
      <c r="IT96" s="38"/>
      <c r="IU96" s="38"/>
      <c r="IV96" s="38"/>
      <c r="IW96" s="38"/>
      <c r="IX96" s="38"/>
      <c r="IY96" s="38"/>
      <c r="IZ96" s="38"/>
      <c r="JA96" s="38"/>
      <c r="JB96" s="38"/>
      <c r="JC96" s="38"/>
      <c r="JD96" s="38"/>
      <c r="JE96" s="38"/>
      <c r="JF96" s="38"/>
      <c r="JG96" s="38"/>
      <c r="JH96" s="38"/>
      <c r="JI96" s="38"/>
      <c r="JJ96" s="38"/>
      <c r="JK96" s="38"/>
      <c r="JL96" s="38"/>
      <c r="JM96" s="38"/>
      <c r="JN96" s="38"/>
      <c r="JO96" s="38"/>
      <c r="JP96" s="38"/>
      <c r="JQ96" s="38"/>
      <c r="JR96" s="38"/>
      <c r="JS96" s="38"/>
      <c r="JT96" s="38"/>
      <c r="JU96" s="38"/>
      <c r="JV96" s="38"/>
      <c r="JW96" s="38"/>
      <c r="JX96" s="38"/>
      <c r="JY96" s="38"/>
      <c r="JZ96" s="38"/>
      <c r="KA96" s="38"/>
      <c r="KB96" s="38"/>
      <c r="KC96" s="38"/>
      <c r="KD96" s="38"/>
      <c r="KE96" s="38"/>
      <c r="KF96" s="38"/>
      <c r="KG96" s="38"/>
      <c r="KH96" s="38"/>
      <c r="KI96" s="38"/>
      <c r="KJ96" s="38"/>
      <c r="KK96" s="38"/>
      <c r="KL96" s="38"/>
      <c r="KM96" s="38"/>
      <c r="KN96" s="38"/>
      <c r="KO96" s="38"/>
      <c r="KP96" s="38"/>
      <c r="KQ96" s="38"/>
      <c r="KR96" s="38"/>
      <c r="KS96" s="38"/>
      <c r="KT96" s="38"/>
      <c r="KU96" s="38"/>
      <c r="KV96" s="38"/>
      <c r="KW96" s="38"/>
      <c r="KX96" s="38"/>
      <c r="KY96" s="38"/>
      <c r="KZ96" s="38"/>
      <c r="LA96" s="38"/>
      <c r="LB96" s="38"/>
      <c r="LC96" s="38"/>
      <c r="LD96" s="38"/>
      <c r="LE96" s="38"/>
      <c r="LF96" s="38"/>
      <c r="LG96" s="38"/>
      <c r="LH96" s="38"/>
      <c r="LI96" s="38"/>
      <c r="LJ96" s="38"/>
      <c r="LK96" s="38"/>
      <c r="LL96" s="38"/>
      <c r="LM96" s="38"/>
      <c r="LN96" s="38"/>
      <c r="LO96" s="38"/>
      <c r="LP96" s="38"/>
      <c r="LQ96" s="38"/>
      <c r="LR96" s="38"/>
      <c r="LS96" s="38"/>
      <c r="LT96" s="38"/>
      <c r="LU96" s="38"/>
      <c r="LV96" s="38"/>
      <c r="LW96" s="38"/>
      <c r="LX96" s="38"/>
      <c r="LY96" s="38"/>
      <c r="LZ96" s="38"/>
      <c r="MA96" s="38"/>
      <c r="MB96" s="38"/>
      <c r="MC96" s="38"/>
      <c r="MD96" s="38"/>
      <c r="ME96" s="38"/>
      <c r="MF96" s="38"/>
      <c r="MG96" s="38"/>
      <c r="MH96" s="38"/>
      <c r="MI96" s="38"/>
      <c r="MJ96" s="38"/>
      <c r="MK96" s="38"/>
      <c r="ML96" s="38"/>
      <c r="MM96" s="38"/>
      <c r="MN96" s="38"/>
      <c r="MO96" s="38"/>
      <c r="MP96" s="38"/>
      <c r="MQ96" s="38"/>
      <c r="MR96" s="38"/>
      <c r="MS96" s="38"/>
      <c r="MT96" s="38"/>
      <c r="MU96" s="38"/>
      <c r="MV96" s="38"/>
      <c r="MW96" s="38"/>
      <c r="MX96" s="38"/>
      <c r="MY96" s="38"/>
      <c r="MZ96" s="38"/>
      <c r="NA96" s="38"/>
      <c r="NB96" s="38"/>
      <c r="NC96" s="38"/>
      <c r="ND96" s="38"/>
      <c r="NE96" s="38"/>
      <c r="NF96" s="38"/>
      <c r="NG96" s="38"/>
      <c r="NH96" s="38"/>
      <c r="NI96" s="38"/>
      <c r="NJ96" s="38"/>
      <c r="NK96" s="38"/>
      <c r="NL96" s="38"/>
      <c r="NM96" s="38"/>
      <c r="NN96" s="38"/>
      <c r="NO96" s="38"/>
      <c r="NP96" s="38"/>
      <c r="NQ96" s="38"/>
      <c r="NR96" s="38"/>
      <c r="NS96" s="38"/>
      <c r="NT96" s="38"/>
      <c r="NU96" s="38"/>
      <c r="NV96" s="38"/>
      <c r="NW96" s="38"/>
      <c r="NX96" s="38"/>
      <c r="NY96" s="38"/>
      <c r="NZ96" s="38"/>
      <c r="OA96" s="38"/>
      <c r="OB96" s="38"/>
      <c r="OC96" s="38"/>
      <c r="OD96" s="38"/>
      <c r="OE96" s="38"/>
      <c r="OF96" s="38"/>
      <c r="OG96" s="38"/>
      <c r="OH96" s="38"/>
      <c r="OI96" s="38"/>
      <c r="OJ96" s="38"/>
      <c r="OK96" s="38"/>
      <c r="OL96" s="38"/>
      <c r="OM96" s="38"/>
      <c r="ON96" s="38"/>
      <c r="OO96" s="38"/>
      <c r="OP96" s="38"/>
      <c r="OQ96" s="38"/>
      <c r="OR96" s="38"/>
      <c r="OS96" s="38"/>
      <c r="OT96" s="38"/>
      <c r="OU96" s="38"/>
      <c r="OV96" s="38"/>
      <c r="OW96" s="38"/>
      <c r="OX96" s="38"/>
      <c r="OY96" s="38"/>
      <c r="OZ96" s="38"/>
      <c r="PA96" s="38"/>
      <c r="PB96" s="38"/>
      <c r="PC96" s="38"/>
      <c r="PD96" s="38"/>
      <c r="PE96" s="38"/>
      <c r="PF96" s="38"/>
      <c r="PG96" s="38"/>
      <c r="PH96" s="38"/>
      <c r="PI96" s="38"/>
      <c r="PJ96" s="38"/>
      <c r="PK96" s="38"/>
      <c r="PL96" s="38"/>
      <c r="PM96" s="38"/>
      <c r="PN96" s="38"/>
      <c r="PO96" s="38"/>
      <c r="PP96" s="38"/>
      <c r="PQ96" s="38"/>
      <c r="PR96" s="38"/>
      <c r="PS96" s="38"/>
      <c r="PT96" s="38"/>
      <c r="PU96" s="38"/>
      <c r="PV96" s="38"/>
      <c r="PW96" s="38"/>
      <c r="PX96" s="38"/>
      <c r="PY96" s="38"/>
      <c r="PZ96" s="38"/>
      <c r="QA96" s="38"/>
      <c r="QB96" s="38"/>
      <c r="QC96" s="38"/>
      <c r="QD96" s="38"/>
      <c r="QE96" s="38"/>
      <c r="QF96" s="38"/>
      <c r="QG96" s="38"/>
      <c r="QH96" s="38"/>
      <c r="QI96" s="38"/>
      <c r="QJ96" s="38"/>
      <c r="QK96" s="38"/>
      <c r="QL96" s="38"/>
      <c r="QM96" s="38"/>
      <c r="QN96" s="38"/>
      <c r="QO96" s="38"/>
      <c r="QP96" s="38"/>
      <c r="QQ96" s="38"/>
      <c r="QR96" s="38"/>
      <c r="QS96" s="38"/>
      <c r="QT96" s="38"/>
      <c r="QU96" s="38"/>
      <c r="QV96" s="38"/>
      <c r="QW96" s="38"/>
      <c r="QX96" s="38"/>
      <c r="QY96" s="38"/>
      <c r="QZ96" s="38"/>
      <c r="RA96" s="38"/>
      <c r="RB96" s="38"/>
      <c r="RC96" s="38"/>
      <c r="RD96" s="38"/>
      <c r="RE96" s="38"/>
      <c r="RF96" s="38"/>
      <c r="RG96" s="38"/>
      <c r="RH96" s="38"/>
      <c r="RI96" s="38"/>
      <c r="RJ96" s="38"/>
      <c r="RK96" s="38"/>
      <c r="RL96" s="38"/>
      <c r="RM96" s="38"/>
      <c r="RN96" s="38"/>
      <c r="RO96" s="38"/>
      <c r="RP96" s="38"/>
      <c r="RQ96" s="38"/>
      <c r="RR96" s="38"/>
      <c r="RS96" s="38"/>
      <c r="RT96" s="38"/>
      <c r="RU96" s="38"/>
      <c r="RV96" s="38"/>
      <c r="RW96" s="38"/>
      <c r="RX96" s="38"/>
      <c r="RY96" s="38"/>
      <c r="RZ96" s="38"/>
      <c r="SA96" s="38"/>
      <c r="SB96" s="38"/>
      <c r="SC96" s="38"/>
      <c r="SD96" s="38"/>
      <c r="SE96" s="38"/>
      <c r="SF96" s="38"/>
      <c r="SG96" s="38"/>
      <c r="SH96" s="38"/>
      <c r="SI96" s="38"/>
      <c r="SJ96" s="38"/>
      <c r="SK96" s="38"/>
      <c r="SL96" s="38"/>
      <c r="SM96" s="38"/>
      <c r="SN96" s="38"/>
      <c r="SO96" s="38"/>
      <c r="SP96" s="38"/>
      <c r="SQ96" s="38"/>
      <c r="SR96" s="38"/>
      <c r="SS96" s="38"/>
      <c r="ST96" s="38"/>
      <c r="SU96" s="38"/>
      <c r="SV96" s="38"/>
      <c r="SW96" s="38"/>
      <c r="SX96" s="38"/>
      <c r="SY96" s="38"/>
      <c r="SZ96" s="38"/>
      <c r="TA96" s="38"/>
      <c r="TB96" s="38"/>
      <c r="TC96" s="38"/>
      <c r="TD96" s="38"/>
      <c r="TE96" s="38"/>
      <c r="TF96" s="38"/>
      <c r="TG96" s="38"/>
      <c r="TH96" s="38"/>
      <c r="TI96" s="38"/>
      <c r="TJ96" s="38"/>
      <c r="TK96" s="38"/>
      <c r="TL96" s="38"/>
      <c r="TM96" s="38"/>
      <c r="TN96" s="38"/>
      <c r="TO96" s="38"/>
      <c r="TP96" s="38"/>
      <c r="TQ96" s="38"/>
      <c r="TR96" s="38"/>
      <c r="TS96" s="38"/>
      <c r="TT96" s="38"/>
      <c r="TU96" s="38"/>
      <c r="TV96" s="38"/>
      <c r="TW96" s="38"/>
      <c r="TX96" s="38"/>
      <c r="TY96" s="38"/>
      <c r="TZ96" s="38"/>
      <c r="UA96" s="38"/>
      <c r="UB96" s="38"/>
      <c r="UC96" s="38"/>
      <c r="UD96" s="38"/>
      <c r="UE96" s="38"/>
      <c r="UF96" s="38"/>
      <c r="UG96" s="38"/>
      <c r="UH96" s="38"/>
      <c r="UI96" s="38"/>
      <c r="UJ96" s="38"/>
      <c r="UK96" s="38"/>
      <c r="UL96" s="38"/>
      <c r="UM96" s="38"/>
      <c r="UN96" s="38"/>
      <c r="UO96" s="38"/>
      <c r="UP96" s="38"/>
      <c r="UQ96" s="38"/>
      <c r="UR96" s="38"/>
      <c r="US96" s="38"/>
      <c r="UT96" s="38"/>
      <c r="UU96" s="38"/>
      <c r="UV96" s="38"/>
      <c r="UW96" s="38"/>
      <c r="UX96" s="38"/>
      <c r="UY96" s="38"/>
      <c r="UZ96" s="38"/>
      <c r="VA96" s="38"/>
      <c r="VB96" s="38"/>
      <c r="VC96" s="38"/>
      <c r="VD96" s="38"/>
      <c r="VE96" s="38"/>
      <c r="VF96" s="38"/>
      <c r="VG96" s="38"/>
      <c r="VH96" s="38"/>
      <c r="VI96" s="38"/>
      <c r="VJ96" s="38"/>
      <c r="VK96" s="38"/>
      <c r="VL96" s="38"/>
      <c r="VM96" s="38"/>
      <c r="VN96" s="38"/>
      <c r="VO96" s="38"/>
      <c r="VP96" s="38"/>
      <c r="VQ96" s="38"/>
      <c r="VR96" s="38"/>
      <c r="VS96" s="38"/>
      <c r="VT96" s="38"/>
      <c r="VU96" s="38"/>
      <c r="VV96" s="38"/>
      <c r="VW96" s="38"/>
      <c r="VX96" s="38"/>
      <c r="VY96" s="38"/>
      <c r="VZ96" s="38"/>
      <c r="WA96" s="38"/>
      <c r="WB96" s="38"/>
      <c r="WC96" s="38"/>
      <c r="WD96" s="38"/>
      <c r="WE96" s="38"/>
      <c r="WF96" s="38"/>
      <c r="WG96" s="38"/>
      <c r="WH96" s="38"/>
      <c r="WI96" s="38"/>
      <c r="WJ96" s="38"/>
      <c r="WK96" s="38"/>
      <c r="WL96" s="38"/>
      <c r="WM96" s="38"/>
      <c r="WN96" s="38"/>
      <c r="WO96" s="38"/>
      <c r="WP96" s="38"/>
      <c r="WQ96" s="38"/>
      <c r="WR96" s="38"/>
      <c r="WS96" s="38"/>
      <c r="WT96" s="38"/>
      <c r="WU96" s="38"/>
      <c r="WV96" s="38"/>
      <c r="WW96" s="38"/>
      <c r="WX96" s="38"/>
      <c r="WY96" s="38"/>
      <c r="WZ96" s="38"/>
      <c r="XA96" s="38"/>
      <c r="XB96" s="38"/>
      <c r="XC96" s="38"/>
      <c r="XD96" s="38"/>
      <c r="XE96" s="38"/>
      <c r="XF96" s="38"/>
      <c r="XG96" s="38"/>
      <c r="XH96" s="38"/>
      <c r="XI96" s="38"/>
      <c r="XJ96" s="38"/>
      <c r="XK96" s="38"/>
      <c r="XL96" s="38"/>
      <c r="XM96" s="38"/>
      <c r="XN96" s="38"/>
      <c r="XO96" s="38"/>
      <c r="XP96" s="38"/>
      <c r="XQ96" s="38"/>
      <c r="XR96" s="38"/>
      <c r="XS96" s="38"/>
      <c r="XT96" s="38"/>
      <c r="XU96" s="38"/>
      <c r="XV96" s="38"/>
      <c r="XW96" s="38"/>
      <c r="XX96" s="38"/>
      <c r="XY96" s="38"/>
      <c r="XZ96" s="38"/>
      <c r="YA96" s="38"/>
      <c r="YB96" s="38"/>
      <c r="YC96" s="38"/>
      <c r="YD96" s="38"/>
      <c r="YE96" s="38"/>
      <c r="YF96" s="38"/>
      <c r="YG96" s="38"/>
      <c r="YH96" s="38"/>
      <c r="YI96" s="38"/>
      <c r="YJ96" s="38"/>
      <c r="YK96" s="38"/>
      <c r="YL96" s="38"/>
      <c r="YM96" s="38"/>
      <c r="YN96" s="38"/>
      <c r="YO96" s="38"/>
      <c r="YP96" s="38"/>
      <c r="YQ96" s="38"/>
      <c r="YR96" s="38"/>
      <c r="YS96" s="38"/>
      <c r="YT96" s="38"/>
      <c r="YU96" s="38"/>
      <c r="YV96" s="38"/>
      <c r="YW96" s="38"/>
      <c r="YX96" s="38"/>
      <c r="YY96" s="38"/>
      <c r="YZ96" s="38"/>
      <c r="ZA96" s="38"/>
      <c r="ZB96" s="38"/>
      <c r="ZC96" s="38"/>
      <c r="ZD96" s="38"/>
      <c r="ZE96" s="38"/>
      <c r="ZF96" s="38"/>
      <c r="ZG96" s="38"/>
      <c r="ZH96" s="38"/>
      <c r="ZI96" s="38"/>
      <c r="ZJ96" s="38"/>
      <c r="ZK96" s="38"/>
      <c r="ZL96" s="38"/>
      <c r="ZM96" s="38"/>
      <c r="ZN96" s="38"/>
      <c r="ZO96" s="38"/>
      <c r="ZP96" s="38"/>
      <c r="ZQ96" s="38"/>
      <c r="ZR96" s="38"/>
      <c r="ZS96" s="38"/>
      <c r="ZT96" s="38"/>
      <c r="ZU96" s="38"/>
      <c r="ZV96" s="38"/>
      <c r="ZW96" s="38"/>
      <c r="ZX96" s="38"/>
      <c r="ZY96" s="38"/>
      <c r="ZZ96" s="38"/>
      <c r="AAA96" s="38"/>
      <c r="AAB96" s="38"/>
      <c r="AAC96" s="38"/>
      <c r="AAD96" s="38"/>
      <c r="AAE96" s="38"/>
      <c r="AAF96" s="38"/>
      <c r="AAG96" s="38"/>
      <c r="AAH96" s="38"/>
      <c r="AAI96" s="38"/>
      <c r="AAJ96" s="38"/>
      <c r="AAK96" s="38"/>
      <c r="AAL96" s="38"/>
      <c r="AAM96" s="38"/>
      <c r="AAN96" s="38"/>
      <c r="AAO96" s="38"/>
      <c r="AAP96" s="38"/>
      <c r="AAQ96" s="38"/>
      <c r="AAR96" s="38"/>
      <c r="AAS96" s="38"/>
      <c r="AAT96" s="38"/>
      <c r="AAU96" s="38"/>
      <c r="AAV96" s="38"/>
      <c r="AAW96" s="38"/>
      <c r="AAX96" s="38"/>
      <c r="AAY96" s="38"/>
      <c r="AAZ96" s="38"/>
      <c r="ABA96" s="38"/>
      <c r="ABB96" s="38"/>
      <c r="ABC96" s="38"/>
      <c r="ABD96" s="38"/>
      <c r="ABE96" s="38"/>
      <c r="ABF96" s="38"/>
      <c r="ABG96" s="38"/>
      <c r="ABH96" s="38"/>
      <c r="ABI96" s="38"/>
      <c r="ABJ96" s="38"/>
      <c r="ABK96" s="38"/>
      <c r="ABL96" s="38"/>
      <c r="ABM96" s="38"/>
      <c r="ABN96" s="38"/>
      <c r="ABO96" s="38"/>
      <c r="ABP96" s="38"/>
      <c r="ABQ96" s="38"/>
      <c r="ABR96" s="38"/>
      <c r="ABS96" s="38"/>
      <c r="ABT96" s="38"/>
      <c r="ABU96" s="38"/>
      <c r="ABV96" s="38"/>
      <c r="ABW96" s="38"/>
      <c r="ABX96" s="38"/>
      <c r="ABY96" s="38"/>
      <c r="ABZ96" s="38"/>
      <c r="ACA96" s="38"/>
      <c r="ACB96" s="38"/>
      <c r="ACC96" s="38"/>
      <c r="ACD96" s="38"/>
      <c r="ACE96" s="38"/>
      <c r="ACF96" s="38"/>
      <c r="ACG96" s="38"/>
      <c r="ACH96" s="38"/>
      <c r="ACI96" s="38"/>
      <c r="ACJ96" s="38"/>
      <c r="ACK96" s="38"/>
      <c r="ACL96" s="38"/>
      <c r="ACM96" s="38"/>
      <c r="ACN96" s="38"/>
      <c r="ACO96" s="38"/>
      <c r="ACP96" s="38"/>
      <c r="ACQ96" s="38"/>
      <c r="ACR96" s="38"/>
      <c r="ACS96" s="38"/>
      <c r="ACT96" s="38"/>
      <c r="ACU96" s="38"/>
      <c r="ACV96" s="38"/>
      <c r="ACW96" s="38"/>
      <c r="ACX96" s="38"/>
      <c r="ACY96" s="38"/>
      <c r="ACZ96" s="38"/>
      <c r="ADA96" s="38"/>
      <c r="ADB96" s="38"/>
      <c r="ADC96" s="38"/>
      <c r="ADD96" s="38"/>
      <c r="ADE96" s="38"/>
      <c r="ADF96" s="38"/>
      <c r="ADG96" s="38"/>
      <c r="ADH96" s="38"/>
      <c r="ADI96" s="38"/>
      <c r="ADJ96" s="38"/>
      <c r="ADK96" s="38"/>
      <c r="ADL96" s="38"/>
      <c r="ADM96" s="38"/>
      <c r="ADN96" s="38"/>
      <c r="ADO96" s="38"/>
      <c r="ADP96" s="38"/>
      <c r="ADQ96" s="38"/>
      <c r="ADR96" s="38"/>
      <c r="ADS96" s="38"/>
      <c r="ADT96" s="38"/>
      <c r="ADU96" s="38"/>
      <c r="ADV96" s="38"/>
      <c r="ADW96" s="38"/>
      <c r="ADX96" s="38"/>
      <c r="ADY96" s="38"/>
      <c r="ADZ96" s="38"/>
      <c r="AEA96" s="38"/>
      <c r="AEB96" s="38"/>
      <c r="AEC96" s="38"/>
      <c r="AED96" s="38"/>
      <c r="AEE96" s="38"/>
      <c r="AEF96" s="38"/>
      <c r="AEG96" s="38"/>
      <c r="AEH96" s="38"/>
      <c r="AEI96" s="38"/>
      <c r="AEJ96" s="38"/>
      <c r="AEK96" s="38"/>
      <c r="AEL96" s="38"/>
      <c r="AEM96" s="38"/>
      <c r="AEN96" s="38"/>
      <c r="AEO96" s="38"/>
      <c r="AEP96" s="38"/>
      <c r="AEQ96" s="38"/>
      <c r="AER96" s="38"/>
      <c r="AES96" s="38"/>
      <c r="AET96" s="38"/>
      <c r="AEU96" s="38"/>
      <c r="AEV96" s="38"/>
      <c r="AEW96" s="38"/>
      <c r="AEX96" s="38"/>
      <c r="AEY96" s="38"/>
      <c r="AEZ96" s="38"/>
      <c r="AFA96" s="38"/>
      <c r="AFB96" s="38"/>
      <c r="AFC96" s="38"/>
      <c r="AFD96" s="38"/>
      <c r="AFE96" s="38"/>
      <c r="AFF96" s="38"/>
      <c r="AFG96" s="38"/>
      <c r="AFH96" s="38"/>
      <c r="AFI96" s="38"/>
      <c r="AFJ96" s="38"/>
      <c r="AFK96" s="38"/>
      <c r="AFL96" s="38"/>
      <c r="AFM96" s="38"/>
      <c r="AFN96" s="38"/>
      <c r="AFO96" s="38"/>
      <c r="AFP96" s="38"/>
      <c r="AFQ96" s="38"/>
      <c r="AFR96" s="38"/>
      <c r="AFS96" s="38"/>
      <c r="AFT96" s="38"/>
      <c r="AFU96" s="38"/>
      <c r="AFV96" s="38"/>
      <c r="AFW96" s="38"/>
      <c r="AFX96" s="38"/>
      <c r="AFY96" s="38"/>
      <c r="AFZ96" s="38"/>
      <c r="AGA96" s="38"/>
      <c r="AGB96" s="38"/>
      <c r="AGC96" s="38"/>
      <c r="AGD96" s="38"/>
      <c r="AGE96" s="38"/>
      <c r="AGF96" s="38"/>
      <c r="AGG96" s="38"/>
      <c r="AGH96" s="38"/>
      <c r="AGI96" s="38"/>
      <c r="AGJ96" s="38"/>
      <c r="AGK96" s="38"/>
      <c r="AGL96" s="38"/>
      <c r="AGM96" s="38"/>
      <c r="AGN96" s="38"/>
      <c r="AGO96" s="38"/>
      <c r="AGP96" s="38"/>
      <c r="AGQ96" s="38"/>
      <c r="AGR96" s="38"/>
      <c r="AGS96" s="38"/>
      <c r="AGT96" s="38"/>
      <c r="AGU96" s="38"/>
      <c r="AGV96" s="38"/>
      <c r="AGW96" s="38"/>
      <c r="AGX96" s="38"/>
      <c r="AGY96" s="38"/>
      <c r="AGZ96" s="38"/>
      <c r="AHA96" s="38"/>
      <c r="AHB96" s="38"/>
      <c r="AHC96" s="38"/>
      <c r="AHD96" s="38"/>
      <c r="AHE96" s="38"/>
      <c r="AHF96" s="38"/>
      <c r="AHG96" s="38"/>
      <c r="AHH96" s="38"/>
      <c r="AHI96" s="38"/>
      <c r="AHJ96" s="38"/>
      <c r="AHK96" s="38"/>
      <c r="AHL96" s="38"/>
      <c r="AHM96" s="38"/>
      <c r="AHN96" s="38"/>
      <c r="AHO96" s="38"/>
      <c r="AHP96" s="38"/>
      <c r="AHQ96" s="38"/>
      <c r="AHR96" s="38"/>
      <c r="AHS96" s="38"/>
      <c r="AHT96" s="38"/>
      <c r="AHU96" s="38"/>
      <c r="AHV96" s="38"/>
    </row>
    <row r="97" spans="1:906" s="27" customFormat="1" x14ac:dyDescent="0.35">
      <c r="A97" s="83">
        <v>92</v>
      </c>
      <c r="B97" s="108" t="s">
        <v>160</v>
      </c>
      <c r="C97" s="109" t="s">
        <v>161</v>
      </c>
      <c r="D97" s="109" t="s">
        <v>162</v>
      </c>
      <c r="E97" s="125">
        <v>6</v>
      </c>
      <c r="F97" s="125">
        <v>5.5</v>
      </c>
      <c r="G97" s="125">
        <v>5.25</v>
      </c>
      <c r="H97" s="125"/>
      <c r="I97" s="37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8"/>
      <c r="DD97" s="38"/>
      <c r="DE97" s="38"/>
      <c r="DF97" s="38"/>
      <c r="DG97" s="38"/>
      <c r="DH97" s="38"/>
      <c r="DI97" s="38"/>
      <c r="DJ97" s="38"/>
      <c r="DK97" s="38"/>
      <c r="DL97" s="38"/>
      <c r="DM97" s="38"/>
      <c r="DN97" s="38"/>
      <c r="DO97" s="38"/>
      <c r="DP97" s="38"/>
      <c r="DQ97" s="38"/>
      <c r="DR97" s="38"/>
      <c r="DS97" s="38"/>
      <c r="DT97" s="38"/>
      <c r="DU97" s="38"/>
      <c r="DV97" s="38"/>
      <c r="DW97" s="38"/>
      <c r="DX97" s="38"/>
      <c r="DY97" s="38"/>
      <c r="DZ97" s="38"/>
      <c r="EA97" s="38"/>
      <c r="EB97" s="38"/>
      <c r="EC97" s="38"/>
      <c r="ED97" s="38"/>
      <c r="EE97" s="38"/>
      <c r="EF97" s="38"/>
      <c r="EG97" s="38"/>
      <c r="EH97" s="38"/>
      <c r="EI97" s="38"/>
      <c r="EJ97" s="38"/>
      <c r="EK97" s="38"/>
      <c r="EL97" s="38"/>
      <c r="EM97" s="38"/>
      <c r="EN97" s="38"/>
      <c r="EO97" s="38"/>
      <c r="EP97" s="38"/>
      <c r="EQ97" s="38"/>
      <c r="ER97" s="38"/>
      <c r="ES97" s="38"/>
      <c r="ET97" s="38"/>
      <c r="EU97" s="38"/>
      <c r="EV97" s="38"/>
      <c r="EW97" s="38"/>
      <c r="EX97" s="38"/>
      <c r="EY97" s="38"/>
      <c r="EZ97" s="38"/>
      <c r="FA97" s="38"/>
      <c r="FB97" s="38"/>
      <c r="FC97" s="38"/>
      <c r="FD97" s="38"/>
      <c r="FE97" s="38"/>
      <c r="FF97" s="38"/>
      <c r="FG97" s="38"/>
      <c r="FH97" s="38"/>
      <c r="FI97" s="38"/>
      <c r="FJ97" s="38"/>
      <c r="FK97" s="38"/>
      <c r="FL97" s="38"/>
      <c r="FM97" s="38"/>
      <c r="FN97" s="38"/>
      <c r="FO97" s="38"/>
      <c r="FP97" s="38"/>
      <c r="FQ97" s="38"/>
      <c r="FR97" s="38"/>
      <c r="FS97" s="38"/>
      <c r="FT97" s="38"/>
      <c r="FU97" s="38"/>
      <c r="FV97" s="38"/>
      <c r="FW97" s="38"/>
      <c r="FX97" s="38"/>
      <c r="FY97" s="38"/>
      <c r="FZ97" s="38"/>
      <c r="GA97" s="38"/>
      <c r="GB97" s="38"/>
      <c r="GC97" s="38"/>
      <c r="GD97" s="38"/>
      <c r="GE97" s="38"/>
      <c r="GF97" s="38"/>
      <c r="GG97" s="38"/>
      <c r="GH97" s="38"/>
      <c r="GI97" s="38"/>
      <c r="GJ97" s="38"/>
      <c r="GK97" s="38"/>
      <c r="GL97" s="38"/>
      <c r="GM97" s="38"/>
      <c r="GN97" s="38"/>
      <c r="GO97" s="38"/>
      <c r="GP97" s="38"/>
      <c r="GQ97" s="38"/>
      <c r="GR97" s="38"/>
      <c r="GS97" s="38"/>
      <c r="GT97" s="38"/>
      <c r="GU97" s="38"/>
      <c r="GV97" s="38"/>
      <c r="GW97" s="38"/>
      <c r="GX97" s="38"/>
      <c r="GY97" s="38"/>
      <c r="GZ97" s="38"/>
      <c r="HA97" s="38"/>
      <c r="HB97" s="38"/>
      <c r="HC97" s="38"/>
      <c r="HD97" s="38"/>
      <c r="HE97" s="38"/>
      <c r="HF97" s="38"/>
      <c r="HG97" s="38"/>
      <c r="HH97" s="38"/>
      <c r="HI97" s="38"/>
      <c r="HJ97" s="38"/>
      <c r="HK97" s="38"/>
      <c r="HL97" s="38"/>
      <c r="HM97" s="38"/>
      <c r="HN97" s="38"/>
      <c r="HO97" s="38"/>
      <c r="HP97" s="38"/>
      <c r="HQ97" s="38"/>
      <c r="HR97" s="38"/>
      <c r="HS97" s="38"/>
      <c r="HT97" s="38"/>
      <c r="HU97" s="38"/>
      <c r="HV97" s="38"/>
      <c r="HW97" s="38"/>
      <c r="HX97" s="38"/>
      <c r="HY97" s="38"/>
      <c r="HZ97" s="38"/>
      <c r="IA97" s="38"/>
      <c r="IB97" s="38"/>
      <c r="IC97" s="38"/>
      <c r="ID97" s="38"/>
      <c r="IE97" s="38"/>
      <c r="IF97" s="38"/>
      <c r="IG97" s="38"/>
      <c r="IH97" s="38"/>
      <c r="II97" s="38"/>
      <c r="IJ97" s="38"/>
      <c r="IK97" s="38"/>
      <c r="IL97" s="38"/>
      <c r="IM97" s="38"/>
      <c r="IN97" s="38"/>
      <c r="IO97" s="38"/>
      <c r="IP97" s="38"/>
      <c r="IQ97" s="38"/>
      <c r="IR97" s="38"/>
      <c r="IS97" s="38"/>
      <c r="IT97" s="38"/>
      <c r="IU97" s="38"/>
      <c r="IV97" s="38"/>
      <c r="IW97" s="38"/>
      <c r="IX97" s="38"/>
      <c r="IY97" s="38"/>
      <c r="IZ97" s="38"/>
      <c r="JA97" s="38"/>
      <c r="JB97" s="38"/>
      <c r="JC97" s="38"/>
      <c r="JD97" s="38"/>
      <c r="JE97" s="38"/>
      <c r="JF97" s="38"/>
      <c r="JG97" s="38"/>
      <c r="JH97" s="38"/>
      <c r="JI97" s="38"/>
      <c r="JJ97" s="38"/>
      <c r="JK97" s="38"/>
      <c r="JL97" s="38"/>
      <c r="JM97" s="38"/>
      <c r="JN97" s="38"/>
      <c r="JO97" s="38"/>
      <c r="JP97" s="38"/>
      <c r="JQ97" s="38"/>
      <c r="JR97" s="38"/>
      <c r="JS97" s="38"/>
      <c r="JT97" s="38"/>
      <c r="JU97" s="38"/>
      <c r="JV97" s="38"/>
      <c r="JW97" s="38"/>
      <c r="JX97" s="38"/>
      <c r="JY97" s="38"/>
      <c r="JZ97" s="38"/>
      <c r="KA97" s="38"/>
      <c r="KB97" s="38"/>
      <c r="KC97" s="38"/>
      <c r="KD97" s="38"/>
      <c r="KE97" s="38"/>
      <c r="KF97" s="38"/>
      <c r="KG97" s="38"/>
      <c r="KH97" s="38"/>
      <c r="KI97" s="38"/>
      <c r="KJ97" s="38"/>
      <c r="KK97" s="38"/>
      <c r="KL97" s="38"/>
      <c r="KM97" s="38"/>
      <c r="KN97" s="38"/>
      <c r="KO97" s="38"/>
      <c r="KP97" s="38"/>
      <c r="KQ97" s="38"/>
      <c r="KR97" s="38"/>
      <c r="KS97" s="38"/>
      <c r="KT97" s="38"/>
      <c r="KU97" s="38"/>
      <c r="KV97" s="38"/>
      <c r="KW97" s="38"/>
      <c r="KX97" s="38"/>
      <c r="KY97" s="38"/>
      <c r="KZ97" s="38"/>
      <c r="LA97" s="38"/>
      <c r="LB97" s="38"/>
      <c r="LC97" s="38"/>
      <c r="LD97" s="38"/>
      <c r="LE97" s="38"/>
      <c r="LF97" s="38"/>
      <c r="LG97" s="38"/>
      <c r="LH97" s="38"/>
      <c r="LI97" s="38"/>
      <c r="LJ97" s="38"/>
      <c r="LK97" s="38"/>
      <c r="LL97" s="38"/>
      <c r="LM97" s="38"/>
      <c r="LN97" s="38"/>
      <c r="LO97" s="38"/>
      <c r="LP97" s="38"/>
      <c r="LQ97" s="38"/>
      <c r="LR97" s="38"/>
      <c r="LS97" s="38"/>
      <c r="LT97" s="38"/>
      <c r="LU97" s="38"/>
      <c r="LV97" s="38"/>
      <c r="LW97" s="38"/>
      <c r="LX97" s="38"/>
      <c r="LY97" s="38"/>
      <c r="LZ97" s="38"/>
      <c r="MA97" s="38"/>
      <c r="MB97" s="38"/>
      <c r="MC97" s="38"/>
      <c r="MD97" s="38"/>
      <c r="ME97" s="38"/>
      <c r="MF97" s="38"/>
      <c r="MG97" s="38"/>
      <c r="MH97" s="38"/>
      <c r="MI97" s="38"/>
      <c r="MJ97" s="38"/>
      <c r="MK97" s="38"/>
      <c r="ML97" s="38"/>
      <c r="MM97" s="38"/>
      <c r="MN97" s="38"/>
      <c r="MO97" s="38"/>
      <c r="MP97" s="38"/>
      <c r="MQ97" s="38"/>
      <c r="MR97" s="38"/>
      <c r="MS97" s="38"/>
      <c r="MT97" s="38"/>
      <c r="MU97" s="38"/>
      <c r="MV97" s="38"/>
      <c r="MW97" s="38"/>
      <c r="MX97" s="38"/>
      <c r="MY97" s="38"/>
      <c r="MZ97" s="38"/>
      <c r="NA97" s="38"/>
      <c r="NB97" s="38"/>
      <c r="NC97" s="38"/>
      <c r="ND97" s="38"/>
      <c r="NE97" s="38"/>
      <c r="NF97" s="38"/>
      <c r="NG97" s="38"/>
      <c r="NH97" s="38"/>
      <c r="NI97" s="38"/>
      <c r="NJ97" s="38"/>
      <c r="NK97" s="38"/>
      <c r="NL97" s="38"/>
      <c r="NM97" s="38"/>
      <c r="NN97" s="38"/>
      <c r="NO97" s="38"/>
      <c r="NP97" s="38"/>
      <c r="NQ97" s="38"/>
      <c r="NR97" s="38"/>
      <c r="NS97" s="38"/>
      <c r="NT97" s="38"/>
      <c r="NU97" s="38"/>
      <c r="NV97" s="38"/>
      <c r="NW97" s="38"/>
      <c r="NX97" s="38"/>
      <c r="NY97" s="38"/>
      <c r="NZ97" s="38"/>
      <c r="OA97" s="38"/>
      <c r="OB97" s="38"/>
      <c r="OC97" s="38"/>
      <c r="OD97" s="38"/>
      <c r="OE97" s="38"/>
      <c r="OF97" s="38"/>
      <c r="OG97" s="38"/>
      <c r="OH97" s="38"/>
      <c r="OI97" s="38"/>
      <c r="OJ97" s="38"/>
      <c r="OK97" s="38"/>
      <c r="OL97" s="38"/>
      <c r="OM97" s="38"/>
      <c r="ON97" s="38"/>
      <c r="OO97" s="38"/>
      <c r="OP97" s="38"/>
      <c r="OQ97" s="38"/>
      <c r="OR97" s="38"/>
      <c r="OS97" s="38"/>
      <c r="OT97" s="38"/>
      <c r="OU97" s="38"/>
      <c r="OV97" s="38"/>
      <c r="OW97" s="38"/>
      <c r="OX97" s="38"/>
      <c r="OY97" s="38"/>
      <c r="OZ97" s="38"/>
      <c r="PA97" s="38"/>
      <c r="PB97" s="38"/>
      <c r="PC97" s="38"/>
      <c r="PD97" s="38"/>
      <c r="PE97" s="38"/>
      <c r="PF97" s="38"/>
      <c r="PG97" s="38"/>
      <c r="PH97" s="38"/>
      <c r="PI97" s="38"/>
      <c r="PJ97" s="38"/>
      <c r="PK97" s="38"/>
      <c r="PL97" s="38"/>
      <c r="PM97" s="38"/>
      <c r="PN97" s="38"/>
      <c r="PO97" s="38"/>
      <c r="PP97" s="38"/>
      <c r="PQ97" s="38"/>
      <c r="PR97" s="38"/>
      <c r="PS97" s="38"/>
      <c r="PT97" s="38"/>
      <c r="PU97" s="38"/>
      <c r="PV97" s="38"/>
      <c r="PW97" s="38"/>
      <c r="PX97" s="38"/>
      <c r="PY97" s="38"/>
      <c r="PZ97" s="38"/>
      <c r="QA97" s="38"/>
      <c r="QB97" s="38"/>
      <c r="QC97" s="38"/>
      <c r="QD97" s="38"/>
      <c r="QE97" s="38"/>
      <c r="QF97" s="38"/>
      <c r="QG97" s="38"/>
      <c r="QH97" s="38"/>
      <c r="QI97" s="38"/>
      <c r="QJ97" s="38"/>
      <c r="QK97" s="38"/>
      <c r="QL97" s="38"/>
      <c r="QM97" s="38"/>
      <c r="QN97" s="38"/>
      <c r="QO97" s="38"/>
      <c r="QP97" s="38"/>
      <c r="QQ97" s="38"/>
      <c r="QR97" s="38"/>
      <c r="QS97" s="38"/>
      <c r="QT97" s="38"/>
      <c r="QU97" s="38"/>
      <c r="QV97" s="38"/>
      <c r="QW97" s="38"/>
      <c r="QX97" s="38"/>
      <c r="QY97" s="38"/>
      <c r="QZ97" s="38"/>
      <c r="RA97" s="38"/>
      <c r="RB97" s="38"/>
      <c r="RC97" s="38"/>
      <c r="RD97" s="38"/>
      <c r="RE97" s="38"/>
      <c r="RF97" s="38"/>
      <c r="RG97" s="38"/>
      <c r="RH97" s="38"/>
      <c r="RI97" s="38"/>
      <c r="RJ97" s="38"/>
      <c r="RK97" s="38"/>
      <c r="RL97" s="38"/>
      <c r="RM97" s="38"/>
      <c r="RN97" s="38"/>
      <c r="RO97" s="38"/>
      <c r="RP97" s="38"/>
      <c r="RQ97" s="38"/>
      <c r="RR97" s="38"/>
      <c r="RS97" s="38"/>
      <c r="RT97" s="38"/>
      <c r="RU97" s="38"/>
      <c r="RV97" s="38"/>
      <c r="RW97" s="38"/>
      <c r="RX97" s="38"/>
      <c r="RY97" s="38"/>
      <c r="RZ97" s="38"/>
      <c r="SA97" s="38"/>
      <c r="SB97" s="38"/>
      <c r="SC97" s="38"/>
      <c r="SD97" s="38"/>
      <c r="SE97" s="38"/>
      <c r="SF97" s="38"/>
      <c r="SG97" s="38"/>
      <c r="SH97" s="38"/>
      <c r="SI97" s="38"/>
      <c r="SJ97" s="38"/>
      <c r="SK97" s="38"/>
      <c r="SL97" s="38"/>
      <c r="SM97" s="38"/>
      <c r="SN97" s="38"/>
      <c r="SO97" s="38"/>
      <c r="SP97" s="38"/>
      <c r="SQ97" s="38"/>
      <c r="SR97" s="38"/>
      <c r="SS97" s="38"/>
      <c r="ST97" s="38"/>
      <c r="SU97" s="38"/>
      <c r="SV97" s="38"/>
      <c r="SW97" s="38"/>
      <c r="SX97" s="38"/>
      <c r="SY97" s="38"/>
      <c r="SZ97" s="38"/>
      <c r="TA97" s="38"/>
      <c r="TB97" s="38"/>
      <c r="TC97" s="38"/>
      <c r="TD97" s="38"/>
      <c r="TE97" s="38"/>
      <c r="TF97" s="38"/>
      <c r="TG97" s="38"/>
      <c r="TH97" s="38"/>
      <c r="TI97" s="38"/>
      <c r="TJ97" s="38"/>
      <c r="TK97" s="38"/>
      <c r="TL97" s="38"/>
      <c r="TM97" s="38"/>
      <c r="TN97" s="38"/>
      <c r="TO97" s="38"/>
      <c r="TP97" s="38"/>
      <c r="TQ97" s="38"/>
      <c r="TR97" s="38"/>
      <c r="TS97" s="38"/>
      <c r="TT97" s="38"/>
      <c r="TU97" s="38"/>
      <c r="TV97" s="38"/>
      <c r="TW97" s="38"/>
      <c r="TX97" s="38"/>
      <c r="TY97" s="38"/>
      <c r="TZ97" s="38"/>
      <c r="UA97" s="38"/>
      <c r="UB97" s="38"/>
      <c r="UC97" s="38"/>
      <c r="UD97" s="38"/>
      <c r="UE97" s="38"/>
      <c r="UF97" s="38"/>
      <c r="UG97" s="38"/>
      <c r="UH97" s="38"/>
      <c r="UI97" s="38"/>
      <c r="UJ97" s="38"/>
      <c r="UK97" s="38"/>
      <c r="UL97" s="38"/>
      <c r="UM97" s="38"/>
      <c r="UN97" s="38"/>
      <c r="UO97" s="38"/>
      <c r="UP97" s="38"/>
      <c r="UQ97" s="38"/>
      <c r="UR97" s="38"/>
      <c r="US97" s="38"/>
      <c r="UT97" s="38"/>
      <c r="UU97" s="38"/>
      <c r="UV97" s="38"/>
      <c r="UW97" s="38"/>
      <c r="UX97" s="38"/>
      <c r="UY97" s="38"/>
      <c r="UZ97" s="38"/>
      <c r="VA97" s="38"/>
      <c r="VB97" s="38"/>
      <c r="VC97" s="38"/>
      <c r="VD97" s="38"/>
      <c r="VE97" s="38"/>
      <c r="VF97" s="38"/>
      <c r="VG97" s="38"/>
      <c r="VH97" s="38"/>
      <c r="VI97" s="38"/>
      <c r="VJ97" s="38"/>
      <c r="VK97" s="38"/>
      <c r="VL97" s="38"/>
      <c r="VM97" s="38"/>
      <c r="VN97" s="38"/>
      <c r="VO97" s="38"/>
      <c r="VP97" s="38"/>
      <c r="VQ97" s="38"/>
      <c r="VR97" s="38"/>
      <c r="VS97" s="38"/>
      <c r="VT97" s="38"/>
      <c r="VU97" s="38"/>
      <c r="VV97" s="38"/>
      <c r="VW97" s="38"/>
      <c r="VX97" s="38"/>
      <c r="VY97" s="38"/>
      <c r="VZ97" s="38"/>
      <c r="WA97" s="38"/>
      <c r="WB97" s="38"/>
      <c r="WC97" s="38"/>
      <c r="WD97" s="38"/>
      <c r="WE97" s="38"/>
      <c r="WF97" s="38"/>
      <c r="WG97" s="38"/>
      <c r="WH97" s="38"/>
      <c r="WI97" s="38"/>
      <c r="WJ97" s="38"/>
      <c r="WK97" s="38"/>
      <c r="WL97" s="38"/>
      <c r="WM97" s="38"/>
      <c r="WN97" s="38"/>
      <c r="WO97" s="38"/>
      <c r="WP97" s="38"/>
      <c r="WQ97" s="38"/>
      <c r="WR97" s="38"/>
      <c r="WS97" s="38"/>
      <c r="WT97" s="38"/>
      <c r="WU97" s="38"/>
      <c r="WV97" s="38"/>
      <c r="WW97" s="38"/>
      <c r="WX97" s="38"/>
      <c r="WY97" s="38"/>
      <c r="WZ97" s="38"/>
      <c r="XA97" s="38"/>
      <c r="XB97" s="38"/>
      <c r="XC97" s="38"/>
      <c r="XD97" s="38"/>
      <c r="XE97" s="38"/>
      <c r="XF97" s="38"/>
      <c r="XG97" s="38"/>
      <c r="XH97" s="38"/>
      <c r="XI97" s="38"/>
      <c r="XJ97" s="38"/>
      <c r="XK97" s="38"/>
      <c r="XL97" s="38"/>
      <c r="XM97" s="38"/>
      <c r="XN97" s="38"/>
      <c r="XO97" s="38"/>
      <c r="XP97" s="38"/>
      <c r="XQ97" s="38"/>
      <c r="XR97" s="38"/>
      <c r="XS97" s="38"/>
      <c r="XT97" s="38"/>
      <c r="XU97" s="38"/>
      <c r="XV97" s="38"/>
      <c r="XW97" s="38"/>
      <c r="XX97" s="38"/>
      <c r="XY97" s="38"/>
      <c r="XZ97" s="38"/>
      <c r="YA97" s="38"/>
      <c r="YB97" s="38"/>
      <c r="YC97" s="38"/>
      <c r="YD97" s="38"/>
      <c r="YE97" s="38"/>
      <c r="YF97" s="38"/>
      <c r="YG97" s="38"/>
      <c r="YH97" s="38"/>
      <c r="YI97" s="38"/>
      <c r="YJ97" s="38"/>
      <c r="YK97" s="38"/>
      <c r="YL97" s="38"/>
      <c r="YM97" s="38"/>
      <c r="YN97" s="38"/>
      <c r="YO97" s="38"/>
      <c r="YP97" s="38"/>
      <c r="YQ97" s="38"/>
      <c r="YR97" s="38"/>
      <c r="YS97" s="38"/>
      <c r="YT97" s="38"/>
      <c r="YU97" s="38"/>
      <c r="YV97" s="38"/>
      <c r="YW97" s="38"/>
      <c r="YX97" s="38"/>
      <c r="YY97" s="38"/>
      <c r="YZ97" s="38"/>
      <c r="ZA97" s="38"/>
      <c r="ZB97" s="38"/>
      <c r="ZC97" s="38"/>
      <c r="ZD97" s="38"/>
      <c r="ZE97" s="38"/>
      <c r="ZF97" s="38"/>
      <c r="ZG97" s="38"/>
      <c r="ZH97" s="38"/>
      <c r="ZI97" s="38"/>
      <c r="ZJ97" s="38"/>
      <c r="ZK97" s="38"/>
      <c r="ZL97" s="38"/>
      <c r="ZM97" s="38"/>
      <c r="ZN97" s="38"/>
      <c r="ZO97" s="38"/>
      <c r="ZP97" s="38"/>
      <c r="ZQ97" s="38"/>
      <c r="ZR97" s="38"/>
      <c r="ZS97" s="38"/>
      <c r="ZT97" s="38"/>
      <c r="ZU97" s="38"/>
      <c r="ZV97" s="38"/>
      <c r="ZW97" s="38"/>
      <c r="ZX97" s="38"/>
      <c r="ZY97" s="38"/>
      <c r="ZZ97" s="38"/>
      <c r="AAA97" s="38"/>
      <c r="AAB97" s="38"/>
      <c r="AAC97" s="38"/>
      <c r="AAD97" s="38"/>
      <c r="AAE97" s="38"/>
      <c r="AAF97" s="38"/>
      <c r="AAG97" s="38"/>
      <c r="AAH97" s="38"/>
      <c r="AAI97" s="38"/>
      <c r="AAJ97" s="38"/>
      <c r="AAK97" s="38"/>
      <c r="AAL97" s="38"/>
      <c r="AAM97" s="38"/>
      <c r="AAN97" s="38"/>
      <c r="AAO97" s="38"/>
      <c r="AAP97" s="38"/>
      <c r="AAQ97" s="38"/>
      <c r="AAR97" s="38"/>
      <c r="AAS97" s="38"/>
      <c r="AAT97" s="38"/>
      <c r="AAU97" s="38"/>
      <c r="AAV97" s="38"/>
      <c r="AAW97" s="38"/>
      <c r="AAX97" s="38"/>
      <c r="AAY97" s="38"/>
      <c r="AAZ97" s="38"/>
      <c r="ABA97" s="38"/>
      <c r="ABB97" s="38"/>
      <c r="ABC97" s="38"/>
      <c r="ABD97" s="38"/>
      <c r="ABE97" s="38"/>
      <c r="ABF97" s="38"/>
      <c r="ABG97" s="38"/>
      <c r="ABH97" s="38"/>
      <c r="ABI97" s="38"/>
      <c r="ABJ97" s="38"/>
      <c r="ABK97" s="38"/>
      <c r="ABL97" s="38"/>
      <c r="ABM97" s="38"/>
      <c r="ABN97" s="38"/>
      <c r="ABO97" s="38"/>
      <c r="ABP97" s="38"/>
      <c r="ABQ97" s="38"/>
      <c r="ABR97" s="38"/>
      <c r="ABS97" s="38"/>
      <c r="ABT97" s="38"/>
      <c r="ABU97" s="38"/>
      <c r="ABV97" s="38"/>
      <c r="ABW97" s="38"/>
      <c r="ABX97" s="38"/>
      <c r="ABY97" s="38"/>
      <c r="ABZ97" s="38"/>
      <c r="ACA97" s="38"/>
      <c r="ACB97" s="38"/>
      <c r="ACC97" s="38"/>
      <c r="ACD97" s="38"/>
      <c r="ACE97" s="38"/>
      <c r="ACF97" s="38"/>
      <c r="ACG97" s="38"/>
      <c r="ACH97" s="38"/>
      <c r="ACI97" s="38"/>
      <c r="ACJ97" s="38"/>
      <c r="ACK97" s="38"/>
      <c r="ACL97" s="38"/>
      <c r="ACM97" s="38"/>
      <c r="ACN97" s="38"/>
      <c r="ACO97" s="38"/>
      <c r="ACP97" s="38"/>
      <c r="ACQ97" s="38"/>
      <c r="ACR97" s="38"/>
      <c r="ACS97" s="38"/>
      <c r="ACT97" s="38"/>
      <c r="ACU97" s="38"/>
      <c r="ACV97" s="38"/>
      <c r="ACW97" s="38"/>
      <c r="ACX97" s="38"/>
      <c r="ACY97" s="38"/>
      <c r="ACZ97" s="38"/>
      <c r="ADA97" s="38"/>
      <c r="ADB97" s="38"/>
      <c r="ADC97" s="38"/>
      <c r="ADD97" s="38"/>
      <c r="ADE97" s="38"/>
      <c r="ADF97" s="38"/>
      <c r="ADG97" s="38"/>
      <c r="ADH97" s="38"/>
      <c r="ADI97" s="38"/>
      <c r="ADJ97" s="38"/>
      <c r="ADK97" s="38"/>
      <c r="ADL97" s="38"/>
      <c r="ADM97" s="38"/>
      <c r="ADN97" s="38"/>
      <c r="ADO97" s="38"/>
      <c r="ADP97" s="38"/>
      <c r="ADQ97" s="38"/>
      <c r="ADR97" s="38"/>
      <c r="ADS97" s="38"/>
      <c r="ADT97" s="38"/>
      <c r="ADU97" s="38"/>
      <c r="ADV97" s="38"/>
      <c r="ADW97" s="38"/>
      <c r="ADX97" s="38"/>
      <c r="ADY97" s="38"/>
      <c r="ADZ97" s="38"/>
      <c r="AEA97" s="38"/>
      <c r="AEB97" s="38"/>
      <c r="AEC97" s="38"/>
      <c r="AED97" s="38"/>
      <c r="AEE97" s="38"/>
      <c r="AEF97" s="38"/>
      <c r="AEG97" s="38"/>
      <c r="AEH97" s="38"/>
      <c r="AEI97" s="38"/>
      <c r="AEJ97" s="38"/>
      <c r="AEK97" s="38"/>
      <c r="AEL97" s="38"/>
      <c r="AEM97" s="38"/>
      <c r="AEN97" s="38"/>
      <c r="AEO97" s="38"/>
      <c r="AEP97" s="38"/>
      <c r="AEQ97" s="38"/>
      <c r="AER97" s="38"/>
      <c r="AES97" s="38"/>
      <c r="AET97" s="38"/>
      <c r="AEU97" s="38"/>
      <c r="AEV97" s="38"/>
      <c r="AEW97" s="38"/>
      <c r="AEX97" s="38"/>
      <c r="AEY97" s="38"/>
      <c r="AEZ97" s="38"/>
      <c r="AFA97" s="38"/>
      <c r="AFB97" s="38"/>
      <c r="AFC97" s="38"/>
      <c r="AFD97" s="38"/>
      <c r="AFE97" s="38"/>
      <c r="AFF97" s="38"/>
      <c r="AFG97" s="38"/>
      <c r="AFH97" s="38"/>
      <c r="AFI97" s="38"/>
      <c r="AFJ97" s="38"/>
      <c r="AFK97" s="38"/>
      <c r="AFL97" s="38"/>
      <c r="AFM97" s="38"/>
      <c r="AFN97" s="38"/>
      <c r="AFO97" s="38"/>
      <c r="AFP97" s="38"/>
      <c r="AFQ97" s="38"/>
      <c r="AFR97" s="38"/>
      <c r="AFS97" s="38"/>
      <c r="AFT97" s="38"/>
      <c r="AFU97" s="38"/>
      <c r="AFV97" s="38"/>
      <c r="AFW97" s="38"/>
      <c r="AFX97" s="38"/>
      <c r="AFY97" s="38"/>
      <c r="AFZ97" s="38"/>
      <c r="AGA97" s="38"/>
      <c r="AGB97" s="38"/>
      <c r="AGC97" s="38"/>
      <c r="AGD97" s="38"/>
      <c r="AGE97" s="38"/>
      <c r="AGF97" s="38"/>
      <c r="AGG97" s="38"/>
      <c r="AGH97" s="38"/>
      <c r="AGI97" s="38"/>
      <c r="AGJ97" s="38"/>
      <c r="AGK97" s="38"/>
      <c r="AGL97" s="38"/>
      <c r="AGM97" s="38"/>
      <c r="AGN97" s="38"/>
      <c r="AGO97" s="38"/>
      <c r="AGP97" s="38"/>
      <c r="AGQ97" s="38"/>
      <c r="AGR97" s="38"/>
      <c r="AGS97" s="38"/>
      <c r="AGT97" s="38"/>
      <c r="AGU97" s="38"/>
      <c r="AGV97" s="38"/>
      <c r="AGW97" s="38"/>
      <c r="AGX97" s="38"/>
      <c r="AGY97" s="38"/>
      <c r="AGZ97" s="38"/>
      <c r="AHA97" s="38"/>
      <c r="AHB97" s="38"/>
      <c r="AHC97" s="38"/>
      <c r="AHD97" s="38"/>
      <c r="AHE97" s="38"/>
      <c r="AHF97" s="38"/>
      <c r="AHG97" s="38"/>
      <c r="AHH97" s="38"/>
      <c r="AHI97" s="38"/>
      <c r="AHJ97" s="38"/>
      <c r="AHK97" s="38"/>
      <c r="AHL97" s="38"/>
      <c r="AHM97" s="38"/>
      <c r="AHN97" s="38"/>
      <c r="AHO97" s="38"/>
      <c r="AHP97" s="38"/>
      <c r="AHQ97" s="38"/>
      <c r="AHR97" s="38"/>
      <c r="AHS97" s="38"/>
      <c r="AHT97" s="38"/>
      <c r="AHU97" s="38"/>
      <c r="AHV97" s="38"/>
    </row>
    <row r="98" spans="1:906" s="27" customFormat="1" x14ac:dyDescent="0.35">
      <c r="A98" s="83">
        <v>93</v>
      </c>
      <c r="B98" s="110" t="s">
        <v>163</v>
      </c>
      <c r="C98" s="111" t="s">
        <v>164</v>
      </c>
      <c r="D98" s="111" t="s">
        <v>165</v>
      </c>
      <c r="E98" s="125">
        <v>23.95</v>
      </c>
      <c r="F98" s="125">
        <v>25.95</v>
      </c>
      <c r="G98" s="125">
        <v>23.95</v>
      </c>
      <c r="H98" s="125">
        <v>25.75</v>
      </c>
      <c r="I98" s="37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38"/>
      <c r="DH98" s="38"/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  <c r="EI98" s="38"/>
      <c r="EJ98" s="38"/>
      <c r="EK98" s="38"/>
      <c r="EL98" s="38"/>
      <c r="EM98" s="38"/>
      <c r="EN98" s="38"/>
      <c r="EO98" s="38"/>
      <c r="EP98" s="38"/>
      <c r="EQ98" s="38"/>
      <c r="ER98" s="38"/>
      <c r="ES98" s="38"/>
      <c r="ET98" s="38"/>
      <c r="EU98" s="38"/>
      <c r="EV98" s="38"/>
      <c r="EW98" s="38"/>
      <c r="EX98" s="38"/>
      <c r="EY98" s="38"/>
      <c r="EZ98" s="38"/>
      <c r="FA98" s="38"/>
      <c r="FB98" s="38"/>
      <c r="FC98" s="38"/>
      <c r="FD98" s="38"/>
      <c r="FE98" s="38"/>
      <c r="FF98" s="38"/>
      <c r="FG98" s="38"/>
      <c r="FH98" s="38"/>
      <c r="FI98" s="38"/>
      <c r="FJ98" s="38"/>
      <c r="FK98" s="38"/>
      <c r="FL98" s="38"/>
      <c r="FM98" s="38"/>
      <c r="FN98" s="38"/>
      <c r="FO98" s="38"/>
      <c r="FP98" s="38"/>
      <c r="FQ98" s="38"/>
      <c r="FR98" s="38"/>
      <c r="FS98" s="38"/>
      <c r="FT98" s="38"/>
      <c r="FU98" s="38"/>
      <c r="FV98" s="38"/>
      <c r="FW98" s="38"/>
      <c r="FX98" s="38"/>
      <c r="FY98" s="38"/>
      <c r="FZ98" s="38"/>
      <c r="GA98" s="38"/>
      <c r="GB98" s="38"/>
      <c r="GC98" s="38"/>
      <c r="GD98" s="38"/>
      <c r="GE98" s="38"/>
      <c r="GF98" s="38"/>
      <c r="GG98" s="38"/>
      <c r="GH98" s="38"/>
      <c r="GI98" s="38"/>
      <c r="GJ98" s="38"/>
      <c r="GK98" s="38"/>
      <c r="GL98" s="38"/>
      <c r="GM98" s="38"/>
      <c r="GN98" s="38"/>
      <c r="GO98" s="38"/>
      <c r="GP98" s="38"/>
      <c r="GQ98" s="38"/>
      <c r="GR98" s="38"/>
      <c r="GS98" s="38"/>
      <c r="GT98" s="38"/>
      <c r="GU98" s="38"/>
      <c r="GV98" s="38"/>
      <c r="GW98" s="38"/>
      <c r="GX98" s="38"/>
      <c r="GY98" s="38"/>
      <c r="GZ98" s="38"/>
      <c r="HA98" s="38"/>
      <c r="HB98" s="38"/>
      <c r="HC98" s="38"/>
      <c r="HD98" s="38"/>
      <c r="HE98" s="38"/>
      <c r="HF98" s="38"/>
      <c r="HG98" s="38"/>
      <c r="HH98" s="38"/>
      <c r="HI98" s="38"/>
      <c r="HJ98" s="38"/>
      <c r="HK98" s="38"/>
      <c r="HL98" s="38"/>
      <c r="HM98" s="38"/>
      <c r="HN98" s="38"/>
      <c r="HO98" s="38"/>
      <c r="HP98" s="38"/>
      <c r="HQ98" s="38"/>
      <c r="HR98" s="38"/>
      <c r="HS98" s="38"/>
      <c r="HT98" s="38"/>
      <c r="HU98" s="38"/>
      <c r="HV98" s="38"/>
      <c r="HW98" s="38"/>
      <c r="HX98" s="38"/>
      <c r="HY98" s="38"/>
      <c r="HZ98" s="38"/>
      <c r="IA98" s="38"/>
      <c r="IB98" s="38"/>
      <c r="IC98" s="38"/>
      <c r="ID98" s="38"/>
      <c r="IE98" s="38"/>
      <c r="IF98" s="38"/>
      <c r="IG98" s="38"/>
      <c r="IH98" s="38"/>
      <c r="II98" s="38"/>
      <c r="IJ98" s="38"/>
      <c r="IK98" s="38"/>
      <c r="IL98" s="38"/>
      <c r="IM98" s="38"/>
      <c r="IN98" s="38"/>
      <c r="IO98" s="38"/>
      <c r="IP98" s="38"/>
      <c r="IQ98" s="38"/>
      <c r="IR98" s="38"/>
      <c r="IS98" s="38"/>
      <c r="IT98" s="38"/>
      <c r="IU98" s="38"/>
      <c r="IV98" s="38"/>
      <c r="IW98" s="38"/>
      <c r="IX98" s="38"/>
      <c r="IY98" s="38"/>
      <c r="IZ98" s="38"/>
      <c r="JA98" s="38"/>
      <c r="JB98" s="38"/>
      <c r="JC98" s="38"/>
      <c r="JD98" s="38"/>
      <c r="JE98" s="38"/>
      <c r="JF98" s="38"/>
      <c r="JG98" s="38"/>
      <c r="JH98" s="38"/>
      <c r="JI98" s="38"/>
      <c r="JJ98" s="38"/>
      <c r="JK98" s="38"/>
      <c r="JL98" s="38"/>
      <c r="JM98" s="38"/>
      <c r="JN98" s="38"/>
      <c r="JO98" s="38"/>
      <c r="JP98" s="38"/>
      <c r="JQ98" s="38"/>
      <c r="JR98" s="38"/>
      <c r="JS98" s="38"/>
      <c r="JT98" s="38"/>
      <c r="JU98" s="38"/>
      <c r="JV98" s="38"/>
      <c r="JW98" s="38"/>
      <c r="JX98" s="38"/>
      <c r="JY98" s="38"/>
      <c r="JZ98" s="38"/>
      <c r="KA98" s="38"/>
      <c r="KB98" s="38"/>
      <c r="KC98" s="38"/>
      <c r="KD98" s="38"/>
      <c r="KE98" s="38"/>
      <c r="KF98" s="38"/>
      <c r="KG98" s="38"/>
      <c r="KH98" s="38"/>
      <c r="KI98" s="38"/>
      <c r="KJ98" s="38"/>
      <c r="KK98" s="38"/>
      <c r="KL98" s="38"/>
      <c r="KM98" s="38"/>
      <c r="KN98" s="38"/>
      <c r="KO98" s="38"/>
      <c r="KP98" s="38"/>
      <c r="KQ98" s="38"/>
      <c r="KR98" s="38"/>
      <c r="KS98" s="38"/>
      <c r="KT98" s="38"/>
      <c r="KU98" s="38"/>
      <c r="KV98" s="38"/>
      <c r="KW98" s="38"/>
      <c r="KX98" s="38"/>
      <c r="KY98" s="38"/>
      <c r="KZ98" s="38"/>
      <c r="LA98" s="38"/>
      <c r="LB98" s="38"/>
      <c r="LC98" s="38"/>
      <c r="LD98" s="38"/>
      <c r="LE98" s="38"/>
      <c r="LF98" s="38"/>
      <c r="LG98" s="38"/>
      <c r="LH98" s="38"/>
      <c r="LI98" s="38"/>
      <c r="LJ98" s="38"/>
      <c r="LK98" s="38"/>
      <c r="LL98" s="38"/>
      <c r="LM98" s="38"/>
      <c r="LN98" s="38"/>
      <c r="LO98" s="38"/>
      <c r="LP98" s="38"/>
      <c r="LQ98" s="38"/>
      <c r="LR98" s="38"/>
      <c r="LS98" s="38"/>
      <c r="LT98" s="38"/>
      <c r="LU98" s="38"/>
      <c r="LV98" s="38"/>
      <c r="LW98" s="38"/>
      <c r="LX98" s="38"/>
      <c r="LY98" s="38"/>
      <c r="LZ98" s="38"/>
      <c r="MA98" s="38"/>
      <c r="MB98" s="38"/>
      <c r="MC98" s="38"/>
      <c r="MD98" s="38"/>
      <c r="ME98" s="38"/>
      <c r="MF98" s="38"/>
      <c r="MG98" s="38"/>
      <c r="MH98" s="38"/>
      <c r="MI98" s="38"/>
      <c r="MJ98" s="38"/>
      <c r="MK98" s="38"/>
      <c r="ML98" s="38"/>
      <c r="MM98" s="38"/>
      <c r="MN98" s="38"/>
      <c r="MO98" s="38"/>
      <c r="MP98" s="38"/>
      <c r="MQ98" s="38"/>
      <c r="MR98" s="38"/>
      <c r="MS98" s="38"/>
      <c r="MT98" s="38"/>
      <c r="MU98" s="38"/>
      <c r="MV98" s="38"/>
      <c r="MW98" s="38"/>
      <c r="MX98" s="38"/>
      <c r="MY98" s="38"/>
      <c r="MZ98" s="38"/>
      <c r="NA98" s="38"/>
      <c r="NB98" s="38"/>
      <c r="NC98" s="38"/>
      <c r="ND98" s="38"/>
      <c r="NE98" s="38"/>
      <c r="NF98" s="38"/>
      <c r="NG98" s="38"/>
      <c r="NH98" s="38"/>
      <c r="NI98" s="38"/>
      <c r="NJ98" s="38"/>
      <c r="NK98" s="38"/>
      <c r="NL98" s="38"/>
      <c r="NM98" s="38"/>
      <c r="NN98" s="38"/>
      <c r="NO98" s="38"/>
      <c r="NP98" s="38"/>
      <c r="NQ98" s="38"/>
      <c r="NR98" s="38"/>
      <c r="NS98" s="38"/>
      <c r="NT98" s="38"/>
      <c r="NU98" s="38"/>
      <c r="NV98" s="38"/>
      <c r="NW98" s="38"/>
      <c r="NX98" s="38"/>
      <c r="NY98" s="38"/>
      <c r="NZ98" s="38"/>
      <c r="OA98" s="38"/>
      <c r="OB98" s="38"/>
      <c r="OC98" s="38"/>
      <c r="OD98" s="38"/>
      <c r="OE98" s="38"/>
      <c r="OF98" s="38"/>
      <c r="OG98" s="38"/>
      <c r="OH98" s="38"/>
      <c r="OI98" s="38"/>
      <c r="OJ98" s="38"/>
      <c r="OK98" s="38"/>
      <c r="OL98" s="38"/>
      <c r="OM98" s="38"/>
      <c r="ON98" s="38"/>
      <c r="OO98" s="38"/>
      <c r="OP98" s="38"/>
      <c r="OQ98" s="38"/>
      <c r="OR98" s="38"/>
      <c r="OS98" s="38"/>
      <c r="OT98" s="38"/>
      <c r="OU98" s="38"/>
      <c r="OV98" s="38"/>
      <c r="OW98" s="38"/>
      <c r="OX98" s="38"/>
      <c r="OY98" s="38"/>
      <c r="OZ98" s="38"/>
      <c r="PA98" s="38"/>
      <c r="PB98" s="38"/>
      <c r="PC98" s="38"/>
      <c r="PD98" s="38"/>
      <c r="PE98" s="38"/>
      <c r="PF98" s="38"/>
      <c r="PG98" s="38"/>
      <c r="PH98" s="38"/>
      <c r="PI98" s="38"/>
      <c r="PJ98" s="38"/>
      <c r="PK98" s="38"/>
      <c r="PL98" s="38"/>
      <c r="PM98" s="38"/>
      <c r="PN98" s="38"/>
      <c r="PO98" s="38"/>
      <c r="PP98" s="38"/>
      <c r="PQ98" s="38"/>
      <c r="PR98" s="38"/>
      <c r="PS98" s="38"/>
      <c r="PT98" s="38"/>
      <c r="PU98" s="38"/>
      <c r="PV98" s="38"/>
      <c r="PW98" s="38"/>
      <c r="PX98" s="38"/>
      <c r="PY98" s="38"/>
      <c r="PZ98" s="38"/>
      <c r="QA98" s="38"/>
      <c r="QB98" s="38"/>
      <c r="QC98" s="38"/>
      <c r="QD98" s="38"/>
      <c r="QE98" s="38"/>
      <c r="QF98" s="38"/>
      <c r="QG98" s="38"/>
      <c r="QH98" s="38"/>
      <c r="QI98" s="38"/>
      <c r="QJ98" s="38"/>
      <c r="QK98" s="38"/>
      <c r="QL98" s="38"/>
      <c r="QM98" s="38"/>
      <c r="QN98" s="38"/>
      <c r="QO98" s="38"/>
      <c r="QP98" s="38"/>
      <c r="QQ98" s="38"/>
      <c r="QR98" s="38"/>
      <c r="QS98" s="38"/>
      <c r="QT98" s="38"/>
      <c r="QU98" s="38"/>
      <c r="QV98" s="38"/>
      <c r="QW98" s="38"/>
      <c r="QX98" s="38"/>
      <c r="QY98" s="38"/>
      <c r="QZ98" s="38"/>
      <c r="RA98" s="38"/>
      <c r="RB98" s="38"/>
      <c r="RC98" s="38"/>
      <c r="RD98" s="38"/>
      <c r="RE98" s="38"/>
      <c r="RF98" s="38"/>
      <c r="RG98" s="38"/>
      <c r="RH98" s="38"/>
      <c r="RI98" s="38"/>
      <c r="RJ98" s="38"/>
      <c r="RK98" s="38"/>
      <c r="RL98" s="38"/>
      <c r="RM98" s="38"/>
      <c r="RN98" s="38"/>
      <c r="RO98" s="38"/>
      <c r="RP98" s="38"/>
      <c r="RQ98" s="38"/>
      <c r="RR98" s="38"/>
      <c r="RS98" s="38"/>
      <c r="RT98" s="38"/>
      <c r="RU98" s="38"/>
      <c r="RV98" s="38"/>
      <c r="RW98" s="38"/>
      <c r="RX98" s="38"/>
      <c r="RY98" s="38"/>
      <c r="RZ98" s="38"/>
      <c r="SA98" s="38"/>
      <c r="SB98" s="38"/>
      <c r="SC98" s="38"/>
      <c r="SD98" s="38"/>
      <c r="SE98" s="38"/>
      <c r="SF98" s="38"/>
      <c r="SG98" s="38"/>
      <c r="SH98" s="38"/>
      <c r="SI98" s="38"/>
      <c r="SJ98" s="38"/>
      <c r="SK98" s="38"/>
      <c r="SL98" s="38"/>
      <c r="SM98" s="38"/>
      <c r="SN98" s="38"/>
      <c r="SO98" s="38"/>
      <c r="SP98" s="38"/>
      <c r="SQ98" s="38"/>
      <c r="SR98" s="38"/>
      <c r="SS98" s="38"/>
      <c r="ST98" s="38"/>
      <c r="SU98" s="38"/>
      <c r="SV98" s="38"/>
      <c r="SW98" s="38"/>
      <c r="SX98" s="38"/>
      <c r="SY98" s="38"/>
      <c r="SZ98" s="38"/>
      <c r="TA98" s="38"/>
      <c r="TB98" s="38"/>
      <c r="TC98" s="38"/>
      <c r="TD98" s="38"/>
      <c r="TE98" s="38"/>
      <c r="TF98" s="38"/>
      <c r="TG98" s="38"/>
      <c r="TH98" s="38"/>
      <c r="TI98" s="38"/>
      <c r="TJ98" s="38"/>
      <c r="TK98" s="38"/>
      <c r="TL98" s="38"/>
      <c r="TM98" s="38"/>
      <c r="TN98" s="38"/>
      <c r="TO98" s="38"/>
      <c r="TP98" s="38"/>
      <c r="TQ98" s="38"/>
      <c r="TR98" s="38"/>
      <c r="TS98" s="38"/>
      <c r="TT98" s="38"/>
      <c r="TU98" s="38"/>
      <c r="TV98" s="38"/>
      <c r="TW98" s="38"/>
      <c r="TX98" s="38"/>
      <c r="TY98" s="38"/>
      <c r="TZ98" s="38"/>
      <c r="UA98" s="38"/>
      <c r="UB98" s="38"/>
      <c r="UC98" s="38"/>
      <c r="UD98" s="38"/>
      <c r="UE98" s="38"/>
      <c r="UF98" s="38"/>
      <c r="UG98" s="38"/>
      <c r="UH98" s="38"/>
      <c r="UI98" s="38"/>
      <c r="UJ98" s="38"/>
      <c r="UK98" s="38"/>
      <c r="UL98" s="38"/>
      <c r="UM98" s="38"/>
      <c r="UN98" s="38"/>
      <c r="UO98" s="38"/>
      <c r="UP98" s="38"/>
      <c r="UQ98" s="38"/>
      <c r="UR98" s="38"/>
      <c r="US98" s="38"/>
      <c r="UT98" s="38"/>
      <c r="UU98" s="38"/>
      <c r="UV98" s="38"/>
      <c r="UW98" s="38"/>
      <c r="UX98" s="38"/>
      <c r="UY98" s="38"/>
      <c r="UZ98" s="38"/>
      <c r="VA98" s="38"/>
      <c r="VB98" s="38"/>
      <c r="VC98" s="38"/>
      <c r="VD98" s="38"/>
      <c r="VE98" s="38"/>
      <c r="VF98" s="38"/>
      <c r="VG98" s="38"/>
      <c r="VH98" s="38"/>
      <c r="VI98" s="38"/>
      <c r="VJ98" s="38"/>
      <c r="VK98" s="38"/>
      <c r="VL98" s="38"/>
      <c r="VM98" s="38"/>
      <c r="VN98" s="38"/>
      <c r="VO98" s="38"/>
      <c r="VP98" s="38"/>
      <c r="VQ98" s="38"/>
      <c r="VR98" s="38"/>
      <c r="VS98" s="38"/>
      <c r="VT98" s="38"/>
      <c r="VU98" s="38"/>
      <c r="VV98" s="38"/>
      <c r="VW98" s="38"/>
      <c r="VX98" s="38"/>
      <c r="VY98" s="38"/>
      <c r="VZ98" s="38"/>
      <c r="WA98" s="38"/>
      <c r="WB98" s="38"/>
      <c r="WC98" s="38"/>
      <c r="WD98" s="38"/>
      <c r="WE98" s="38"/>
      <c r="WF98" s="38"/>
      <c r="WG98" s="38"/>
      <c r="WH98" s="38"/>
      <c r="WI98" s="38"/>
      <c r="WJ98" s="38"/>
      <c r="WK98" s="38"/>
      <c r="WL98" s="38"/>
      <c r="WM98" s="38"/>
      <c r="WN98" s="38"/>
      <c r="WO98" s="38"/>
      <c r="WP98" s="38"/>
      <c r="WQ98" s="38"/>
      <c r="WR98" s="38"/>
      <c r="WS98" s="38"/>
      <c r="WT98" s="38"/>
      <c r="WU98" s="38"/>
      <c r="WV98" s="38"/>
      <c r="WW98" s="38"/>
      <c r="WX98" s="38"/>
      <c r="WY98" s="38"/>
      <c r="WZ98" s="38"/>
      <c r="XA98" s="38"/>
      <c r="XB98" s="38"/>
      <c r="XC98" s="38"/>
      <c r="XD98" s="38"/>
      <c r="XE98" s="38"/>
      <c r="XF98" s="38"/>
      <c r="XG98" s="38"/>
      <c r="XH98" s="38"/>
      <c r="XI98" s="38"/>
      <c r="XJ98" s="38"/>
      <c r="XK98" s="38"/>
      <c r="XL98" s="38"/>
      <c r="XM98" s="38"/>
      <c r="XN98" s="38"/>
      <c r="XO98" s="38"/>
      <c r="XP98" s="38"/>
      <c r="XQ98" s="38"/>
      <c r="XR98" s="38"/>
      <c r="XS98" s="38"/>
      <c r="XT98" s="38"/>
      <c r="XU98" s="38"/>
      <c r="XV98" s="38"/>
      <c r="XW98" s="38"/>
      <c r="XX98" s="38"/>
      <c r="XY98" s="38"/>
      <c r="XZ98" s="38"/>
      <c r="YA98" s="38"/>
      <c r="YB98" s="38"/>
      <c r="YC98" s="38"/>
      <c r="YD98" s="38"/>
      <c r="YE98" s="38"/>
      <c r="YF98" s="38"/>
      <c r="YG98" s="38"/>
      <c r="YH98" s="38"/>
      <c r="YI98" s="38"/>
      <c r="YJ98" s="38"/>
      <c r="YK98" s="38"/>
      <c r="YL98" s="38"/>
      <c r="YM98" s="38"/>
      <c r="YN98" s="38"/>
      <c r="YO98" s="38"/>
      <c r="YP98" s="38"/>
      <c r="YQ98" s="38"/>
      <c r="YR98" s="38"/>
      <c r="YS98" s="38"/>
      <c r="YT98" s="38"/>
      <c r="YU98" s="38"/>
      <c r="YV98" s="38"/>
      <c r="YW98" s="38"/>
      <c r="YX98" s="38"/>
      <c r="YY98" s="38"/>
      <c r="YZ98" s="38"/>
      <c r="ZA98" s="38"/>
      <c r="ZB98" s="38"/>
      <c r="ZC98" s="38"/>
      <c r="ZD98" s="38"/>
      <c r="ZE98" s="38"/>
      <c r="ZF98" s="38"/>
      <c r="ZG98" s="38"/>
      <c r="ZH98" s="38"/>
      <c r="ZI98" s="38"/>
      <c r="ZJ98" s="38"/>
      <c r="ZK98" s="38"/>
      <c r="ZL98" s="38"/>
      <c r="ZM98" s="38"/>
      <c r="ZN98" s="38"/>
      <c r="ZO98" s="38"/>
      <c r="ZP98" s="38"/>
      <c r="ZQ98" s="38"/>
      <c r="ZR98" s="38"/>
      <c r="ZS98" s="38"/>
      <c r="ZT98" s="38"/>
      <c r="ZU98" s="38"/>
      <c r="ZV98" s="38"/>
      <c r="ZW98" s="38"/>
      <c r="ZX98" s="38"/>
      <c r="ZY98" s="38"/>
      <c r="ZZ98" s="38"/>
      <c r="AAA98" s="38"/>
      <c r="AAB98" s="38"/>
      <c r="AAC98" s="38"/>
      <c r="AAD98" s="38"/>
      <c r="AAE98" s="38"/>
      <c r="AAF98" s="38"/>
      <c r="AAG98" s="38"/>
      <c r="AAH98" s="38"/>
      <c r="AAI98" s="38"/>
      <c r="AAJ98" s="38"/>
      <c r="AAK98" s="38"/>
      <c r="AAL98" s="38"/>
      <c r="AAM98" s="38"/>
      <c r="AAN98" s="38"/>
      <c r="AAO98" s="38"/>
      <c r="AAP98" s="38"/>
      <c r="AAQ98" s="38"/>
      <c r="AAR98" s="38"/>
      <c r="AAS98" s="38"/>
      <c r="AAT98" s="38"/>
      <c r="AAU98" s="38"/>
      <c r="AAV98" s="38"/>
      <c r="AAW98" s="38"/>
      <c r="AAX98" s="38"/>
      <c r="AAY98" s="38"/>
      <c r="AAZ98" s="38"/>
      <c r="ABA98" s="38"/>
      <c r="ABB98" s="38"/>
      <c r="ABC98" s="38"/>
      <c r="ABD98" s="38"/>
      <c r="ABE98" s="38"/>
      <c r="ABF98" s="38"/>
      <c r="ABG98" s="38"/>
      <c r="ABH98" s="38"/>
      <c r="ABI98" s="38"/>
      <c r="ABJ98" s="38"/>
      <c r="ABK98" s="38"/>
      <c r="ABL98" s="38"/>
      <c r="ABM98" s="38"/>
      <c r="ABN98" s="38"/>
      <c r="ABO98" s="38"/>
      <c r="ABP98" s="38"/>
      <c r="ABQ98" s="38"/>
      <c r="ABR98" s="38"/>
      <c r="ABS98" s="38"/>
      <c r="ABT98" s="38"/>
      <c r="ABU98" s="38"/>
      <c r="ABV98" s="38"/>
      <c r="ABW98" s="38"/>
      <c r="ABX98" s="38"/>
      <c r="ABY98" s="38"/>
      <c r="ABZ98" s="38"/>
      <c r="ACA98" s="38"/>
      <c r="ACB98" s="38"/>
      <c r="ACC98" s="38"/>
      <c r="ACD98" s="38"/>
      <c r="ACE98" s="38"/>
      <c r="ACF98" s="38"/>
      <c r="ACG98" s="38"/>
      <c r="ACH98" s="38"/>
      <c r="ACI98" s="38"/>
      <c r="ACJ98" s="38"/>
      <c r="ACK98" s="38"/>
      <c r="ACL98" s="38"/>
      <c r="ACM98" s="38"/>
      <c r="ACN98" s="38"/>
      <c r="ACO98" s="38"/>
      <c r="ACP98" s="38"/>
      <c r="ACQ98" s="38"/>
      <c r="ACR98" s="38"/>
      <c r="ACS98" s="38"/>
      <c r="ACT98" s="38"/>
      <c r="ACU98" s="38"/>
      <c r="ACV98" s="38"/>
      <c r="ACW98" s="38"/>
      <c r="ACX98" s="38"/>
      <c r="ACY98" s="38"/>
      <c r="ACZ98" s="38"/>
      <c r="ADA98" s="38"/>
      <c r="ADB98" s="38"/>
      <c r="ADC98" s="38"/>
      <c r="ADD98" s="38"/>
      <c r="ADE98" s="38"/>
      <c r="ADF98" s="38"/>
      <c r="ADG98" s="38"/>
      <c r="ADH98" s="38"/>
      <c r="ADI98" s="38"/>
      <c r="ADJ98" s="38"/>
      <c r="ADK98" s="38"/>
      <c r="ADL98" s="38"/>
      <c r="ADM98" s="38"/>
      <c r="ADN98" s="38"/>
      <c r="ADO98" s="38"/>
      <c r="ADP98" s="38"/>
      <c r="ADQ98" s="38"/>
      <c r="ADR98" s="38"/>
      <c r="ADS98" s="38"/>
      <c r="ADT98" s="38"/>
      <c r="ADU98" s="38"/>
      <c r="ADV98" s="38"/>
      <c r="ADW98" s="38"/>
      <c r="ADX98" s="38"/>
      <c r="ADY98" s="38"/>
      <c r="ADZ98" s="38"/>
      <c r="AEA98" s="38"/>
      <c r="AEB98" s="38"/>
      <c r="AEC98" s="38"/>
      <c r="AED98" s="38"/>
      <c r="AEE98" s="38"/>
      <c r="AEF98" s="38"/>
      <c r="AEG98" s="38"/>
      <c r="AEH98" s="38"/>
      <c r="AEI98" s="38"/>
      <c r="AEJ98" s="38"/>
      <c r="AEK98" s="38"/>
      <c r="AEL98" s="38"/>
      <c r="AEM98" s="38"/>
      <c r="AEN98" s="38"/>
      <c r="AEO98" s="38"/>
      <c r="AEP98" s="38"/>
      <c r="AEQ98" s="38"/>
      <c r="AER98" s="38"/>
      <c r="AES98" s="38"/>
      <c r="AET98" s="38"/>
      <c r="AEU98" s="38"/>
      <c r="AEV98" s="38"/>
      <c r="AEW98" s="38"/>
      <c r="AEX98" s="38"/>
      <c r="AEY98" s="38"/>
      <c r="AEZ98" s="38"/>
      <c r="AFA98" s="38"/>
      <c r="AFB98" s="38"/>
      <c r="AFC98" s="38"/>
      <c r="AFD98" s="38"/>
      <c r="AFE98" s="38"/>
      <c r="AFF98" s="38"/>
      <c r="AFG98" s="38"/>
      <c r="AFH98" s="38"/>
      <c r="AFI98" s="38"/>
      <c r="AFJ98" s="38"/>
      <c r="AFK98" s="38"/>
      <c r="AFL98" s="38"/>
      <c r="AFM98" s="38"/>
      <c r="AFN98" s="38"/>
      <c r="AFO98" s="38"/>
      <c r="AFP98" s="38"/>
      <c r="AFQ98" s="38"/>
      <c r="AFR98" s="38"/>
      <c r="AFS98" s="38"/>
      <c r="AFT98" s="38"/>
      <c r="AFU98" s="38"/>
      <c r="AFV98" s="38"/>
      <c r="AFW98" s="38"/>
      <c r="AFX98" s="38"/>
      <c r="AFY98" s="38"/>
      <c r="AFZ98" s="38"/>
      <c r="AGA98" s="38"/>
      <c r="AGB98" s="38"/>
      <c r="AGC98" s="38"/>
      <c r="AGD98" s="38"/>
      <c r="AGE98" s="38"/>
      <c r="AGF98" s="38"/>
      <c r="AGG98" s="38"/>
      <c r="AGH98" s="38"/>
      <c r="AGI98" s="38"/>
      <c r="AGJ98" s="38"/>
      <c r="AGK98" s="38"/>
      <c r="AGL98" s="38"/>
      <c r="AGM98" s="38"/>
      <c r="AGN98" s="38"/>
      <c r="AGO98" s="38"/>
      <c r="AGP98" s="38"/>
      <c r="AGQ98" s="38"/>
      <c r="AGR98" s="38"/>
      <c r="AGS98" s="38"/>
      <c r="AGT98" s="38"/>
      <c r="AGU98" s="38"/>
      <c r="AGV98" s="38"/>
      <c r="AGW98" s="38"/>
      <c r="AGX98" s="38"/>
      <c r="AGY98" s="38"/>
      <c r="AGZ98" s="38"/>
      <c r="AHA98" s="38"/>
      <c r="AHB98" s="38"/>
      <c r="AHC98" s="38"/>
      <c r="AHD98" s="38"/>
      <c r="AHE98" s="38"/>
      <c r="AHF98" s="38"/>
      <c r="AHG98" s="38"/>
      <c r="AHH98" s="38"/>
      <c r="AHI98" s="38"/>
      <c r="AHJ98" s="38"/>
      <c r="AHK98" s="38"/>
      <c r="AHL98" s="38"/>
      <c r="AHM98" s="38"/>
      <c r="AHN98" s="38"/>
      <c r="AHO98" s="38"/>
      <c r="AHP98" s="38"/>
      <c r="AHQ98" s="38"/>
      <c r="AHR98" s="38"/>
      <c r="AHS98" s="38"/>
      <c r="AHT98" s="38"/>
      <c r="AHU98" s="38"/>
      <c r="AHV98" s="38"/>
    </row>
    <row r="99" spans="1:906" s="27" customFormat="1" x14ac:dyDescent="0.35">
      <c r="A99" s="83">
        <v>94</v>
      </c>
      <c r="B99" s="108" t="s">
        <v>166</v>
      </c>
      <c r="C99" s="109"/>
      <c r="D99" s="109" t="s">
        <v>59</v>
      </c>
      <c r="E99" s="125">
        <v>50.99</v>
      </c>
      <c r="F99" s="125">
        <v>44.95</v>
      </c>
      <c r="G99" s="142">
        <v>22.25</v>
      </c>
      <c r="H99" s="125">
        <v>51.75</v>
      </c>
      <c r="I99" s="37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38"/>
      <c r="DH99" s="38"/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  <c r="EI99" s="38"/>
      <c r="EJ99" s="38"/>
      <c r="EK99" s="38"/>
      <c r="EL99" s="38"/>
      <c r="EM99" s="38"/>
      <c r="EN99" s="38"/>
      <c r="EO99" s="38"/>
      <c r="EP99" s="38"/>
      <c r="EQ99" s="38"/>
      <c r="ER99" s="38"/>
      <c r="ES99" s="38"/>
      <c r="ET99" s="38"/>
      <c r="EU99" s="38"/>
      <c r="EV99" s="38"/>
      <c r="EW99" s="38"/>
      <c r="EX99" s="38"/>
      <c r="EY99" s="38"/>
      <c r="EZ99" s="38"/>
      <c r="FA99" s="38"/>
      <c r="FB99" s="38"/>
      <c r="FC99" s="38"/>
      <c r="FD99" s="38"/>
      <c r="FE99" s="38"/>
      <c r="FF99" s="38"/>
      <c r="FG99" s="38"/>
      <c r="FH99" s="38"/>
      <c r="FI99" s="38"/>
      <c r="FJ99" s="38"/>
      <c r="FK99" s="38"/>
      <c r="FL99" s="38"/>
      <c r="FM99" s="38"/>
      <c r="FN99" s="38"/>
      <c r="FO99" s="38"/>
      <c r="FP99" s="38"/>
      <c r="FQ99" s="38"/>
      <c r="FR99" s="38"/>
      <c r="FS99" s="38"/>
      <c r="FT99" s="38"/>
      <c r="FU99" s="38"/>
      <c r="FV99" s="38"/>
      <c r="FW99" s="38"/>
      <c r="FX99" s="38"/>
      <c r="FY99" s="38"/>
      <c r="FZ99" s="38"/>
      <c r="GA99" s="38"/>
      <c r="GB99" s="38"/>
      <c r="GC99" s="38"/>
      <c r="GD99" s="38"/>
      <c r="GE99" s="38"/>
      <c r="GF99" s="38"/>
      <c r="GG99" s="38"/>
      <c r="GH99" s="38"/>
      <c r="GI99" s="38"/>
      <c r="GJ99" s="38"/>
      <c r="GK99" s="38"/>
      <c r="GL99" s="38"/>
      <c r="GM99" s="38"/>
      <c r="GN99" s="38"/>
      <c r="GO99" s="38"/>
      <c r="GP99" s="38"/>
      <c r="GQ99" s="38"/>
      <c r="GR99" s="38"/>
      <c r="GS99" s="38"/>
      <c r="GT99" s="38"/>
      <c r="GU99" s="38"/>
      <c r="GV99" s="38"/>
      <c r="GW99" s="38"/>
      <c r="GX99" s="38"/>
      <c r="GY99" s="38"/>
      <c r="GZ99" s="38"/>
      <c r="HA99" s="38"/>
      <c r="HB99" s="38"/>
      <c r="HC99" s="38"/>
      <c r="HD99" s="38"/>
      <c r="HE99" s="38"/>
      <c r="HF99" s="38"/>
      <c r="HG99" s="38"/>
      <c r="HH99" s="38"/>
      <c r="HI99" s="38"/>
      <c r="HJ99" s="38"/>
      <c r="HK99" s="38"/>
      <c r="HL99" s="38"/>
      <c r="HM99" s="38"/>
      <c r="HN99" s="38"/>
      <c r="HO99" s="38"/>
      <c r="HP99" s="38"/>
      <c r="HQ99" s="38"/>
      <c r="HR99" s="38"/>
      <c r="HS99" s="38"/>
      <c r="HT99" s="38"/>
      <c r="HU99" s="38"/>
      <c r="HV99" s="38"/>
      <c r="HW99" s="38"/>
      <c r="HX99" s="38"/>
      <c r="HY99" s="38"/>
      <c r="HZ99" s="38"/>
      <c r="IA99" s="38"/>
      <c r="IB99" s="38"/>
      <c r="IC99" s="38"/>
      <c r="ID99" s="38"/>
      <c r="IE99" s="38"/>
      <c r="IF99" s="38"/>
      <c r="IG99" s="38"/>
      <c r="IH99" s="38"/>
      <c r="II99" s="38"/>
      <c r="IJ99" s="38"/>
      <c r="IK99" s="38"/>
      <c r="IL99" s="38"/>
      <c r="IM99" s="38"/>
      <c r="IN99" s="38"/>
      <c r="IO99" s="38"/>
      <c r="IP99" s="38"/>
      <c r="IQ99" s="38"/>
      <c r="IR99" s="38"/>
      <c r="IS99" s="38"/>
      <c r="IT99" s="38"/>
      <c r="IU99" s="38"/>
      <c r="IV99" s="38"/>
      <c r="IW99" s="38"/>
      <c r="IX99" s="38"/>
      <c r="IY99" s="38"/>
      <c r="IZ99" s="38"/>
      <c r="JA99" s="38"/>
      <c r="JB99" s="38"/>
      <c r="JC99" s="38"/>
      <c r="JD99" s="38"/>
      <c r="JE99" s="38"/>
      <c r="JF99" s="38"/>
      <c r="JG99" s="38"/>
      <c r="JH99" s="38"/>
      <c r="JI99" s="38"/>
      <c r="JJ99" s="38"/>
      <c r="JK99" s="38"/>
      <c r="JL99" s="38"/>
      <c r="JM99" s="38"/>
      <c r="JN99" s="38"/>
      <c r="JO99" s="38"/>
      <c r="JP99" s="38"/>
      <c r="JQ99" s="38"/>
      <c r="JR99" s="38"/>
      <c r="JS99" s="38"/>
      <c r="JT99" s="38"/>
      <c r="JU99" s="38"/>
      <c r="JV99" s="38"/>
      <c r="JW99" s="38"/>
      <c r="JX99" s="38"/>
      <c r="JY99" s="38"/>
      <c r="JZ99" s="38"/>
      <c r="KA99" s="38"/>
      <c r="KB99" s="38"/>
      <c r="KC99" s="38"/>
      <c r="KD99" s="38"/>
      <c r="KE99" s="38"/>
      <c r="KF99" s="38"/>
      <c r="KG99" s="38"/>
      <c r="KH99" s="38"/>
      <c r="KI99" s="38"/>
      <c r="KJ99" s="38"/>
      <c r="KK99" s="38"/>
      <c r="KL99" s="38"/>
      <c r="KM99" s="38"/>
      <c r="KN99" s="38"/>
      <c r="KO99" s="38"/>
      <c r="KP99" s="38"/>
      <c r="KQ99" s="38"/>
      <c r="KR99" s="38"/>
      <c r="KS99" s="38"/>
      <c r="KT99" s="38"/>
      <c r="KU99" s="38"/>
      <c r="KV99" s="38"/>
      <c r="KW99" s="38"/>
      <c r="KX99" s="38"/>
      <c r="KY99" s="38"/>
      <c r="KZ99" s="38"/>
      <c r="LA99" s="38"/>
      <c r="LB99" s="38"/>
      <c r="LC99" s="38"/>
      <c r="LD99" s="38"/>
      <c r="LE99" s="38"/>
      <c r="LF99" s="38"/>
      <c r="LG99" s="38"/>
      <c r="LH99" s="38"/>
      <c r="LI99" s="38"/>
      <c r="LJ99" s="38"/>
      <c r="LK99" s="38"/>
      <c r="LL99" s="38"/>
      <c r="LM99" s="38"/>
      <c r="LN99" s="38"/>
      <c r="LO99" s="38"/>
      <c r="LP99" s="38"/>
      <c r="LQ99" s="38"/>
      <c r="LR99" s="38"/>
      <c r="LS99" s="38"/>
      <c r="LT99" s="38"/>
      <c r="LU99" s="38"/>
      <c r="LV99" s="38"/>
      <c r="LW99" s="38"/>
      <c r="LX99" s="38"/>
      <c r="LY99" s="38"/>
      <c r="LZ99" s="38"/>
      <c r="MA99" s="38"/>
      <c r="MB99" s="38"/>
      <c r="MC99" s="38"/>
      <c r="MD99" s="38"/>
      <c r="ME99" s="38"/>
      <c r="MF99" s="38"/>
      <c r="MG99" s="38"/>
      <c r="MH99" s="38"/>
      <c r="MI99" s="38"/>
      <c r="MJ99" s="38"/>
      <c r="MK99" s="38"/>
      <c r="ML99" s="38"/>
      <c r="MM99" s="38"/>
      <c r="MN99" s="38"/>
      <c r="MO99" s="38"/>
      <c r="MP99" s="38"/>
      <c r="MQ99" s="38"/>
      <c r="MR99" s="38"/>
      <c r="MS99" s="38"/>
      <c r="MT99" s="38"/>
      <c r="MU99" s="38"/>
      <c r="MV99" s="38"/>
      <c r="MW99" s="38"/>
      <c r="MX99" s="38"/>
      <c r="MY99" s="38"/>
      <c r="MZ99" s="38"/>
      <c r="NA99" s="38"/>
      <c r="NB99" s="38"/>
      <c r="NC99" s="38"/>
      <c r="ND99" s="38"/>
      <c r="NE99" s="38"/>
      <c r="NF99" s="38"/>
      <c r="NG99" s="38"/>
      <c r="NH99" s="38"/>
      <c r="NI99" s="38"/>
      <c r="NJ99" s="38"/>
      <c r="NK99" s="38"/>
      <c r="NL99" s="38"/>
      <c r="NM99" s="38"/>
      <c r="NN99" s="38"/>
      <c r="NO99" s="38"/>
      <c r="NP99" s="38"/>
      <c r="NQ99" s="38"/>
      <c r="NR99" s="38"/>
      <c r="NS99" s="38"/>
      <c r="NT99" s="38"/>
      <c r="NU99" s="38"/>
      <c r="NV99" s="38"/>
      <c r="NW99" s="38"/>
      <c r="NX99" s="38"/>
      <c r="NY99" s="38"/>
      <c r="NZ99" s="38"/>
      <c r="OA99" s="38"/>
      <c r="OB99" s="38"/>
      <c r="OC99" s="38"/>
      <c r="OD99" s="38"/>
      <c r="OE99" s="38"/>
      <c r="OF99" s="38"/>
      <c r="OG99" s="38"/>
      <c r="OH99" s="38"/>
      <c r="OI99" s="38"/>
      <c r="OJ99" s="38"/>
      <c r="OK99" s="38"/>
      <c r="OL99" s="38"/>
      <c r="OM99" s="38"/>
      <c r="ON99" s="38"/>
      <c r="OO99" s="38"/>
      <c r="OP99" s="38"/>
      <c r="OQ99" s="38"/>
      <c r="OR99" s="38"/>
      <c r="OS99" s="38"/>
      <c r="OT99" s="38"/>
      <c r="OU99" s="38"/>
      <c r="OV99" s="38"/>
      <c r="OW99" s="38"/>
      <c r="OX99" s="38"/>
      <c r="OY99" s="38"/>
      <c r="OZ99" s="38"/>
      <c r="PA99" s="38"/>
      <c r="PB99" s="38"/>
      <c r="PC99" s="38"/>
      <c r="PD99" s="38"/>
      <c r="PE99" s="38"/>
      <c r="PF99" s="38"/>
      <c r="PG99" s="38"/>
      <c r="PH99" s="38"/>
      <c r="PI99" s="38"/>
      <c r="PJ99" s="38"/>
      <c r="PK99" s="38"/>
      <c r="PL99" s="38"/>
      <c r="PM99" s="38"/>
      <c r="PN99" s="38"/>
      <c r="PO99" s="38"/>
      <c r="PP99" s="38"/>
      <c r="PQ99" s="38"/>
      <c r="PR99" s="38"/>
      <c r="PS99" s="38"/>
      <c r="PT99" s="38"/>
      <c r="PU99" s="38"/>
      <c r="PV99" s="38"/>
      <c r="PW99" s="38"/>
      <c r="PX99" s="38"/>
      <c r="PY99" s="38"/>
      <c r="PZ99" s="38"/>
      <c r="QA99" s="38"/>
      <c r="QB99" s="38"/>
      <c r="QC99" s="38"/>
      <c r="QD99" s="38"/>
      <c r="QE99" s="38"/>
      <c r="QF99" s="38"/>
      <c r="QG99" s="38"/>
      <c r="QH99" s="38"/>
      <c r="QI99" s="38"/>
      <c r="QJ99" s="38"/>
      <c r="QK99" s="38"/>
      <c r="QL99" s="38"/>
      <c r="QM99" s="38"/>
      <c r="QN99" s="38"/>
      <c r="QO99" s="38"/>
      <c r="QP99" s="38"/>
      <c r="QQ99" s="38"/>
      <c r="QR99" s="38"/>
      <c r="QS99" s="38"/>
      <c r="QT99" s="38"/>
      <c r="QU99" s="38"/>
      <c r="QV99" s="38"/>
      <c r="QW99" s="38"/>
      <c r="QX99" s="38"/>
      <c r="QY99" s="38"/>
      <c r="QZ99" s="38"/>
      <c r="RA99" s="38"/>
      <c r="RB99" s="38"/>
      <c r="RC99" s="38"/>
      <c r="RD99" s="38"/>
      <c r="RE99" s="38"/>
      <c r="RF99" s="38"/>
      <c r="RG99" s="38"/>
      <c r="RH99" s="38"/>
      <c r="RI99" s="38"/>
      <c r="RJ99" s="38"/>
      <c r="RK99" s="38"/>
      <c r="RL99" s="38"/>
      <c r="RM99" s="38"/>
      <c r="RN99" s="38"/>
      <c r="RO99" s="38"/>
      <c r="RP99" s="38"/>
      <c r="RQ99" s="38"/>
      <c r="RR99" s="38"/>
      <c r="RS99" s="38"/>
      <c r="RT99" s="38"/>
      <c r="RU99" s="38"/>
      <c r="RV99" s="38"/>
      <c r="RW99" s="38"/>
      <c r="RX99" s="38"/>
      <c r="RY99" s="38"/>
      <c r="RZ99" s="38"/>
      <c r="SA99" s="38"/>
      <c r="SB99" s="38"/>
      <c r="SC99" s="38"/>
      <c r="SD99" s="38"/>
      <c r="SE99" s="38"/>
      <c r="SF99" s="38"/>
      <c r="SG99" s="38"/>
      <c r="SH99" s="38"/>
      <c r="SI99" s="38"/>
      <c r="SJ99" s="38"/>
      <c r="SK99" s="38"/>
      <c r="SL99" s="38"/>
      <c r="SM99" s="38"/>
      <c r="SN99" s="38"/>
      <c r="SO99" s="38"/>
      <c r="SP99" s="38"/>
      <c r="SQ99" s="38"/>
      <c r="SR99" s="38"/>
      <c r="SS99" s="38"/>
      <c r="ST99" s="38"/>
      <c r="SU99" s="38"/>
      <c r="SV99" s="38"/>
      <c r="SW99" s="38"/>
      <c r="SX99" s="38"/>
      <c r="SY99" s="38"/>
      <c r="SZ99" s="38"/>
      <c r="TA99" s="38"/>
      <c r="TB99" s="38"/>
      <c r="TC99" s="38"/>
      <c r="TD99" s="38"/>
      <c r="TE99" s="38"/>
      <c r="TF99" s="38"/>
      <c r="TG99" s="38"/>
      <c r="TH99" s="38"/>
      <c r="TI99" s="38"/>
      <c r="TJ99" s="38"/>
      <c r="TK99" s="38"/>
      <c r="TL99" s="38"/>
      <c r="TM99" s="38"/>
      <c r="TN99" s="38"/>
      <c r="TO99" s="38"/>
      <c r="TP99" s="38"/>
      <c r="TQ99" s="38"/>
      <c r="TR99" s="38"/>
      <c r="TS99" s="38"/>
      <c r="TT99" s="38"/>
      <c r="TU99" s="38"/>
      <c r="TV99" s="38"/>
      <c r="TW99" s="38"/>
      <c r="TX99" s="38"/>
      <c r="TY99" s="38"/>
      <c r="TZ99" s="38"/>
      <c r="UA99" s="38"/>
      <c r="UB99" s="38"/>
      <c r="UC99" s="38"/>
      <c r="UD99" s="38"/>
      <c r="UE99" s="38"/>
      <c r="UF99" s="38"/>
      <c r="UG99" s="38"/>
      <c r="UH99" s="38"/>
      <c r="UI99" s="38"/>
      <c r="UJ99" s="38"/>
      <c r="UK99" s="38"/>
      <c r="UL99" s="38"/>
      <c r="UM99" s="38"/>
      <c r="UN99" s="38"/>
      <c r="UO99" s="38"/>
      <c r="UP99" s="38"/>
      <c r="UQ99" s="38"/>
      <c r="UR99" s="38"/>
      <c r="US99" s="38"/>
      <c r="UT99" s="38"/>
      <c r="UU99" s="38"/>
      <c r="UV99" s="38"/>
      <c r="UW99" s="38"/>
      <c r="UX99" s="38"/>
      <c r="UY99" s="38"/>
      <c r="UZ99" s="38"/>
      <c r="VA99" s="38"/>
      <c r="VB99" s="38"/>
      <c r="VC99" s="38"/>
      <c r="VD99" s="38"/>
      <c r="VE99" s="38"/>
      <c r="VF99" s="38"/>
      <c r="VG99" s="38"/>
      <c r="VH99" s="38"/>
      <c r="VI99" s="38"/>
      <c r="VJ99" s="38"/>
      <c r="VK99" s="38"/>
      <c r="VL99" s="38"/>
      <c r="VM99" s="38"/>
      <c r="VN99" s="38"/>
      <c r="VO99" s="38"/>
      <c r="VP99" s="38"/>
      <c r="VQ99" s="38"/>
      <c r="VR99" s="38"/>
      <c r="VS99" s="38"/>
      <c r="VT99" s="38"/>
      <c r="VU99" s="38"/>
      <c r="VV99" s="38"/>
      <c r="VW99" s="38"/>
      <c r="VX99" s="38"/>
      <c r="VY99" s="38"/>
      <c r="VZ99" s="38"/>
      <c r="WA99" s="38"/>
      <c r="WB99" s="38"/>
      <c r="WC99" s="38"/>
      <c r="WD99" s="38"/>
      <c r="WE99" s="38"/>
      <c r="WF99" s="38"/>
      <c r="WG99" s="38"/>
      <c r="WH99" s="38"/>
      <c r="WI99" s="38"/>
      <c r="WJ99" s="38"/>
      <c r="WK99" s="38"/>
      <c r="WL99" s="38"/>
      <c r="WM99" s="38"/>
      <c r="WN99" s="38"/>
      <c r="WO99" s="38"/>
      <c r="WP99" s="38"/>
      <c r="WQ99" s="38"/>
      <c r="WR99" s="38"/>
      <c r="WS99" s="38"/>
      <c r="WT99" s="38"/>
      <c r="WU99" s="38"/>
      <c r="WV99" s="38"/>
      <c r="WW99" s="38"/>
      <c r="WX99" s="38"/>
      <c r="WY99" s="38"/>
      <c r="WZ99" s="38"/>
      <c r="XA99" s="38"/>
      <c r="XB99" s="38"/>
      <c r="XC99" s="38"/>
      <c r="XD99" s="38"/>
      <c r="XE99" s="38"/>
      <c r="XF99" s="38"/>
      <c r="XG99" s="38"/>
      <c r="XH99" s="38"/>
      <c r="XI99" s="38"/>
      <c r="XJ99" s="38"/>
      <c r="XK99" s="38"/>
      <c r="XL99" s="38"/>
      <c r="XM99" s="38"/>
      <c r="XN99" s="38"/>
      <c r="XO99" s="38"/>
      <c r="XP99" s="38"/>
      <c r="XQ99" s="38"/>
      <c r="XR99" s="38"/>
      <c r="XS99" s="38"/>
      <c r="XT99" s="38"/>
      <c r="XU99" s="38"/>
      <c r="XV99" s="38"/>
      <c r="XW99" s="38"/>
      <c r="XX99" s="38"/>
      <c r="XY99" s="38"/>
      <c r="XZ99" s="38"/>
      <c r="YA99" s="38"/>
      <c r="YB99" s="38"/>
      <c r="YC99" s="38"/>
      <c r="YD99" s="38"/>
      <c r="YE99" s="38"/>
      <c r="YF99" s="38"/>
      <c r="YG99" s="38"/>
      <c r="YH99" s="38"/>
      <c r="YI99" s="38"/>
      <c r="YJ99" s="38"/>
      <c r="YK99" s="38"/>
      <c r="YL99" s="38"/>
      <c r="YM99" s="38"/>
      <c r="YN99" s="38"/>
      <c r="YO99" s="38"/>
      <c r="YP99" s="38"/>
      <c r="YQ99" s="38"/>
      <c r="YR99" s="38"/>
      <c r="YS99" s="38"/>
      <c r="YT99" s="38"/>
      <c r="YU99" s="38"/>
      <c r="YV99" s="38"/>
      <c r="YW99" s="38"/>
      <c r="YX99" s="38"/>
      <c r="YY99" s="38"/>
      <c r="YZ99" s="38"/>
      <c r="ZA99" s="38"/>
      <c r="ZB99" s="38"/>
      <c r="ZC99" s="38"/>
      <c r="ZD99" s="38"/>
      <c r="ZE99" s="38"/>
      <c r="ZF99" s="38"/>
      <c r="ZG99" s="38"/>
      <c r="ZH99" s="38"/>
      <c r="ZI99" s="38"/>
      <c r="ZJ99" s="38"/>
      <c r="ZK99" s="38"/>
      <c r="ZL99" s="38"/>
      <c r="ZM99" s="38"/>
      <c r="ZN99" s="38"/>
      <c r="ZO99" s="38"/>
      <c r="ZP99" s="38"/>
      <c r="ZQ99" s="38"/>
      <c r="ZR99" s="38"/>
      <c r="ZS99" s="38"/>
      <c r="ZT99" s="38"/>
      <c r="ZU99" s="38"/>
      <c r="ZV99" s="38"/>
      <c r="ZW99" s="38"/>
      <c r="ZX99" s="38"/>
      <c r="ZY99" s="38"/>
      <c r="ZZ99" s="38"/>
      <c r="AAA99" s="38"/>
      <c r="AAB99" s="38"/>
      <c r="AAC99" s="38"/>
      <c r="AAD99" s="38"/>
      <c r="AAE99" s="38"/>
      <c r="AAF99" s="38"/>
      <c r="AAG99" s="38"/>
      <c r="AAH99" s="38"/>
      <c r="AAI99" s="38"/>
      <c r="AAJ99" s="38"/>
      <c r="AAK99" s="38"/>
      <c r="AAL99" s="38"/>
      <c r="AAM99" s="38"/>
      <c r="AAN99" s="38"/>
      <c r="AAO99" s="38"/>
      <c r="AAP99" s="38"/>
      <c r="AAQ99" s="38"/>
      <c r="AAR99" s="38"/>
      <c r="AAS99" s="38"/>
      <c r="AAT99" s="38"/>
      <c r="AAU99" s="38"/>
      <c r="AAV99" s="38"/>
      <c r="AAW99" s="38"/>
      <c r="AAX99" s="38"/>
      <c r="AAY99" s="38"/>
      <c r="AAZ99" s="38"/>
      <c r="ABA99" s="38"/>
      <c r="ABB99" s="38"/>
      <c r="ABC99" s="38"/>
      <c r="ABD99" s="38"/>
      <c r="ABE99" s="38"/>
      <c r="ABF99" s="38"/>
      <c r="ABG99" s="38"/>
      <c r="ABH99" s="38"/>
      <c r="ABI99" s="38"/>
      <c r="ABJ99" s="38"/>
      <c r="ABK99" s="38"/>
      <c r="ABL99" s="38"/>
      <c r="ABM99" s="38"/>
      <c r="ABN99" s="38"/>
      <c r="ABO99" s="38"/>
      <c r="ABP99" s="38"/>
      <c r="ABQ99" s="38"/>
      <c r="ABR99" s="38"/>
      <c r="ABS99" s="38"/>
      <c r="ABT99" s="38"/>
      <c r="ABU99" s="38"/>
      <c r="ABV99" s="38"/>
      <c r="ABW99" s="38"/>
      <c r="ABX99" s="38"/>
      <c r="ABY99" s="38"/>
      <c r="ABZ99" s="38"/>
      <c r="ACA99" s="38"/>
      <c r="ACB99" s="38"/>
      <c r="ACC99" s="38"/>
      <c r="ACD99" s="38"/>
      <c r="ACE99" s="38"/>
      <c r="ACF99" s="38"/>
      <c r="ACG99" s="38"/>
      <c r="ACH99" s="38"/>
      <c r="ACI99" s="38"/>
      <c r="ACJ99" s="38"/>
      <c r="ACK99" s="38"/>
      <c r="ACL99" s="38"/>
      <c r="ACM99" s="38"/>
      <c r="ACN99" s="38"/>
      <c r="ACO99" s="38"/>
      <c r="ACP99" s="38"/>
      <c r="ACQ99" s="38"/>
      <c r="ACR99" s="38"/>
      <c r="ACS99" s="38"/>
      <c r="ACT99" s="38"/>
      <c r="ACU99" s="38"/>
      <c r="ACV99" s="38"/>
      <c r="ACW99" s="38"/>
      <c r="ACX99" s="38"/>
      <c r="ACY99" s="38"/>
      <c r="ACZ99" s="38"/>
      <c r="ADA99" s="38"/>
      <c r="ADB99" s="38"/>
      <c r="ADC99" s="38"/>
      <c r="ADD99" s="38"/>
      <c r="ADE99" s="38"/>
      <c r="ADF99" s="38"/>
      <c r="ADG99" s="38"/>
      <c r="ADH99" s="38"/>
      <c r="ADI99" s="38"/>
      <c r="ADJ99" s="38"/>
      <c r="ADK99" s="38"/>
      <c r="ADL99" s="38"/>
      <c r="ADM99" s="38"/>
      <c r="ADN99" s="38"/>
      <c r="ADO99" s="38"/>
      <c r="ADP99" s="38"/>
      <c r="ADQ99" s="38"/>
      <c r="ADR99" s="38"/>
      <c r="ADS99" s="38"/>
      <c r="ADT99" s="38"/>
      <c r="ADU99" s="38"/>
      <c r="ADV99" s="38"/>
      <c r="ADW99" s="38"/>
      <c r="ADX99" s="38"/>
      <c r="ADY99" s="38"/>
      <c r="ADZ99" s="38"/>
      <c r="AEA99" s="38"/>
      <c r="AEB99" s="38"/>
      <c r="AEC99" s="38"/>
      <c r="AED99" s="38"/>
      <c r="AEE99" s="38"/>
      <c r="AEF99" s="38"/>
      <c r="AEG99" s="38"/>
      <c r="AEH99" s="38"/>
      <c r="AEI99" s="38"/>
      <c r="AEJ99" s="38"/>
      <c r="AEK99" s="38"/>
      <c r="AEL99" s="38"/>
      <c r="AEM99" s="38"/>
      <c r="AEN99" s="38"/>
      <c r="AEO99" s="38"/>
      <c r="AEP99" s="38"/>
      <c r="AEQ99" s="38"/>
      <c r="AER99" s="38"/>
      <c r="AES99" s="38"/>
      <c r="AET99" s="38"/>
      <c r="AEU99" s="38"/>
      <c r="AEV99" s="38"/>
      <c r="AEW99" s="38"/>
      <c r="AEX99" s="38"/>
      <c r="AEY99" s="38"/>
      <c r="AEZ99" s="38"/>
      <c r="AFA99" s="38"/>
      <c r="AFB99" s="38"/>
      <c r="AFC99" s="38"/>
      <c r="AFD99" s="38"/>
      <c r="AFE99" s="38"/>
      <c r="AFF99" s="38"/>
      <c r="AFG99" s="38"/>
      <c r="AFH99" s="38"/>
      <c r="AFI99" s="38"/>
      <c r="AFJ99" s="38"/>
      <c r="AFK99" s="38"/>
      <c r="AFL99" s="38"/>
      <c r="AFM99" s="38"/>
      <c r="AFN99" s="38"/>
      <c r="AFO99" s="38"/>
      <c r="AFP99" s="38"/>
      <c r="AFQ99" s="38"/>
      <c r="AFR99" s="38"/>
      <c r="AFS99" s="38"/>
      <c r="AFT99" s="38"/>
      <c r="AFU99" s="38"/>
      <c r="AFV99" s="38"/>
      <c r="AFW99" s="38"/>
      <c r="AFX99" s="38"/>
      <c r="AFY99" s="38"/>
      <c r="AFZ99" s="38"/>
      <c r="AGA99" s="38"/>
      <c r="AGB99" s="38"/>
      <c r="AGC99" s="38"/>
      <c r="AGD99" s="38"/>
      <c r="AGE99" s="38"/>
      <c r="AGF99" s="38"/>
      <c r="AGG99" s="38"/>
      <c r="AGH99" s="38"/>
      <c r="AGI99" s="38"/>
      <c r="AGJ99" s="38"/>
      <c r="AGK99" s="38"/>
      <c r="AGL99" s="38"/>
      <c r="AGM99" s="38"/>
      <c r="AGN99" s="38"/>
      <c r="AGO99" s="38"/>
      <c r="AGP99" s="38"/>
      <c r="AGQ99" s="38"/>
      <c r="AGR99" s="38"/>
      <c r="AGS99" s="38"/>
      <c r="AGT99" s="38"/>
      <c r="AGU99" s="38"/>
      <c r="AGV99" s="38"/>
      <c r="AGW99" s="38"/>
      <c r="AGX99" s="38"/>
      <c r="AGY99" s="38"/>
      <c r="AGZ99" s="38"/>
      <c r="AHA99" s="38"/>
      <c r="AHB99" s="38"/>
      <c r="AHC99" s="38"/>
      <c r="AHD99" s="38"/>
      <c r="AHE99" s="38"/>
      <c r="AHF99" s="38"/>
      <c r="AHG99" s="38"/>
      <c r="AHH99" s="38"/>
      <c r="AHI99" s="38"/>
      <c r="AHJ99" s="38"/>
      <c r="AHK99" s="38"/>
      <c r="AHL99" s="38"/>
      <c r="AHM99" s="38"/>
      <c r="AHN99" s="38"/>
      <c r="AHO99" s="38"/>
      <c r="AHP99" s="38"/>
      <c r="AHQ99" s="38"/>
      <c r="AHR99" s="38"/>
      <c r="AHS99" s="38"/>
      <c r="AHT99" s="38"/>
      <c r="AHU99" s="38"/>
      <c r="AHV99" s="38"/>
    </row>
    <row r="100" spans="1:906" s="27" customFormat="1" x14ac:dyDescent="0.35">
      <c r="A100" s="83">
        <v>95</v>
      </c>
      <c r="B100" s="108" t="s">
        <v>167</v>
      </c>
      <c r="C100" s="109" t="s">
        <v>168</v>
      </c>
      <c r="D100" s="109" t="s">
        <v>125</v>
      </c>
      <c r="E100" s="125">
        <v>30.89</v>
      </c>
      <c r="F100" s="125">
        <v>29.95</v>
      </c>
      <c r="G100" s="125">
        <v>28.95</v>
      </c>
      <c r="H100" s="125">
        <v>29.75</v>
      </c>
      <c r="I100" s="37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38"/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38"/>
      <c r="DC100" s="38"/>
      <c r="DD100" s="38"/>
      <c r="DE100" s="38"/>
      <c r="DF100" s="38"/>
      <c r="DG100" s="38"/>
      <c r="DH100" s="38"/>
      <c r="DI100" s="38"/>
      <c r="DJ100" s="38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  <c r="EI100" s="38"/>
      <c r="EJ100" s="38"/>
      <c r="EK100" s="38"/>
      <c r="EL100" s="38"/>
      <c r="EM100" s="38"/>
      <c r="EN100" s="38"/>
      <c r="EO100" s="38"/>
      <c r="EP100" s="38"/>
      <c r="EQ100" s="38"/>
      <c r="ER100" s="38"/>
      <c r="ES100" s="38"/>
      <c r="ET100" s="38"/>
      <c r="EU100" s="38"/>
      <c r="EV100" s="38"/>
      <c r="EW100" s="38"/>
      <c r="EX100" s="38"/>
      <c r="EY100" s="38"/>
      <c r="EZ100" s="38"/>
      <c r="FA100" s="38"/>
      <c r="FB100" s="38"/>
      <c r="FC100" s="38"/>
      <c r="FD100" s="38"/>
      <c r="FE100" s="38"/>
      <c r="FF100" s="38"/>
      <c r="FG100" s="38"/>
      <c r="FH100" s="38"/>
      <c r="FI100" s="38"/>
      <c r="FJ100" s="38"/>
      <c r="FK100" s="38"/>
      <c r="FL100" s="38"/>
      <c r="FM100" s="38"/>
      <c r="FN100" s="38"/>
      <c r="FO100" s="38"/>
      <c r="FP100" s="38"/>
      <c r="FQ100" s="38"/>
      <c r="FR100" s="38"/>
      <c r="FS100" s="38"/>
      <c r="FT100" s="38"/>
      <c r="FU100" s="38"/>
      <c r="FV100" s="38"/>
      <c r="FW100" s="38"/>
      <c r="FX100" s="38"/>
      <c r="FY100" s="38"/>
      <c r="FZ100" s="38"/>
      <c r="GA100" s="38"/>
      <c r="GB100" s="38"/>
      <c r="GC100" s="38"/>
      <c r="GD100" s="38"/>
      <c r="GE100" s="38"/>
      <c r="GF100" s="38"/>
      <c r="GG100" s="38"/>
      <c r="GH100" s="38"/>
      <c r="GI100" s="38"/>
      <c r="GJ100" s="38"/>
      <c r="GK100" s="38"/>
      <c r="GL100" s="38"/>
      <c r="GM100" s="38"/>
      <c r="GN100" s="38"/>
      <c r="GO100" s="38"/>
      <c r="GP100" s="38"/>
      <c r="GQ100" s="38"/>
      <c r="GR100" s="38"/>
      <c r="GS100" s="38"/>
      <c r="GT100" s="38"/>
      <c r="GU100" s="38"/>
      <c r="GV100" s="38"/>
      <c r="GW100" s="38"/>
      <c r="GX100" s="38"/>
      <c r="GY100" s="38"/>
      <c r="GZ100" s="38"/>
      <c r="HA100" s="38"/>
      <c r="HB100" s="38"/>
      <c r="HC100" s="38"/>
      <c r="HD100" s="38"/>
      <c r="HE100" s="38"/>
      <c r="HF100" s="38"/>
      <c r="HG100" s="38"/>
      <c r="HH100" s="38"/>
      <c r="HI100" s="38"/>
      <c r="HJ100" s="38"/>
      <c r="HK100" s="38"/>
      <c r="HL100" s="38"/>
      <c r="HM100" s="38"/>
      <c r="HN100" s="38"/>
      <c r="HO100" s="38"/>
      <c r="HP100" s="38"/>
      <c r="HQ100" s="38"/>
      <c r="HR100" s="38"/>
      <c r="HS100" s="38"/>
      <c r="HT100" s="38"/>
      <c r="HU100" s="38"/>
      <c r="HV100" s="38"/>
      <c r="HW100" s="38"/>
      <c r="HX100" s="38"/>
      <c r="HY100" s="38"/>
      <c r="HZ100" s="38"/>
      <c r="IA100" s="38"/>
      <c r="IB100" s="38"/>
      <c r="IC100" s="38"/>
      <c r="ID100" s="38"/>
      <c r="IE100" s="38"/>
      <c r="IF100" s="38"/>
      <c r="IG100" s="38"/>
      <c r="IH100" s="38"/>
      <c r="II100" s="38"/>
      <c r="IJ100" s="38"/>
      <c r="IK100" s="38"/>
      <c r="IL100" s="38"/>
      <c r="IM100" s="38"/>
      <c r="IN100" s="38"/>
      <c r="IO100" s="38"/>
      <c r="IP100" s="38"/>
      <c r="IQ100" s="38"/>
      <c r="IR100" s="38"/>
      <c r="IS100" s="38"/>
      <c r="IT100" s="38"/>
      <c r="IU100" s="38"/>
      <c r="IV100" s="38"/>
      <c r="IW100" s="38"/>
      <c r="IX100" s="38"/>
      <c r="IY100" s="38"/>
      <c r="IZ100" s="38"/>
      <c r="JA100" s="38"/>
      <c r="JB100" s="38"/>
      <c r="JC100" s="38"/>
      <c r="JD100" s="38"/>
      <c r="JE100" s="38"/>
      <c r="JF100" s="38"/>
      <c r="JG100" s="38"/>
      <c r="JH100" s="38"/>
      <c r="JI100" s="38"/>
      <c r="JJ100" s="38"/>
      <c r="JK100" s="38"/>
      <c r="JL100" s="38"/>
      <c r="JM100" s="38"/>
      <c r="JN100" s="38"/>
      <c r="JO100" s="38"/>
      <c r="JP100" s="38"/>
      <c r="JQ100" s="38"/>
      <c r="JR100" s="38"/>
      <c r="JS100" s="38"/>
      <c r="JT100" s="38"/>
      <c r="JU100" s="38"/>
      <c r="JV100" s="38"/>
      <c r="JW100" s="38"/>
      <c r="JX100" s="38"/>
      <c r="JY100" s="38"/>
      <c r="JZ100" s="38"/>
      <c r="KA100" s="38"/>
      <c r="KB100" s="38"/>
      <c r="KC100" s="38"/>
      <c r="KD100" s="38"/>
      <c r="KE100" s="38"/>
      <c r="KF100" s="38"/>
      <c r="KG100" s="38"/>
      <c r="KH100" s="38"/>
      <c r="KI100" s="38"/>
      <c r="KJ100" s="38"/>
      <c r="KK100" s="38"/>
      <c r="KL100" s="38"/>
      <c r="KM100" s="38"/>
      <c r="KN100" s="38"/>
      <c r="KO100" s="38"/>
      <c r="KP100" s="38"/>
      <c r="KQ100" s="38"/>
      <c r="KR100" s="38"/>
      <c r="KS100" s="38"/>
      <c r="KT100" s="38"/>
      <c r="KU100" s="38"/>
      <c r="KV100" s="38"/>
      <c r="KW100" s="38"/>
      <c r="KX100" s="38"/>
      <c r="KY100" s="38"/>
      <c r="KZ100" s="38"/>
      <c r="LA100" s="38"/>
      <c r="LB100" s="38"/>
      <c r="LC100" s="38"/>
      <c r="LD100" s="38"/>
      <c r="LE100" s="38"/>
      <c r="LF100" s="38"/>
      <c r="LG100" s="38"/>
      <c r="LH100" s="38"/>
      <c r="LI100" s="38"/>
      <c r="LJ100" s="38"/>
      <c r="LK100" s="38"/>
      <c r="LL100" s="38"/>
      <c r="LM100" s="38"/>
      <c r="LN100" s="38"/>
      <c r="LO100" s="38"/>
      <c r="LP100" s="38"/>
      <c r="LQ100" s="38"/>
      <c r="LR100" s="38"/>
      <c r="LS100" s="38"/>
      <c r="LT100" s="38"/>
      <c r="LU100" s="38"/>
      <c r="LV100" s="38"/>
      <c r="LW100" s="38"/>
      <c r="LX100" s="38"/>
      <c r="LY100" s="38"/>
      <c r="LZ100" s="38"/>
      <c r="MA100" s="38"/>
      <c r="MB100" s="38"/>
      <c r="MC100" s="38"/>
      <c r="MD100" s="38"/>
      <c r="ME100" s="38"/>
      <c r="MF100" s="38"/>
      <c r="MG100" s="38"/>
      <c r="MH100" s="38"/>
      <c r="MI100" s="38"/>
      <c r="MJ100" s="38"/>
      <c r="MK100" s="38"/>
      <c r="ML100" s="38"/>
      <c r="MM100" s="38"/>
      <c r="MN100" s="38"/>
      <c r="MO100" s="38"/>
      <c r="MP100" s="38"/>
      <c r="MQ100" s="38"/>
      <c r="MR100" s="38"/>
      <c r="MS100" s="38"/>
      <c r="MT100" s="38"/>
      <c r="MU100" s="38"/>
      <c r="MV100" s="38"/>
      <c r="MW100" s="38"/>
      <c r="MX100" s="38"/>
      <c r="MY100" s="38"/>
      <c r="MZ100" s="38"/>
      <c r="NA100" s="38"/>
      <c r="NB100" s="38"/>
      <c r="NC100" s="38"/>
      <c r="ND100" s="38"/>
      <c r="NE100" s="38"/>
      <c r="NF100" s="38"/>
      <c r="NG100" s="38"/>
      <c r="NH100" s="38"/>
      <c r="NI100" s="38"/>
      <c r="NJ100" s="38"/>
      <c r="NK100" s="38"/>
      <c r="NL100" s="38"/>
      <c r="NM100" s="38"/>
      <c r="NN100" s="38"/>
      <c r="NO100" s="38"/>
      <c r="NP100" s="38"/>
      <c r="NQ100" s="38"/>
      <c r="NR100" s="38"/>
      <c r="NS100" s="38"/>
      <c r="NT100" s="38"/>
      <c r="NU100" s="38"/>
      <c r="NV100" s="38"/>
      <c r="NW100" s="38"/>
      <c r="NX100" s="38"/>
      <c r="NY100" s="38"/>
      <c r="NZ100" s="38"/>
      <c r="OA100" s="38"/>
      <c r="OB100" s="38"/>
      <c r="OC100" s="38"/>
      <c r="OD100" s="38"/>
      <c r="OE100" s="38"/>
      <c r="OF100" s="38"/>
      <c r="OG100" s="38"/>
      <c r="OH100" s="38"/>
      <c r="OI100" s="38"/>
      <c r="OJ100" s="38"/>
      <c r="OK100" s="38"/>
      <c r="OL100" s="38"/>
      <c r="OM100" s="38"/>
      <c r="ON100" s="38"/>
      <c r="OO100" s="38"/>
      <c r="OP100" s="38"/>
      <c r="OQ100" s="38"/>
      <c r="OR100" s="38"/>
      <c r="OS100" s="38"/>
      <c r="OT100" s="38"/>
      <c r="OU100" s="38"/>
      <c r="OV100" s="38"/>
      <c r="OW100" s="38"/>
      <c r="OX100" s="38"/>
      <c r="OY100" s="38"/>
      <c r="OZ100" s="38"/>
      <c r="PA100" s="38"/>
      <c r="PB100" s="38"/>
      <c r="PC100" s="38"/>
      <c r="PD100" s="38"/>
      <c r="PE100" s="38"/>
      <c r="PF100" s="38"/>
      <c r="PG100" s="38"/>
      <c r="PH100" s="38"/>
      <c r="PI100" s="38"/>
      <c r="PJ100" s="38"/>
      <c r="PK100" s="38"/>
      <c r="PL100" s="38"/>
      <c r="PM100" s="38"/>
      <c r="PN100" s="38"/>
      <c r="PO100" s="38"/>
      <c r="PP100" s="38"/>
      <c r="PQ100" s="38"/>
      <c r="PR100" s="38"/>
      <c r="PS100" s="38"/>
      <c r="PT100" s="38"/>
      <c r="PU100" s="38"/>
      <c r="PV100" s="38"/>
      <c r="PW100" s="38"/>
      <c r="PX100" s="38"/>
      <c r="PY100" s="38"/>
      <c r="PZ100" s="38"/>
      <c r="QA100" s="38"/>
      <c r="QB100" s="38"/>
      <c r="QC100" s="38"/>
      <c r="QD100" s="38"/>
      <c r="QE100" s="38"/>
      <c r="QF100" s="38"/>
      <c r="QG100" s="38"/>
      <c r="QH100" s="38"/>
      <c r="QI100" s="38"/>
      <c r="QJ100" s="38"/>
      <c r="QK100" s="38"/>
      <c r="QL100" s="38"/>
      <c r="QM100" s="38"/>
      <c r="QN100" s="38"/>
      <c r="QO100" s="38"/>
      <c r="QP100" s="38"/>
      <c r="QQ100" s="38"/>
      <c r="QR100" s="38"/>
      <c r="QS100" s="38"/>
      <c r="QT100" s="38"/>
      <c r="QU100" s="38"/>
      <c r="QV100" s="38"/>
      <c r="QW100" s="38"/>
      <c r="QX100" s="38"/>
      <c r="QY100" s="38"/>
      <c r="QZ100" s="38"/>
      <c r="RA100" s="38"/>
      <c r="RB100" s="38"/>
      <c r="RC100" s="38"/>
      <c r="RD100" s="38"/>
      <c r="RE100" s="38"/>
      <c r="RF100" s="38"/>
      <c r="RG100" s="38"/>
      <c r="RH100" s="38"/>
      <c r="RI100" s="38"/>
      <c r="RJ100" s="38"/>
      <c r="RK100" s="38"/>
      <c r="RL100" s="38"/>
      <c r="RM100" s="38"/>
      <c r="RN100" s="38"/>
      <c r="RO100" s="38"/>
      <c r="RP100" s="38"/>
      <c r="RQ100" s="38"/>
      <c r="RR100" s="38"/>
      <c r="RS100" s="38"/>
      <c r="RT100" s="38"/>
      <c r="RU100" s="38"/>
      <c r="RV100" s="38"/>
      <c r="RW100" s="38"/>
      <c r="RX100" s="38"/>
      <c r="RY100" s="38"/>
      <c r="RZ100" s="38"/>
      <c r="SA100" s="38"/>
      <c r="SB100" s="38"/>
      <c r="SC100" s="38"/>
      <c r="SD100" s="38"/>
      <c r="SE100" s="38"/>
      <c r="SF100" s="38"/>
      <c r="SG100" s="38"/>
      <c r="SH100" s="38"/>
      <c r="SI100" s="38"/>
      <c r="SJ100" s="38"/>
      <c r="SK100" s="38"/>
      <c r="SL100" s="38"/>
      <c r="SM100" s="38"/>
      <c r="SN100" s="38"/>
      <c r="SO100" s="38"/>
      <c r="SP100" s="38"/>
      <c r="SQ100" s="38"/>
      <c r="SR100" s="38"/>
      <c r="SS100" s="38"/>
      <c r="ST100" s="38"/>
      <c r="SU100" s="38"/>
      <c r="SV100" s="38"/>
      <c r="SW100" s="38"/>
      <c r="SX100" s="38"/>
      <c r="SY100" s="38"/>
      <c r="SZ100" s="38"/>
      <c r="TA100" s="38"/>
      <c r="TB100" s="38"/>
      <c r="TC100" s="38"/>
      <c r="TD100" s="38"/>
      <c r="TE100" s="38"/>
      <c r="TF100" s="38"/>
      <c r="TG100" s="38"/>
      <c r="TH100" s="38"/>
      <c r="TI100" s="38"/>
      <c r="TJ100" s="38"/>
      <c r="TK100" s="38"/>
      <c r="TL100" s="38"/>
      <c r="TM100" s="38"/>
      <c r="TN100" s="38"/>
      <c r="TO100" s="38"/>
      <c r="TP100" s="38"/>
      <c r="TQ100" s="38"/>
      <c r="TR100" s="38"/>
      <c r="TS100" s="38"/>
      <c r="TT100" s="38"/>
      <c r="TU100" s="38"/>
      <c r="TV100" s="38"/>
      <c r="TW100" s="38"/>
      <c r="TX100" s="38"/>
      <c r="TY100" s="38"/>
      <c r="TZ100" s="38"/>
      <c r="UA100" s="38"/>
      <c r="UB100" s="38"/>
      <c r="UC100" s="38"/>
      <c r="UD100" s="38"/>
      <c r="UE100" s="38"/>
      <c r="UF100" s="38"/>
      <c r="UG100" s="38"/>
      <c r="UH100" s="38"/>
      <c r="UI100" s="38"/>
      <c r="UJ100" s="38"/>
      <c r="UK100" s="38"/>
      <c r="UL100" s="38"/>
      <c r="UM100" s="38"/>
      <c r="UN100" s="38"/>
      <c r="UO100" s="38"/>
      <c r="UP100" s="38"/>
      <c r="UQ100" s="38"/>
      <c r="UR100" s="38"/>
      <c r="US100" s="38"/>
      <c r="UT100" s="38"/>
      <c r="UU100" s="38"/>
      <c r="UV100" s="38"/>
      <c r="UW100" s="38"/>
      <c r="UX100" s="38"/>
      <c r="UY100" s="38"/>
      <c r="UZ100" s="38"/>
      <c r="VA100" s="38"/>
      <c r="VB100" s="38"/>
      <c r="VC100" s="38"/>
      <c r="VD100" s="38"/>
      <c r="VE100" s="38"/>
      <c r="VF100" s="38"/>
      <c r="VG100" s="38"/>
      <c r="VH100" s="38"/>
      <c r="VI100" s="38"/>
      <c r="VJ100" s="38"/>
      <c r="VK100" s="38"/>
      <c r="VL100" s="38"/>
      <c r="VM100" s="38"/>
      <c r="VN100" s="38"/>
      <c r="VO100" s="38"/>
      <c r="VP100" s="38"/>
      <c r="VQ100" s="38"/>
      <c r="VR100" s="38"/>
      <c r="VS100" s="38"/>
      <c r="VT100" s="38"/>
      <c r="VU100" s="38"/>
      <c r="VV100" s="38"/>
      <c r="VW100" s="38"/>
      <c r="VX100" s="38"/>
      <c r="VY100" s="38"/>
      <c r="VZ100" s="38"/>
      <c r="WA100" s="38"/>
      <c r="WB100" s="38"/>
      <c r="WC100" s="38"/>
      <c r="WD100" s="38"/>
      <c r="WE100" s="38"/>
      <c r="WF100" s="38"/>
      <c r="WG100" s="38"/>
      <c r="WH100" s="38"/>
      <c r="WI100" s="38"/>
      <c r="WJ100" s="38"/>
      <c r="WK100" s="38"/>
      <c r="WL100" s="38"/>
      <c r="WM100" s="38"/>
      <c r="WN100" s="38"/>
      <c r="WO100" s="38"/>
      <c r="WP100" s="38"/>
      <c r="WQ100" s="38"/>
      <c r="WR100" s="38"/>
      <c r="WS100" s="38"/>
      <c r="WT100" s="38"/>
      <c r="WU100" s="38"/>
      <c r="WV100" s="38"/>
      <c r="WW100" s="38"/>
      <c r="WX100" s="38"/>
      <c r="WY100" s="38"/>
      <c r="WZ100" s="38"/>
      <c r="XA100" s="38"/>
      <c r="XB100" s="38"/>
      <c r="XC100" s="38"/>
      <c r="XD100" s="38"/>
      <c r="XE100" s="38"/>
      <c r="XF100" s="38"/>
      <c r="XG100" s="38"/>
      <c r="XH100" s="38"/>
      <c r="XI100" s="38"/>
      <c r="XJ100" s="38"/>
      <c r="XK100" s="38"/>
      <c r="XL100" s="38"/>
      <c r="XM100" s="38"/>
      <c r="XN100" s="38"/>
      <c r="XO100" s="38"/>
      <c r="XP100" s="38"/>
      <c r="XQ100" s="38"/>
      <c r="XR100" s="38"/>
      <c r="XS100" s="38"/>
      <c r="XT100" s="38"/>
      <c r="XU100" s="38"/>
      <c r="XV100" s="38"/>
      <c r="XW100" s="38"/>
      <c r="XX100" s="38"/>
      <c r="XY100" s="38"/>
      <c r="XZ100" s="38"/>
      <c r="YA100" s="38"/>
      <c r="YB100" s="38"/>
      <c r="YC100" s="38"/>
      <c r="YD100" s="38"/>
      <c r="YE100" s="38"/>
      <c r="YF100" s="38"/>
      <c r="YG100" s="38"/>
      <c r="YH100" s="38"/>
      <c r="YI100" s="38"/>
      <c r="YJ100" s="38"/>
      <c r="YK100" s="38"/>
      <c r="YL100" s="38"/>
      <c r="YM100" s="38"/>
      <c r="YN100" s="38"/>
      <c r="YO100" s="38"/>
      <c r="YP100" s="38"/>
      <c r="YQ100" s="38"/>
      <c r="YR100" s="38"/>
      <c r="YS100" s="38"/>
      <c r="YT100" s="38"/>
      <c r="YU100" s="38"/>
      <c r="YV100" s="38"/>
      <c r="YW100" s="38"/>
      <c r="YX100" s="38"/>
      <c r="YY100" s="38"/>
      <c r="YZ100" s="38"/>
      <c r="ZA100" s="38"/>
      <c r="ZB100" s="38"/>
      <c r="ZC100" s="38"/>
      <c r="ZD100" s="38"/>
      <c r="ZE100" s="38"/>
      <c r="ZF100" s="38"/>
      <c r="ZG100" s="38"/>
      <c r="ZH100" s="38"/>
      <c r="ZI100" s="38"/>
      <c r="ZJ100" s="38"/>
      <c r="ZK100" s="38"/>
      <c r="ZL100" s="38"/>
      <c r="ZM100" s="38"/>
      <c r="ZN100" s="38"/>
      <c r="ZO100" s="38"/>
      <c r="ZP100" s="38"/>
      <c r="ZQ100" s="38"/>
      <c r="ZR100" s="38"/>
      <c r="ZS100" s="38"/>
      <c r="ZT100" s="38"/>
      <c r="ZU100" s="38"/>
      <c r="ZV100" s="38"/>
      <c r="ZW100" s="38"/>
      <c r="ZX100" s="38"/>
      <c r="ZY100" s="38"/>
      <c r="ZZ100" s="38"/>
      <c r="AAA100" s="38"/>
      <c r="AAB100" s="38"/>
      <c r="AAC100" s="38"/>
      <c r="AAD100" s="38"/>
      <c r="AAE100" s="38"/>
      <c r="AAF100" s="38"/>
      <c r="AAG100" s="38"/>
      <c r="AAH100" s="38"/>
      <c r="AAI100" s="38"/>
      <c r="AAJ100" s="38"/>
      <c r="AAK100" s="38"/>
      <c r="AAL100" s="38"/>
      <c r="AAM100" s="38"/>
      <c r="AAN100" s="38"/>
      <c r="AAO100" s="38"/>
      <c r="AAP100" s="38"/>
      <c r="AAQ100" s="38"/>
      <c r="AAR100" s="38"/>
      <c r="AAS100" s="38"/>
      <c r="AAT100" s="38"/>
      <c r="AAU100" s="38"/>
      <c r="AAV100" s="38"/>
      <c r="AAW100" s="38"/>
      <c r="AAX100" s="38"/>
      <c r="AAY100" s="38"/>
      <c r="AAZ100" s="38"/>
      <c r="ABA100" s="38"/>
      <c r="ABB100" s="38"/>
      <c r="ABC100" s="38"/>
      <c r="ABD100" s="38"/>
      <c r="ABE100" s="38"/>
      <c r="ABF100" s="38"/>
      <c r="ABG100" s="38"/>
      <c r="ABH100" s="38"/>
      <c r="ABI100" s="38"/>
      <c r="ABJ100" s="38"/>
      <c r="ABK100" s="38"/>
      <c r="ABL100" s="38"/>
      <c r="ABM100" s="38"/>
      <c r="ABN100" s="38"/>
      <c r="ABO100" s="38"/>
      <c r="ABP100" s="38"/>
      <c r="ABQ100" s="38"/>
      <c r="ABR100" s="38"/>
      <c r="ABS100" s="38"/>
      <c r="ABT100" s="38"/>
      <c r="ABU100" s="38"/>
      <c r="ABV100" s="38"/>
      <c r="ABW100" s="38"/>
      <c r="ABX100" s="38"/>
      <c r="ABY100" s="38"/>
      <c r="ABZ100" s="38"/>
      <c r="ACA100" s="38"/>
      <c r="ACB100" s="38"/>
      <c r="ACC100" s="38"/>
      <c r="ACD100" s="38"/>
      <c r="ACE100" s="38"/>
      <c r="ACF100" s="38"/>
      <c r="ACG100" s="38"/>
      <c r="ACH100" s="38"/>
      <c r="ACI100" s="38"/>
      <c r="ACJ100" s="38"/>
      <c r="ACK100" s="38"/>
      <c r="ACL100" s="38"/>
      <c r="ACM100" s="38"/>
      <c r="ACN100" s="38"/>
      <c r="ACO100" s="38"/>
      <c r="ACP100" s="38"/>
      <c r="ACQ100" s="38"/>
      <c r="ACR100" s="38"/>
      <c r="ACS100" s="38"/>
      <c r="ACT100" s="38"/>
      <c r="ACU100" s="38"/>
      <c r="ACV100" s="38"/>
      <c r="ACW100" s="38"/>
      <c r="ACX100" s="38"/>
      <c r="ACY100" s="38"/>
      <c r="ACZ100" s="38"/>
      <c r="ADA100" s="38"/>
      <c r="ADB100" s="38"/>
      <c r="ADC100" s="38"/>
      <c r="ADD100" s="38"/>
      <c r="ADE100" s="38"/>
      <c r="ADF100" s="38"/>
      <c r="ADG100" s="38"/>
      <c r="ADH100" s="38"/>
      <c r="ADI100" s="38"/>
      <c r="ADJ100" s="38"/>
      <c r="ADK100" s="38"/>
      <c r="ADL100" s="38"/>
      <c r="ADM100" s="38"/>
      <c r="ADN100" s="38"/>
      <c r="ADO100" s="38"/>
      <c r="ADP100" s="38"/>
      <c r="ADQ100" s="38"/>
      <c r="ADR100" s="38"/>
      <c r="ADS100" s="38"/>
      <c r="ADT100" s="38"/>
      <c r="ADU100" s="38"/>
      <c r="ADV100" s="38"/>
      <c r="ADW100" s="38"/>
      <c r="ADX100" s="38"/>
      <c r="ADY100" s="38"/>
      <c r="ADZ100" s="38"/>
      <c r="AEA100" s="38"/>
      <c r="AEB100" s="38"/>
      <c r="AEC100" s="38"/>
      <c r="AED100" s="38"/>
      <c r="AEE100" s="38"/>
      <c r="AEF100" s="38"/>
      <c r="AEG100" s="38"/>
      <c r="AEH100" s="38"/>
      <c r="AEI100" s="38"/>
      <c r="AEJ100" s="38"/>
      <c r="AEK100" s="38"/>
      <c r="AEL100" s="38"/>
      <c r="AEM100" s="38"/>
      <c r="AEN100" s="38"/>
      <c r="AEO100" s="38"/>
      <c r="AEP100" s="38"/>
      <c r="AEQ100" s="38"/>
      <c r="AER100" s="38"/>
      <c r="AES100" s="38"/>
      <c r="AET100" s="38"/>
      <c r="AEU100" s="38"/>
      <c r="AEV100" s="38"/>
      <c r="AEW100" s="38"/>
      <c r="AEX100" s="38"/>
      <c r="AEY100" s="38"/>
      <c r="AEZ100" s="38"/>
      <c r="AFA100" s="38"/>
      <c r="AFB100" s="38"/>
      <c r="AFC100" s="38"/>
      <c r="AFD100" s="38"/>
      <c r="AFE100" s="38"/>
      <c r="AFF100" s="38"/>
      <c r="AFG100" s="38"/>
      <c r="AFH100" s="38"/>
      <c r="AFI100" s="38"/>
      <c r="AFJ100" s="38"/>
      <c r="AFK100" s="38"/>
      <c r="AFL100" s="38"/>
      <c r="AFM100" s="38"/>
      <c r="AFN100" s="38"/>
      <c r="AFO100" s="38"/>
      <c r="AFP100" s="38"/>
      <c r="AFQ100" s="38"/>
      <c r="AFR100" s="38"/>
      <c r="AFS100" s="38"/>
      <c r="AFT100" s="38"/>
      <c r="AFU100" s="38"/>
      <c r="AFV100" s="38"/>
      <c r="AFW100" s="38"/>
      <c r="AFX100" s="38"/>
      <c r="AFY100" s="38"/>
      <c r="AFZ100" s="38"/>
      <c r="AGA100" s="38"/>
      <c r="AGB100" s="38"/>
      <c r="AGC100" s="38"/>
      <c r="AGD100" s="38"/>
      <c r="AGE100" s="38"/>
      <c r="AGF100" s="38"/>
      <c r="AGG100" s="38"/>
      <c r="AGH100" s="38"/>
      <c r="AGI100" s="38"/>
      <c r="AGJ100" s="38"/>
      <c r="AGK100" s="38"/>
      <c r="AGL100" s="38"/>
      <c r="AGM100" s="38"/>
      <c r="AGN100" s="38"/>
      <c r="AGO100" s="38"/>
      <c r="AGP100" s="38"/>
      <c r="AGQ100" s="38"/>
      <c r="AGR100" s="38"/>
      <c r="AGS100" s="38"/>
      <c r="AGT100" s="38"/>
      <c r="AGU100" s="38"/>
      <c r="AGV100" s="38"/>
      <c r="AGW100" s="38"/>
      <c r="AGX100" s="38"/>
      <c r="AGY100" s="38"/>
      <c r="AGZ100" s="38"/>
      <c r="AHA100" s="38"/>
      <c r="AHB100" s="38"/>
      <c r="AHC100" s="38"/>
      <c r="AHD100" s="38"/>
      <c r="AHE100" s="38"/>
      <c r="AHF100" s="38"/>
      <c r="AHG100" s="38"/>
      <c r="AHH100" s="38"/>
      <c r="AHI100" s="38"/>
      <c r="AHJ100" s="38"/>
      <c r="AHK100" s="38"/>
      <c r="AHL100" s="38"/>
      <c r="AHM100" s="38"/>
      <c r="AHN100" s="38"/>
      <c r="AHO100" s="38"/>
      <c r="AHP100" s="38"/>
      <c r="AHQ100" s="38"/>
      <c r="AHR100" s="38"/>
      <c r="AHS100" s="38"/>
      <c r="AHT100" s="38"/>
      <c r="AHU100" s="38"/>
      <c r="AHV100" s="38"/>
    </row>
    <row r="101" spans="1:906" s="27" customFormat="1" x14ac:dyDescent="0.35">
      <c r="A101" s="83">
        <v>96</v>
      </c>
      <c r="B101" s="108" t="s">
        <v>169</v>
      </c>
      <c r="C101" s="109"/>
      <c r="D101" s="109" t="s">
        <v>170</v>
      </c>
      <c r="E101" s="125">
        <v>35.99</v>
      </c>
      <c r="F101" s="125">
        <v>34.950000000000003</v>
      </c>
      <c r="G101" s="125">
        <v>33.950000000000003</v>
      </c>
      <c r="H101" s="125">
        <v>35.25</v>
      </c>
      <c r="I101" s="37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  <c r="BP101" s="38"/>
      <c r="BQ101" s="38"/>
      <c r="BR101" s="38"/>
      <c r="BS101" s="38"/>
      <c r="BT101" s="38"/>
      <c r="BU101" s="38"/>
      <c r="BV101" s="38"/>
      <c r="BW101" s="38"/>
      <c r="BX101" s="38"/>
      <c r="BY101" s="38"/>
      <c r="BZ101" s="38"/>
      <c r="CA101" s="38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  <c r="CM101" s="38"/>
      <c r="CN101" s="38"/>
      <c r="CO101" s="38"/>
      <c r="CP101" s="38"/>
      <c r="CQ101" s="38"/>
      <c r="CR101" s="38"/>
      <c r="CS101" s="38"/>
      <c r="CT101" s="38"/>
      <c r="CU101" s="38"/>
      <c r="CV101" s="38"/>
      <c r="CW101" s="38"/>
      <c r="CX101" s="38"/>
      <c r="CY101" s="38"/>
      <c r="CZ101" s="38"/>
      <c r="DA101" s="38"/>
      <c r="DB101" s="38"/>
      <c r="DC101" s="38"/>
      <c r="DD101" s="38"/>
      <c r="DE101" s="38"/>
      <c r="DF101" s="38"/>
      <c r="DG101" s="38"/>
      <c r="DH101" s="38"/>
      <c r="DI101" s="38"/>
      <c r="DJ101" s="38"/>
      <c r="DK101" s="38"/>
      <c r="DL101" s="38"/>
      <c r="DM101" s="38"/>
      <c r="DN101" s="38"/>
      <c r="DO101" s="38"/>
      <c r="DP101" s="38"/>
      <c r="DQ101" s="38"/>
      <c r="DR101" s="38"/>
      <c r="DS101" s="38"/>
      <c r="DT101" s="38"/>
      <c r="DU101" s="38"/>
      <c r="DV101" s="38"/>
      <c r="DW101" s="38"/>
      <c r="DX101" s="38"/>
      <c r="DY101" s="38"/>
      <c r="DZ101" s="38"/>
      <c r="EA101" s="38"/>
      <c r="EB101" s="38"/>
      <c r="EC101" s="38"/>
      <c r="ED101" s="38"/>
      <c r="EE101" s="38"/>
      <c r="EF101" s="38"/>
      <c r="EG101" s="38"/>
      <c r="EH101" s="38"/>
      <c r="EI101" s="38"/>
      <c r="EJ101" s="38"/>
      <c r="EK101" s="38"/>
      <c r="EL101" s="38"/>
      <c r="EM101" s="38"/>
      <c r="EN101" s="38"/>
      <c r="EO101" s="38"/>
      <c r="EP101" s="38"/>
      <c r="EQ101" s="38"/>
      <c r="ER101" s="38"/>
      <c r="ES101" s="38"/>
      <c r="ET101" s="38"/>
      <c r="EU101" s="38"/>
      <c r="EV101" s="38"/>
      <c r="EW101" s="38"/>
      <c r="EX101" s="38"/>
      <c r="EY101" s="38"/>
      <c r="EZ101" s="38"/>
      <c r="FA101" s="38"/>
      <c r="FB101" s="38"/>
      <c r="FC101" s="38"/>
      <c r="FD101" s="38"/>
      <c r="FE101" s="38"/>
      <c r="FF101" s="38"/>
      <c r="FG101" s="38"/>
      <c r="FH101" s="38"/>
      <c r="FI101" s="38"/>
      <c r="FJ101" s="38"/>
      <c r="FK101" s="38"/>
      <c r="FL101" s="38"/>
      <c r="FM101" s="38"/>
      <c r="FN101" s="38"/>
      <c r="FO101" s="38"/>
      <c r="FP101" s="38"/>
      <c r="FQ101" s="38"/>
      <c r="FR101" s="38"/>
      <c r="FS101" s="38"/>
      <c r="FT101" s="38"/>
      <c r="FU101" s="38"/>
      <c r="FV101" s="38"/>
      <c r="FW101" s="38"/>
      <c r="FX101" s="38"/>
      <c r="FY101" s="38"/>
      <c r="FZ101" s="38"/>
      <c r="GA101" s="38"/>
      <c r="GB101" s="38"/>
      <c r="GC101" s="38"/>
      <c r="GD101" s="38"/>
      <c r="GE101" s="38"/>
      <c r="GF101" s="38"/>
      <c r="GG101" s="38"/>
      <c r="GH101" s="38"/>
      <c r="GI101" s="38"/>
      <c r="GJ101" s="38"/>
      <c r="GK101" s="38"/>
      <c r="GL101" s="38"/>
      <c r="GM101" s="38"/>
      <c r="GN101" s="38"/>
      <c r="GO101" s="38"/>
      <c r="GP101" s="38"/>
      <c r="GQ101" s="38"/>
      <c r="GR101" s="38"/>
      <c r="GS101" s="38"/>
      <c r="GT101" s="38"/>
      <c r="GU101" s="38"/>
      <c r="GV101" s="38"/>
      <c r="GW101" s="38"/>
      <c r="GX101" s="38"/>
      <c r="GY101" s="38"/>
      <c r="GZ101" s="38"/>
      <c r="HA101" s="38"/>
      <c r="HB101" s="38"/>
      <c r="HC101" s="38"/>
      <c r="HD101" s="38"/>
      <c r="HE101" s="38"/>
      <c r="HF101" s="38"/>
      <c r="HG101" s="38"/>
      <c r="HH101" s="38"/>
      <c r="HI101" s="38"/>
      <c r="HJ101" s="38"/>
      <c r="HK101" s="38"/>
      <c r="HL101" s="38"/>
      <c r="HM101" s="38"/>
      <c r="HN101" s="38"/>
      <c r="HO101" s="38"/>
      <c r="HP101" s="38"/>
      <c r="HQ101" s="38"/>
      <c r="HR101" s="38"/>
      <c r="HS101" s="38"/>
      <c r="HT101" s="38"/>
      <c r="HU101" s="38"/>
      <c r="HV101" s="38"/>
      <c r="HW101" s="38"/>
      <c r="HX101" s="38"/>
      <c r="HY101" s="38"/>
      <c r="HZ101" s="38"/>
      <c r="IA101" s="38"/>
      <c r="IB101" s="38"/>
      <c r="IC101" s="38"/>
      <c r="ID101" s="38"/>
      <c r="IE101" s="38"/>
      <c r="IF101" s="38"/>
      <c r="IG101" s="38"/>
      <c r="IH101" s="38"/>
      <c r="II101" s="38"/>
      <c r="IJ101" s="38"/>
      <c r="IK101" s="38"/>
      <c r="IL101" s="38"/>
      <c r="IM101" s="38"/>
      <c r="IN101" s="38"/>
      <c r="IO101" s="38"/>
      <c r="IP101" s="38"/>
      <c r="IQ101" s="38"/>
      <c r="IR101" s="38"/>
      <c r="IS101" s="38"/>
      <c r="IT101" s="38"/>
      <c r="IU101" s="38"/>
      <c r="IV101" s="38"/>
      <c r="IW101" s="38"/>
      <c r="IX101" s="38"/>
      <c r="IY101" s="38"/>
      <c r="IZ101" s="38"/>
      <c r="JA101" s="38"/>
      <c r="JB101" s="38"/>
      <c r="JC101" s="38"/>
      <c r="JD101" s="38"/>
      <c r="JE101" s="38"/>
      <c r="JF101" s="38"/>
      <c r="JG101" s="38"/>
      <c r="JH101" s="38"/>
      <c r="JI101" s="38"/>
      <c r="JJ101" s="38"/>
      <c r="JK101" s="38"/>
      <c r="JL101" s="38"/>
      <c r="JM101" s="38"/>
      <c r="JN101" s="38"/>
      <c r="JO101" s="38"/>
      <c r="JP101" s="38"/>
      <c r="JQ101" s="38"/>
      <c r="JR101" s="38"/>
      <c r="JS101" s="38"/>
      <c r="JT101" s="38"/>
      <c r="JU101" s="38"/>
      <c r="JV101" s="38"/>
      <c r="JW101" s="38"/>
      <c r="JX101" s="38"/>
      <c r="JY101" s="38"/>
      <c r="JZ101" s="38"/>
      <c r="KA101" s="38"/>
      <c r="KB101" s="38"/>
      <c r="KC101" s="38"/>
      <c r="KD101" s="38"/>
      <c r="KE101" s="38"/>
      <c r="KF101" s="38"/>
      <c r="KG101" s="38"/>
      <c r="KH101" s="38"/>
      <c r="KI101" s="38"/>
      <c r="KJ101" s="38"/>
      <c r="KK101" s="38"/>
      <c r="KL101" s="38"/>
      <c r="KM101" s="38"/>
      <c r="KN101" s="38"/>
      <c r="KO101" s="38"/>
      <c r="KP101" s="38"/>
      <c r="KQ101" s="38"/>
      <c r="KR101" s="38"/>
      <c r="KS101" s="38"/>
      <c r="KT101" s="38"/>
      <c r="KU101" s="38"/>
      <c r="KV101" s="38"/>
      <c r="KW101" s="38"/>
      <c r="KX101" s="38"/>
      <c r="KY101" s="38"/>
      <c r="KZ101" s="38"/>
      <c r="LA101" s="38"/>
      <c r="LB101" s="38"/>
      <c r="LC101" s="38"/>
      <c r="LD101" s="38"/>
      <c r="LE101" s="38"/>
      <c r="LF101" s="38"/>
      <c r="LG101" s="38"/>
      <c r="LH101" s="38"/>
      <c r="LI101" s="38"/>
      <c r="LJ101" s="38"/>
      <c r="LK101" s="38"/>
      <c r="LL101" s="38"/>
      <c r="LM101" s="38"/>
      <c r="LN101" s="38"/>
      <c r="LO101" s="38"/>
      <c r="LP101" s="38"/>
      <c r="LQ101" s="38"/>
      <c r="LR101" s="38"/>
      <c r="LS101" s="38"/>
      <c r="LT101" s="38"/>
      <c r="LU101" s="38"/>
      <c r="LV101" s="38"/>
      <c r="LW101" s="38"/>
      <c r="LX101" s="38"/>
      <c r="LY101" s="38"/>
      <c r="LZ101" s="38"/>
      <c r="MA101" s="38"/>
      <c r="MB101" s="38"/>
      <c r="MC101" s="38"/>
      <c r="MD101" s="38"/>
      <c r="ME101" s="38"/>
      <c r="MF101" s="38"/>
      <c r="MG101" s="38"/>
      <c r="MH101" s="38"/>
      <c r="MI101" s="38"/>
      <c r="MJ101" s="38"/>
      <c r="MK101" s="38"/>
      <c r="ML101" s="38"/>
      <c r="MM101" s="38"/>
      <c r="MN101" s="38"/>
      <c r="MO101" s="38"/>
      <c r="MP101" s="38"/>
      <c r="MQ101" s="38"/>
      <c r="MR101" s="38"/>
      <c r="MS101" s="38"/>
      <c r="MT101" s="38"/>
      <c r="MU101" s="38"/>
      <c r="MV101" s="38"/>
      <c r="MW101" s="38"/>
      <c r="MX101" s="38"/>
      <c r="MY101" s="38"/>
      <c r="MZ101" s="38"/>
      <c r="NA101" s="38"/>
      <c r="NB101" s="38"/>
      <c r="NC101" s="38"/>
      <c r="ND101" s="38"/>
      <c r="NE101" s="38"/>
      <c r="NF101" s="38"/>
      <c r="NG101" s="38"/>
      <c r="NH101" s="38"/>
      <c r="NI101" s="38"/>
      <c r="NJ101" s="38"/>
      <c r="NK101" s="38"/>
      <c r="NL101" s="38"/>
      <c r="NM101" s="38"/>
      <c r="NN101" s="38"/>
      <c r="NO101" s="38"/>
      <c r="NP101" s="38"/>
      <c r="NQ101" s="38"/>
      <c r="NR101" s="38"/>
      <c r="NS101" s="38"/>
      <c r="NT101" s="38"/>
      <c r="NU101" s="38"/>
      <c r="NV101" s="38"/>
      <c r="NW101" s="38"/>
      <c r="NX101" s="38"/>
      <c r="NY101" s="38"/>
      <c r="NZ101" s="38"/>
      <c r="OA101" s="38"/>
      <c r="OB101" s="38"/>
      <c r="OC101" s="38"/>
      <c r="OD101" s="38"/>
      <c r="OE101" s="38"/>
      <c r="OF101" s="38"/>
      <c r="OG101" s="38"/>
      <c r="OH101" s="38"/>
      <c r="OI101" s="38"/>
      <c r="OJ101" s="38"/>
      <c r="OK101" s="38"/>
      <c r="OL101" s="38"/>
      <c r="OM101" s="38"/>
      <c r="ON101" s="38"/>
      <c r="OO101" s="38"/>
      <c r="OP101" s="38"/>
      <c r="OQ101" s="38"/>
      <c r="OR101" s="38"/>
      <c r="OS101" s="38"/>
      <c r="OT101" s="38"/>
      <c r="OU101" s="38"/>
      <c r="OV101" s="38"/>
      <c r="OW101" s="38"/>
      <c r="OX101" s="38"/>
      <c r="OY101" s="38"/>
      <c r="OZ101" s="38"/>
      <c r="PA101" s="38"/>
      <c r="PB101" s="38"/>
      <c r="PC101" s="38"/>
      <c r="PD101" s="38"/>
      <c r="PE101" s="38"/>
      <c r="PF101" s="38"/>
      <c r="PG101" s="38"/>
      <c r="PH101" s="38"/>
      <c r="PI101" s="38"/>
      <c r="PJ101" s="38"/>
      <c r="PK101" s="38"/>
      <c r="PL101" s="38"/>
      <c r="PM101" s="38"/>
      <c r="PN101" s="38"/>
      <c r="PO101" s="38"/>
      <c r="PP101" s="38"/>
      <c r="PQ101" s="38"/>
      <c r="PR101" s="38"/>
      <c r="PS101" s="38"/>
      <c r="PT101" s="38"/>
      <c r="PU101" s="38"/>
      <c r="PV101" s="38"/>
      <c r="PW101" s="38"/>
      <c r="PX101" s="38"/>
      <c r="PY101" s="38"/>
      <c r="PZ101" s="38"/>
      <c r="QA101" s="38"/>
      <c r="QB101" s="38"/>
      <c r="QC101" s="38"/>
      <c r="QD101" s="38"/>
      <c r="QE101" s="38"/>
      <c r="QF101" s="38"/>
      <c r="QG101" s="38"/>
      <c r="QH101" s="38"/>
      <c r="QI101" s="38"/>
      <c r="QJ101" s="38"/>
      <c r="QK101" s="38"/>
      <c r="QL101" s="38"/>
      <c r="QM101" s="38"/>
      <c r="QN101" s="38"/>
      <c r="QO101" s="38"/>
      <c r="QP101" s="38"/>
      <c r="QQ101" s="38"/>
      <c r="QR101" s="38"/>
      <c r="QS101" s="38"/>
      <c r="QT101" s="38"/>
      <c r="QU101" s="38"/>
      <c r="QV101" s="38"/>
      <c r="QW101" s="38"/>
      <c r="QX101" s="38"/>
      <c r="QY101" s="38"/>
      <c r="QZ101" s="38"/>
      <c r="RA101" s="38"/>
      <c r="RB101" s="38"/>
      <c r="RC101" s="38"/>
      <c r="RD101" s="38"/>
      <c r="RE101" s="38"/>
      <c r="RF101" s="38"/>
      <c r="RG101" s="38"/>
      <c r="RH101" s="38"/>
      <c r="RI101" s="38"/>
      <c r="RJ101" s="38"/>
      <c r="RK101" s="38"/>
      <c r="RL101" s="38"/>
      <c r="RM101" s="38"/>
      <c r="RN101" s="38"/>
      <c r="RO101" s="38"/>
      <c r="RP101" s="38"/>
      <c r="RQ101" s="38"/>
      <c r="RR101" s="38"/>
      <c r="RS101" s="38"/>
      <c r="RT101" s="38"/>
      <c r="RU101" s="38"/>
      <c r="RV101" s="38"/>
      <c r="RW101" s="38"/>
      <c r="RX101" s="38"/>
      <c r="RY101" s="38"/>
      <c r="RZ101" s="38"/>
      <c r="SA101" s="38"/>
      <c r="SB101" s="38"/>
      <c r="SC101" s="38"/>
      <c r="SD101" s="38"/>
      <c r="SE101" s="38"/>
      <c r="SF101" s="38"/>
      <c r="SG101" s="38"/>
      <c r="SH101" s="38"/>
      <c r="SI101" s="38"/>
      <c r="SJ101" s="38"/>
      <c r="SK101" s="38"/>
      <c r="SL101" s="38"/>
      <c r="SM101" s="38"/>
      <c r="SN101" s="38"/>
      <c r="SO101" s="38"/>
      <c r="SP101" s="38"/>
      <c r="SQ101" s="38"/>
      <c r="SR101" s="38"/>
      <c r="SS101" s="38"/>
      <c r="ST101" s="38"/>
      <c r="SU101" s="38"/>
      <c r="SV101" s="38"/>
      <c r="SW101" s="38"/>
      <c r="SX101" s="38"/>
      <c r="SY101" s="38"/>
      <c r="SZ101" s="38"/>
      <c r="TA101" s="38"/>
      <c r="TB101" s="38"/>
      <c r="TC101" s="38"/>
      <c r="TD101" s="38"/>
      <c r="TE101" s="38"/>
      <c r="TF101" s="38"/>
      <c r="TG101" s="38"/>
      <c r="TH101" s="38"/>
      <c r="TI101" s="38"/>
      <c r="TJ101" s="38"/>
      <c r="TK101" s="38"/>
      <c r="TL101" s="38"/>
      <c r="TM101" s="38"/>
      <c r="TN101" s="38"/>
      <c r="TO101" s="38"/>
      <c r="TP101" s="38"/>
      <c r="TQ101" s="38"/>
      <c r="TR101" s="38"/>
      <c r="TS101" s="38"/>
      <c r="TT101" s="38"/>
      <c r="TU101" s="38"/>
      <c r="TV101" s="38"/>
      <c r="TW101" s="38"/>
      <c r="TX101" s="38"/>
      <c r="TY101" s="38"/>
      <c r="TZ101" s="38"/>
      <c r="UA101" s="38"/>
      <c r="UB101" s="38"/>
      <c r="UC101" s="38"/>
      <c r="UD101" s="38"/>
      <c r="UE101" s="38"/>
      <c r="UF101" s="38"/>
      <c r="UG101" s="38"/>
      <c r="UH101" s="38"/>
      <c r="UI101" s="38"/>
      <c r="UJ101" s="38"/>
      <c r="UK101" s="38"/>
      <c r="UL101" s="38"/>
      <c r="UM101" s="38"/>
      <c r="UN101" s="38"/>
      <c r="UO101" s="38"/>
      <c r="UP101" s="38"/>
      <c r="UQ101" s="38"/>
      <c r="UR101" s="38"/>
      <c r="US101" s="38"/>
      <c r="UT101" s="38"/>
      <c r="UU101" s="38"/>
      <c r="UV101" s="38"/>
      <c r="UW101" s="38"/>
      <c r="UX101" s="38"/>
      <c r="UY101" s="38"/>
      <c r="UZ101" s="38"/>
      <c r="VA101" s="38"/>
      <c r="VB101" s="38"/>
      <c r="VC101" s="38"/>
      <c r="VD101" s="38"/>
      <c r="VE101" s="38"/>
      <c r="VF101" s="38"/>
      <c r="VG101" s="38"/>
      <c r="VH101" s="38"/>
      <c r="VI101" s="38"/>
      <c r="VJ101" s="38"/>
      <c r="VK101" s="38"/>
      <c r="VL101" s="38"/>
      <c r="VM101" s="38"/>
      <c r="VN101" s="38"/>
      <c r="VO101" s="38"/>
      <c r="VP101" s="38"/>
      <c r="VQ101" s="38"/>
      <c r="VR101" s="38"/>
      <c r="VS101" s="38"/>
      <c r="VT101" s="38"/>
      <c r="VU101" s="38"/>
      <c r="VV101" s="38"/>
      <c r="VW101" s="38"/>
      <c r="VX101" s="38"/>
      <c r="VY101" s="38"/>
      <c r="VZ101" s="38"/>
      <c r="WA101" s="38"/>
      <c r="WB101" s="38"/>
      <c r="WC101" s="38"/>
      <c r="WD101" s="38"/>
      <c r="WE101" s="38"/>
      <c r="WF101" s="38"/>
      <c r="WG101" s="38"/>
      <c r="WH101" s="38"/>
      <c r="WI101" s="38"/>
      <c r="WJ101" s="38"/>
      <c r="WK101" s="38"/>
      <c r="WL101" s="38"/>
      <c r="WM101" s="38"/>
      <c r="WN101" s="38"/>
      <c r="WO101" s="38"/>
      <c r="WP101" s="38"/>
      <c r="WQ101" s="38"/>
      <c r="WR101" s="38"/>
      <c r="WS101" s="38"/>
      <c r="WT101" s="38"/>
      <c r="WU101" s="38"/>
      <c r="WV101" s="38"/>
      <c r="WW101" s="38"/>
      <c r="WX101" s="38"/>
      <c r="WY101" s="38"/>
      <c r="WZ101" s="38"/>
      <c r="XA101" s="38"/>
      <c r="XB101" s="38"/>
      <c r="XC101" s="38"/>
      <c r="XD101" s="38"/>
      <c r="XE101" s="38"/>
      <c r="XF101" s="38"/>
      <c r="XG101" s="38"/>
      <c r="XH101" s="38"/>
      <c r="XI101" s="38"/>
      <c r="XJ101" s="38"/>
      <c r="XK101" s="38"/>
      <c r="XL101" s="38"/>
      <c r="XM101" s="38"/>
      <c r="XN101" s="38"/>
      <c r="XO101" s="38"/>
      <c r="XP101" s="38"/>
      <c r="XQ101" s="38"/>
      <c r="XR101" s="38"/>
      <c r="XS101" s="38"/>
      <c r="XT101" s="38"/>
      <c r="XU101" s="38"/>
      <c r="XV101" s="38"/>
      <c r="XW101" s="38"/>
      <c r="XX101" s="38"/>
      <c r="XY101" s="38"/>
      <c r="XZ101" s="38"/>
      <c r="YA101" s="38"/>
      <c r="YB101" s="38"/>
      <c r="YC101" s="38"/>
      <c r="YD101" s="38"/>
      <c r="YE101" s="38"/>
      <c r="YF101" s="38"/>
      <c r="YG101" s="38"/>
      <c r="YH101" s="38"/>
      <c r="YI101" s="38"/>
      <c r="YJ101" s="38"/>
      <c r="YK101" s="38"/>
      <c r="YL101" s="38"/>
      <c r="YM101" s="38"/>
      <c r="YN101" s="38"/>
      <c r="YO101" s="38"/>
      <c r="YP101" s="38"/>
      <c r="YQ101" s="38"/>
      <c r="YR101" s="38"/>
      <c r="YS101" s="38"/>
      <c r="YT101" s="38"/>
      <c r="YU101" s="38"/>
      <c r="YV101" s="38"/>
      <c r="YW101" s="38"/>
      <c r="YX101" s="38"/>
      <c r="YY101" s="38"/>
      <c r="YZ101" s="38"/>
      <c r="ZA101" s="38"/>
      <c r="ZB101" s="38"/>
      <c r="ZC101" s="38"/>
      <c r="ZD101" s="38"/>
      <c r="ZE101" s="38"/>
      <c r="ZF101" s="38"/>
      <c r="ZG101" s="38"/>
      <c r="ZH101" s="38"/>
      <c r="ZI101" s="38"/>
      <c r="ZJ101" s="38"/>
      <c r="ZK101" s="38"/>
      <c r="ZL101" s="38"/>
      <c r="ZM101" s="38"/>
      <c r="ZN101" s="38"/>
      <c r="ZO101" s="38"/>
      <c r="ZP101" s="38"/>
      <c r="ZQ101" s="38"/>
      <c r="ZR101" s="38"/>
      <c r="ZS101" s="38"/>
      <c r="ZT101" s="38"/>
      <c r="ZU101" s="38"/>
      <c r="ZV101" s="38"/>
      <c r="ZW101" s="38"/>
      <c r="ZX101" s="38"/>
      <c r="ZY101" s="38"/>
      <c r="ZZ101" s="38"/>
      <c r="AAA101" s="38"/>
      <c r="AAB101" s="38"/>
      <c r="AAC101" s="38"/>
      <c r="AAD101" s="38"/>
      <c r="AAE101" s="38"/>
      <c r="AAF101" s="38"/>
      <c r="AAG101" s="38"/>
      <c r="AAH101" s="38"/>
      <c r="AAI101" s="38"/>
      <c r="AAJ101" s="38"/>
      <c r="AAK101" s="38"/>
      <c r="AAL101" s="38"/>
      <c r="AAM101" s="38"/>
      <c r="AAN101" s="38"/>
      <c r="AAO101" s="38"/>
      <c r="AAP101" s="38"/>
      <c r="AAQ101" s="38"/>
      <c r="AAR101" s="38"/>
      <c r="AAS101" s="38"/>
      <c r="AAT101" s="38"/>
      <c r="AAU101" s="38"/>
      <c r="AAV101" s="38"/>
      <c r="AAW101" s="38"/>
      <c r="AAX101" s="38"/>
      <c r="AAY101" s="38"/>
      <c r="AAZ101" s="38"/>
      <c r="ABA101" s="38"/>
      <c r="ABB101" s="38"/>
      <c r="ABC101" s="38"/>
      <c r="ABD101" s="38"/>
      <c r="ABE101" s="38"/>
      <c r="ABF101" s="38"/>
      <c r="ABG101" s="38"/>
      <c r="ABH101" s="38"/>
      <c r="ABI101" s="38"/>
      <c r="ABJ101" s="38"/>
      <c r="ABK101" s="38"/>
      <c r="ABL101" s="38"/>
      <c r="ABM101" s="38"/>
      <c r="ABN101" s="38"/>
      <c r="ABO101" s="38"/>
      <c r="ABP101" s="38"/>
      <c r="ABQ101" s="38"/>
      <c r="ABR101" s="38"/>
      <c r="ABS101" s="38"/>
      <c r="ABT101" s="38"/>
      <c r="ABU101" s="38"/>
      <c r="ABV101" s="38"/>
      <c r="ABW101" s="38"/>
      <c r="ABX101" s="38"/>
      <c r="ABY101" s="38"/>
      <c r="ABZ101" s="38"/>
      <c r="ACA101" s="38"/>
      <c r="ACB101" s="38"/>
      <c r="ACC101" s="38"/>
      <c r="ACD101" s="38"/>
      <c r="ACE101" s="38"/>
      <c r="ACF101" s="38"/>
      <c r="ACG101" s="38"/>
      <c r="ACH101" s="38"/>
      <c r="ACI101" s="38"/>
      <c r="ACJ101" s="38"/>
      <c r="ACK101" s="38"/>
      <c r="ACL101" s="38"/>
      <c r="ACM101" s="38"/>
      <c r="ACN101" s="38"/>
      <c r="ACO101" s="38"/>
      <c r="ACP101" s="38"/>
      <c r="ACQ101" s="38"/>
      <c r="ACR101" s="38"/>
      <c r="ACS101" s="38"/>
      <c r="ACT101" s="38"/>
      <c r="ACU101" s="38"/>
      <c r="ACV101" s="38"/>
      <c r="ACW101" s="38"/>
      <c r="ACX101" s="38"/>
      <c r="ACY101" s="38"/>
      <c r="ACZ101" s="38"/>
      <c r="ADA101" s="38"/>
      <c r="ADB101" s="38"/>
      <c r="ADC101" s="38"/>
      <c r="ADD101" s="38"/>
      <c r="ADE101" s="38"/>
      <c r="ADF101" s="38"/>
      <c r="ADG101" s="38"/>
      <c r="ADH101" s="38"/>
      <c r="ADI101" s="38"/>
      <c r="ADJ101" s="38"/>
      <c r="ADK101" s="38"/>
      <c r="ADL101" s="38"/>
      <c r="ADM101" s="38"/>
      <c r="ADN101" s="38"/>
      <c r="ADO101" s="38"/>
      <c r="ADP101" s="38"/>
      <c r="ADQ101" s="38"/>
      <c r="ADR101" s="38"/>
      <c r="ADS101" s="38"/>
      <c r="ADT101" s="38"/>
      <c r="ADU101" s="38"/>
      <c r="ADV101" s="38"/>
      <c r="ADW101" s="38"/>
      <c r="ADX101" s="38"/>
      <c r="ADY101" s="38"/>
      <c r="ADZ101" s="38"/>
      <c r="AEA101" s="38"/>
      <c r="AEB101" s="38"/>
      <c r="AEC101" s="38"/>
      <c r="AED101" s="38"/>
      <c r="AEE101" s="38"/>
      <c r="AEF101" s="38"/>
      <c r="AEG101" s="38"/>
      <c r="AEH101" s="38"/>
      <c r="AEI101" s="38"/>
      <c r="AEJ101" s="38"/>
      <c r="AEK101" s="38"/>
      <c r="AEL101" s="38"/>
      <c r="AEM101" s="38"/>
      <c r="AEN101" s="38"/>
      <c r="AEO101" s="38"/>
      <c r="AEP101" s="38"/>
      <c r="AEQ101" s="38"/>
      <c r="AER101" s="38"/>
      <c r="AES101" s="38"/>
      <c r="AET101" s="38"/>
      <c r="AEU101" s="38"/>
      <c r="AEV101" s="38"/>
      <c r="AEW101" s="38"/>
      <c r="AEX101" s="38"/>
      <c r="AEY101" s="38"/>
      <c r="AEZ101" s="38"/>
      <c r="AFA101" s="38"/>
      <c r="AFB101" s="38"/>
      <c r="AFC101" s="38"/>
      <c r="AFD101" s="38"/>
      <c r="AFE101" s="38"/>
      <c r="AFF101" s="38"/>
      <c r="AFG101" s="38"/>
      <c r="AFH101" s="38"/>
      <c r="AFI101" s="38"/>
      <c r="AFJ101" s="38"/>
      <c r="AFK101" s="38"/>
      <c r="AFL101" s="38"/>
      <c r="AFM101" s="38"/>
      <c r="AFN101" s="38"/>
      <c r="AFO101" s="38"/>
      <c r="AFP101" s="38"/>
      <c r="AFQ101" s="38"/>
      <c r="AFR101" s="38"/>
      <c r="AFS101" s="38"/>
      <c r="AFT101" s="38"/>
      <c r="AFU101" s="38"/>
      <c r="AFV101" s="38"/>
      <c r="AFW101" s="38"/>
      <c r="AFX101" s="38"/>
      <c r="AFY101" s="38"/>
      <c r="AFZ101" s="38"/>
      <c r="AGA101" s="38"/>
      <c r="AGB101" s="38"/>
      <c r="AGC101" s="38"/>
      <c r="AGD101" s="38"/>
      <c r="AGE101" s="38"/>
      <c r="AGF101" s="38"/>
      <c r="AGG101" s="38"/>
      <c r="AGH101" s="38"/>
      <c r="AGI101" s="38"/>
      <c r="AGJ101" s="38"/>
      <c r="AGK101" s="38"/>
      <c r="AGL101" s="38"/>
      <c r="AGM101" s="38"/>
      <c r="AGN101" s="38"/>
      <c r="AGO101" s="38"/>
      <c r="AGP101" s="38"/>
      <c r="AGQ101" s="38"/>
      <c r="AGR101" s="38"/>
      <c r="AGS101" s="38"/>
      <c r="AGT101" s="38"/>
      <c r="AGU101" s="38"/>
      <c r="AGV101" s="38"/>
      <c r="AGW101" s="38"/>
      <c r="AGX101" s="38"/>
      <c r="AGY101" s="38"/>
      <c r="AGZ101" s="38"/>
      <c r="AHA101" s="38"/>
      <c r="AHB101" s="38"/>
      <c r="AHC101" s="38"/>
      <c r="AHD101" s="38"/>
      <c r="AHE101" s="38"/>
      <c r="AHF101" s="38"/>
      <c r="AHG101" s="38"/>
      <c r="AHH101" s="38"/>
      <c r="AHI101" s="38"/>
      <c r="AHJ101" s="38"/>
      <c r="AHK101" s="38"/>
      <c r="AHL101" s="38"/>
      <c r="AHM101" s="38"/>
      <c r="AHN101" s="38"/>
      <c r="AHO101" s="38"/>
      <c r="AHP101" s="38"/>
      <c r="AHQ101" s="38"/>
      <c r="AHR101" s="38"/>
      <c r="AHS101" s="38"/>
      <c r="AHT101" s="38"/>
      <c r="AHU101" s="38"/>
      <c r="AHV101" s="38"/>
    </row>
    <row r="102" spans="1:906" s="27" customFormat="1" x14ac:dyDescent="0.35">
      <c r="A102" s="83">
        <v>97</v>
      </c>
      <c r="B102" s="108" t="s">
        <v>171</v>
      </c>
      <c r="C102" s="109" t="s">
        <v>172</v>
      </c>
      <c r="D102" s="109" t="s">
        <v>173</v>
      </c>
      <c r="E102" s="125"/>
      <c r="F102" s="125"/>
      <c r="G102" s="125">
        <v>32.5</v>
      </c>
      <c r="H102" s="125">
        <v>39.5</v>
      </c>
      <c r="I102" s="37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  <c r="EB102" s="38"/>
      <c r="EC102" s="38"/>
      <c r="ED102" s="38"/>
      <c r="EE102" s="38"/>
      <c r="EF102" s="38"/>
      <c r="EG102" s="38"/>
      <c r="EH102" s="38"/>
      <c r="EI102" s="38"/>
      <c r="EJ102" s="38"/>
      <c r="EK102" s="38"/>
      <c r="EL102" s="38"/>
      <c r="EM102" s="38"/>
      <c r="EN102" s="38"/>
      <c r="EO102" s="38"/>
      <c r="EP102" s="38"/>
      <c r="EQ102" s="38"/>
      <c r="ER102" s="38"/>
      <c r="ES102" s="38"/>
      <c r="ET102" s="38"/>
      <c r="EU102" s="38"/>
      <c r="EV102" s="38"/>
      <c r="EW102" s="38"/>
      <c r="EX102" s="38"/>
      <c r="EY102" s="38"/>
      <c r="EZ102" s="38"/>
      <c r="FA102" s="38"/>
      <c r="FB102" s="38"/>
      <c r="FC102" s="38"/>
      <c r="FD102" s="38"/>
      <c r="FE102" s="38"/>
      <c r="FF102" s="38"/>
      <c r="FG102" s="38"/>
      <c r="FH102" s="38"/>
      <c r="FI102" s="38"/>
      <c r="FJ102" s="38"/>
      <c r="FK102" s="38"/>
      <c r="FL102" s="38"/>
      <c r="FM102" s="38"/>
      <c r="FN102" s="38"/>
      <c r="FO102" s="38"/>
      <c r="FP102" s="38"/>
      <c r="FQ102" s="38"/>
      <c r="FR102" s="38"/>
      <c r="FS102" s="38"/>
      <c r="FT102" s="38"/>
      <c r="FU102" s="38"/>
      <c r="FV102" s="38"/>
      <c r="FW102" s="38"/>
      <c r="FX102" s="38"/>
      <c r="FY102" s="38"/>
      <c r="FZ102" s="38"/>
      <c r="GA102" s="38"/>
      <c r="GB102" s="38"/>
      <c r="GC102" s="38"/>
      <c r="GD102" s="38"/>
      <c r="GE102" s="38"/>
      <c r="GF102" s="38"/>
      <c r="GG102" s="38"/>
      <c r="GH102" s="38"/>
      <c r="GI102" s="38"/>
      <c r="GJ102" s="38"/>
      <c r="GK102" s="38"/>
      <c r="GL102" s="38"/>
      <c r="GM102" s="38"/>
      <c r="GN102" s="38"/>
      <c r="GO102" s="38"/>
      <c r="GP102" s="38"/>
      <c r="GQ102" s="38"/>
      <c r="GR102" s="38"/>
      <c r="GS102" s="38"/>
      <c r="GT102" s="38"/>
      <c r="GU102" s="38"/>
      <c r="GV102" s="38"/>
      <c r="GW102" s="38"/>
      <c r="GX102" s="38"/>
      <c r="GY102" s="38"/>
      <c r="GZ102" s="38"/>
      <c r="HA102" s="38"/>
      <c r="HB102" s="38"/>
      <c r="HC102" s="38"/>
      <c r="HD102" s="38"/>
      <c r="HE102" s="38"/>
      <c r="HF102" s="38"/>
      <c r="HG102" s="38"/>
      <c r="HH102" s="38"/>
      <c r="HI102" s="38"/>
      <c r="HJ102" s="38"/>
      <c r="HK102" s="38"/>
      <c r="HL102" s="38"/>
      <c r="HM102" s="38"/>
      <c r="HN102" s="38"/>
      <c r="HO102" s="38"/>
      <c r="HP102" s="38"/>
      <c r="HQ102" s="38"/>
      <c r="HR102" s="38"/>
      <c r="HS102" s="38"/>
      <c r="HT102" s="38"/>
      <c r="HU102" s="38"/>
      <c r="HV102" s="38"/>
      <c r="HW102" s="38"/>
      <c r="HX102" s="38"/>
      <c r="HY102" s="38"/>
      <c r="HZ102" s="38"/>
      <c r="IA102" s="38"/>
      <c r="IB102" s="38"/>
      <c r="IC102" s="38"/>
      <c r="ID102" s="38"/>
      <c r="IE102" s="38"/>
      <c r="IF102" s="38"/>
      <c r="IG102" s="38"/>
      <c r="IH102" s="38"/>
      <c r="II102" s="38"/>
      <c r="IJ102" s="38"/>
      <c r="IK102" s="38"/>
      <c r="IL102" s="38"/>
      <c r="IM102" s="38"/>
      <c r="IN102" s="38"/>
      <c r="IO102" s="38"/>
      <c r="IP102" s="38"/>
      <c r="IQ102" s="38"/>
      <c r="IR102" s="38"/>
      <c r="IS102" s="38"/>
      <c r="IT102" s="38"/>
      <c r="IU102" s="38"/>
      <c r="IV102" s="38"/>
      <c r="IW102" s="38"/>
      <c r="IX102" s="38"/>
      <c r="IY102" s="38"/>
      <c r="IZ102" s="38"/>
      <c r="JA102" s="38"/>
      <c r="JB102" s="38"/>
      <c r="JC102" s="38"/>
      <c r="JD102" s="38"/>
      <c r="JE102" s="38"/>
      <c r="JF102" s="38"/>
      <c r="JG102" s="38"/>
      <c r="JH102" s="38"/>
      <c r="JI102" s="38"/>
      <c r="JJ102" s="38"/>
      <c r="JK102" s="38"/>
      <c r="JL102" s="38"/>
      <c r="JM102" s="38"/>
      <c r="JN102" s="38"/>
      <c r="JO102" s="38"/>
      <c r="JP102" s="38"/>
      <c r="JQ102" s="38"/>
      <c r="JR102" s="38"/>
      <c r="JS102" s="38"/>
      <c r="JT102" s="38"/>
      <c r="JU102" s="38"/>
      <c r="JV102" s="38"/>
      <c r="JW102" s="38"/>
      <c r="JX102" s="38"/>
      <c r="JY102" s="38"/>
      <c r="JZ102" s="38"/>
      <c r="KA102" s="38"/>
      <c r="KB102" s="38"/>
      <c r="KC102" s="38"/>
      <c r="KD102" s="38"/>
      <c r="KE102" s="38"/>
      <c r="KF102" s="38"/>
      <c r="KG102" s="38"/>
      <c r="KH102" s="38"/>
      <c r="KI102" s="38"/>
      <c r="KJ102" s="38"/>
      <c r="KK102" s="38"/>
      <c r="KL102" s="38"/>
      <c r="KM102" s="38"/>
      <c r="KN102" s="38"/>
      <c r="KO102" s="38"/>
      <c r="KP102" s="38"/>
      <c r="KQ102" s="38"/>
      <c r="KR102" s="38"/>
      <c r="KS102" s="38"/>
      <c r="KT102" s="38"/>
      <c r="KU102" s="38"/>
      <c r="KV102" s="38"/>
      <c r="KW102" s="38"/>
      <c r="KX102" s="38"/>
      <c r="KY102" s="38"/>
      <c r="KZ102" s="38"/>
      <c r="LA102" s="38"/>
      <c r="LB102" s="38"/>
      <c r="LC102" s="38"/>
      <c r="LD102" s="38"/>
      <c r="LE102" s="38"/>
      <c r="LF102" s="38"/>
      <c r="LG102" s="38"/>
      <c r="LH102" s="38"/>
      <c r="LI102" s="38"/>
      <c r="LJ102" s="38"/>
      <c r="LK102" s="38"/>
      <c r="LL102" s="38"/>
      <c r="LM102" s="38"/>
      <c r="LN102" s="38"/>
      <c r="LO102" s="38"/>
      <c r="LP102" s="38"/>
      <c r="LQ102" s="38"/>
      <c r="LR102" s="38"/>
      <c r="LS102" s="38"/>
      <c r="LT102" s="38"/>
      <c r="LU102" s="38"/>
      <c r="LV102" s="38"/>
      <c r="LW102" s="38"/>
      <c r="LX102" s="38"/>
      <c r="LY102" s="38"/>
      <c r="LZ102" s="38"/>
      <c r="MA102" s="38"/>
      <c r="MB102" s="38"/>
      <c r="MC102" s="38"/>
      <c r="MD102" s="38"/>
      <c r="ME102" s="38"/>
      <c r="MF102" s="38"/>
      <c r="MG102" s="38"/>
      <c r="MH102" s="38"/>
      <c r="MI102" s="38"/>
      <c r="MJ102" s="38"/>
      <c r="MK102" s="38"/>
      <c r="ML102" s="38"/>
      <c r="MM102" s="38"/>
      <c r="MN102" s="38"/>
      <c r="MO102" s="38"/>
      <c r="MP102" s="38"/>
      <c r="MQ102" s="38"/>
      <c r="MR102" s="38"/>
      <c r="MS102" s="38"/>
      <c r="MT102" s="38"/>
      <c r="MU102" s="38"/>
      <c r="MV102" s="38"/>
      <c r="MW102" s="38"/>
      <c r="MX102" s="38"/>
      <c r="MY102" s="38"/>
      <c r="MZ102" s="38"/>
      <c r="NA102" s="38"/>
      <c r="NB102" s="38"/>
      <c r="NC102" s="38"/>
      <c r="ND102" s="38"/>
      <c r="NE102" s="38"/>
      <c r="NF102" s="38"/>
      <c r="NG102" s="38"/>
      <c r="NH102" s="38"/>
      <c r="NI102" s="38"/>
      <c r="NJ102" s="38"/>
      <c r="NK102" s="38"/>
      <c r="NL102" s="38"/>
      <c r="NM102" s="38"/>
      <c r="NN102" s="38"/>
      <c r="NO102" s="38"/>
      <c r="NP102" s="38"/>
      <c r="NQ102" s="38"/>
      <c r="NR102" s="38"/>
      <c r="NS102" s="38"/>
      <c r="NT102" s="38"/>
      <c r="NU102" s="38"/>
      <c r="NV102" s="38"/>
      <c r="NW102" s="38"/>
      <c r="NX102" s="38"/>
      <c r="NY102" s="38"/>
      <c r="NZ102" s="38"/>
      <c r="OA102" s="38"/>
      <c r="OB102" s="38"/>
      <c r="OC102" s="38"/>
      <c r="OD102" s="38"/>
      <c r="OE102" s="38"/>
      <c r="OF102" s="38"/>
      <c r="OG102" s="38"/>
      <c r="OH102" s="38"/>
      <c r="OI102" s="38"/>
      <c r="OJ102" s="38"/>
      <c r="OK102" s="38"/>
      <c r="OL102" s="38"/>
      <c r="OM102" s="38"/>
      <c r="ON102" s="38"/>
      <c r="OO102" s="38"/>
      <c r="OP102" s="38"/>
      <c r="OQ102" s="38"/>
      <c r="OR102" s="38"/>
      <c r="OS102" s="38"/>
      <c r="OT102" s="38"/>
      <c r="OU102" s="38"/>
      <c r="OV102" s="38"/>
      <c r="OW102" s="38"/>
      <c r="OX102" s="38"/>
      <c r="OY102" s="38"/>
      <c r="OZ102" s="38"/>
      <c r="PA102" s="38"/>
      <c r="PB102" s="38"/>
      <c r="PC102" s="38"/>
      <c r="PD102" s="38"/>
      <c r="PE102" s="38"/>
      <c r="PF102" s="38"/>
      <c r="PG102" s="38"/>
      <c r="PH102" s="38"/>
      <c r="PI102" s="38"/>
      <c r="PJ102" s="38"/>
      <c r="PK102" s="38"/>
      <c r="PL102" s="38"/>
      <c r="PM102" s="38"/>
      <c r="PN102" s="38"/>
      <c r="PO102" s="38"/>
      <c r="PP102" s="38"/>
      <c r="PQ102" s="38"/>
      <c r="PR102" s="38"/>
      <c r="PS102" s="38"/>
      <c r="PT102" s="38"/>
      <c r="PU102" s="38"/>
      <c r="PV102" s="38"/>
      <c r="PW102" s="38"/>
      <c r="PX102" s="38"/>
      <c r="PY102" s="38"/>
      <c r="PZ102" s="38"/>
      <c r="QA102" s="38"/>
      <c r="QB102" s="38"/>
      <c r="QC102" s="38"/>
      <c r="QD102" s="38"/>
      <c r="QE102" s="38"/>
      <c r="QF102" s="38"/>
      <c r="QG102" s="38"/>
      <c r="QH102" s="38"/>
      <c r="QI102" s="38"/>
      <c r="QJ102" s="38"/>
      <c r="QK102" s="38"/>
      <c r="QL102" s="38"/>
      <c r="QM102" s="38"/>
      <c r="QN102" s="38"/>
      <c r="QO102" s="38"/>
      <c r="QP102" s="38"/>
      <c r="QQ102" s="38"/>
      <c r="QR102" s="38"/>
      <c r="QS102" s="38"/>
      <c r="QT102" s="38"/>
      <c r="QU102" s="38"/>
      <c r="QV102" s="38"/>
      <c r="QW102" s="38"/>
      <c r="QX102" s="38"/>
      <c r="QY102" s="38"/>
      <c r="QZ102" s="38"/>
      <c r="RA102" s="38"/>
      <c r="RB102" s="38"/>
      <c r="RC102" s="38"/>
      <c r="RD102" s="38"/>
      <c r="RE102" s="38"/>
      <c r="RF102" s="38"/>
      <c r="RG102" s="38"/>
      <c r="RH102" s="38"/>
      <c r="RI102" s="38"/>
      <c r="RJ102" s="38"/>
      <c r="RK102" s="38"/>
      <c r="RL102" s="38"/>
      <c r="RM102" s="38"/>
      <c r="RN102" s="38"/>
      <c r="RO102" s="38"/>
      <c r="RP102" s="38"/>
      <c r="RQ102" s="38"/>
      <c r="RR102" s="38"/>
      <c r="RS102" s="38"/>
      <c r="RT102" s="38"/>
      <c r="RU102" s="38"/>
      <c r="RV102" s="38"/>
      <c r="RW102" s="38"/>
      <c r="RX102" s="38"/>
      <c r="RY102" s="38"/>
      <c r="RZ102" s="38"/>
      <c r="SA102" s="38"/>
      <c r="SB102" s="38"/>
      <c r="SC102" s="38"/>
      <c r="SD102" s="38"/>
      <c r="SE102" s="38"/>
      <c r="SF102" s="38"/>
      <c r="SG102" s="38"/>
      <c r="SH102" s="38"/>
      <c r="SI102" s="38"/>
      <c r="SJ102" s="38"/>
      <c r="SK102" s="38"/>
      <c r="SL102" s="38"/>
      <c r="SM102" s="38"/>
      <c r="SN102" s="38"/>
      <c r="SO102" s="38"/>
      <c r="SP102" s="38"/>
      <c r="SQ102" s="38"/>
      <c r="SR102" s="38"/>
      <c r="SS102" s="38"/>
      <c r="ST102" s="38"/>
      <c r="SU102" s="38"/>
      <c r="SV102" s="38"/>
      <c r="SW102" s="38"/>
      <c r="SX102" s="38"/>
      <c r="SY102" s="38"/>
      <c r="SZ102" s="38"/>
      <c r="TA102" s="38"/>
      <c r="TB102" s="38"/>
      <c r="TC102" s="38"/>
      <c r="TD102" s="38"/>
      <c r="TE102" s="38"/>
      <c r="TF102" s="38"/>
      <c r="TG102" s="38"/>
      <c r="TH102" s="38"/>
      <c r="TI102" s="38"/>
      <c r="TJ102" s="38"/>
      <c r="TK102" s="38"/>
      <c r="TL102" s="38"/>
      <c r="TM102" s="38"/>
      <c r="TN102" s="38"/>
      <c r="TO102" s="38"/>
      <c r="TP102" s="38"/>
      <c r="TQ102" s="38"/>
      <c r="TR102" s="38"/>
      <c r="TS102" s="38"/>
      <c r="TT102" s="38"/>
      <c r="TU102" s="38"/>
      <c r="TV102" s="38"/>
      <c r="TW102" s="38"/>
      <c r="TX102" s="38"/>
      <c r="TY102" s="38"/>
      <c r="TZ102" s="38"/>
      <c r="UA102" s="38"/>
      <c r="UB102" s="38"/>
      <c r="UC102" s="38"/>
      <c r="UD102" s="38"/>
      <c r="UE102" s="38"/>
      <c r="UF102" s="38"/>
      <c r="UG102" s="38"/>
      <c r="UH102" s="38"/>
      <c r="UI102" s="38"/>
      <c r="UJ102" s="38"/>
      <c r="UK102" s="38"/>
      <c r="UL102" s="38"/>
      <c r="UM102" s="38"/>
      <c r="UN102" s="38"/>
      <c r="UO102" s="38"/>
      <c r="UP102" s="38"/>
      <c r="UQ102" s="38"/>
      <c r="UR102" s="38"/>
      <c r="US102" s="38"/>
      <c r="UT102" s="38"/>
      <c r="UU102" s="38"/>
      <c r="UV102" s="38"/>
      <c r="UW102" s="38"/>
      <c r="UX102" s="38"/>
      <c r="UY102" s="38"/>
      <c r="UZ102" s="38"/>
      <c r="VA102" s="38"/>
      <c r="VB102" s="38"/>
      <c r="VC102" s="38"/>
      <c r="VD102" s="38"/>
      <c r="VE102" s="38"/>
      <c r="VF102" s="38"/>
      <c r="VG102" s="38"/>
      <c r="VH102" s="38"/>
      <c r="VI102" s="38"/>
      <c r="VJ102" s="38"/>
      <c r="VK102" s="38"/>
      <c r="VL102" s="38"/>
      <c r="VM102" s="38"/>
      <c r="VN102" s="38"/>
      <c r="VO102" s="38"/>
      <c r="VP102" s="38"/>
      <c r="VQ102" s="38"/>
      <c r="VR102" s="38"/>
      <c r="VS102" s="38"/>
      <c r="VT102" s="38"/>
      <c r="VU102" s="38"/>
      <c r="VV102" s="38"/>
      <c r="VW102" s="38"/>
      <c r="VX102" s="38"/>
      <c r="VY102" s="38"/>
      <c r="VZ102" s="38"/>
      <c r="WA102" s="38"/>
      <c r="WB102" s="38"/>
      <c r="WC102" s="38"/>
      <c r="WD102" s="38"/>
      <c r="WE102" s="38"/>
      <c r="WF102" s="38"/>
      <c r="WG102" s="38"/>
      <c r="WH102" s="38"/>
      <c r="WI102" s="38"/>
      <c r="WJ102" s="38"/>
      <c r="WK102" s="38"/>
      <c r="WL102" s="38"/>
      <c r="WM102" s="38"/>
      <c r="WN102" s="38"/>
      <c r="WO102" s="38"/>
      <c r="WP102" s="38"/>
      <c r="WQ102" s="38"/>
      <c r="WR102" s="38"/>
      <c r="WS102" s="38"/>
      <c r="WT102" s="38"/>
      <c r="WU102" s="38"/>
      <c r="WV102" s="38"/>
      <c r="WW102" s="38"/>
      <c r="WX102" s="38"/>
      <c r="WY102" s="38"/>
      <c r="WZ102" s="38"/>
      <c r="XA102" s="38"/>
      <c r="XB102" s="38"/>
      <c r="XC102" s="38"/>
      <c r="XD102" s="38"/>
      <c r="XE102" s="38"/>
      <c r="XF102" s="38"/>
      <c r="XG102" s="38"/>
      <c r="XH102" s="38"/>
      <c r="XI102" s="38"/>
      <c r="XJ102" s="38"/>
      <c r="XK102" s="38"/>
      <c r="XL102" s="38"/>
      <c r="XM102" s="38"/>
      <c r="XN102" s="38"/>
      <c r="XO102" s="38"/>
      <c r="XP102" s="38"/>
      <c r="XQ102" s="38"/>
      <c r="XR102" s="38"/>
      <c r="XS102" s="38"/>
      <c r="XT102" s="38"/>
      <c r="XU102" s="38"/>
      <c r="XV102" s="38"/>
      <c r="XW102" s="38"/>
      <c r="XX102" s="38"/>
      <c r="XY102" s="38"/>
      <c r="XZ102" s="38"/>
      <c r="YA102" s="38"/>
      <c r="YB102" s="38"/>
      <c r="YC102" s="38"/>
      <c r="YD102" s="38"/>
      <c r="YE102" s="38"/>
      <c r="YF102" s="38"/>
      <c r="YG102" s="38"/>
      <c r="YH102" s="38"/>
      <c r="YI102" s="38"/>
      <c r="YJ102" s="38"/>
      <c r="YK102" s="38"/>
      <c r="YL102" s="38"/>
      <c r="YM102" s="38"/>
      <c r="YN102" s="38"/>
      <c r="YO102" s="38"/>
      <c r="YP102" s="38"/>
      <c r="YQ102" s="38"/>
      <c r="YR102" s="38"/>
      <c r="YS102" s="38"/>
      <c r="YT102" s="38"/>
      <c r="YU102" s="38"/>
      <c r="YV102" s="38"/>
      <c r="YW102" s="38"/>
      <c r="YX102" s="38"/>
      <c r="YY102" s="38"/>
      <c r="YZ102" s="38"/>
      <c r="ZA102" s="38"/>
      <c r="ZB102" s="38"/>
      <c r="ZC102" s="38"/>
      <c r="ZD102" s="38"/>
      <c r="ZE102" s="38"/>
      <c r="ZF102" s="38"/>
      <c r="ZG102" s="38"/>
      <c r="ZH102" s="38"/>
      <c r="ZI102" s="38"/>
      <c r="ZJ102" s="38"/>
      <c r="ZK102" s="38"/>
      <c r="ZL102" s="38"/>
      <c r="ZM102" s="38"/>
      <c r="ZN102" s="38"/>
      <c r="ZO102" s="38"/>
      <c r="ZP102" s="38"/>
      <c r="ZQ102" s="38"/>
      <c r="ZR102" s="38"/>
      <c r="ZS102" s="38"/>
      <c r="ZT102" s="38"/>
      <c r="ZU102" s="38"/>
      <c r="ZV102" s="38"/>
      <c r="ZW102" s="38"/>
      <c r="ZX102" s="38"/>
      <c r="ZY102" s="38"/>
      <c r="ZZ102" s="38"/>
      <c r="AAA102" s="38"/>
      <c r="AAB102" s="38"/>
      <c r="AAC102" s="38"/>
      <c r="AAD102" s="38"/>
      <c r="AAE102" s="38"/>
      <c r="AAF102" s="38"/>
      <c r="AAG102" s="38"/>
      <c r="AAH102" s="38"/>
      <c r="AAI102" s="38"/>
      <c r="AAJ102" s="38"/>
      <c r="AAK102" s="38"/>
      <c r="AAL102" s="38"/>
      <c r="AAM102" s="38"/>
      <c r="AAN102" s="38"/>
      <c r="AAO102" s="38"/>
      <c r="AAP102" s="38"/>
      <c r="AAQ102" s="38"/>
      <c r="AAR102" s="38"/>
      <c r="AAS102" s="38"/>
      <c r="AAT102" s="38"/>
      <c r="AAU102" s="38"/>
      <c r="AAV102" s="38"/>
      <c r="AAW102" s="38"/>
      <c r="AAX102" s="38"/>
      <c r="AAY102" s="38"/>
      <c r="AAZ102" s="38"/>
      <c r="ABA102" s="38"/>
      <c r="ABB102" s="38"/>
      <c r="ABC102" s="38"/>
      <c r="ABD102" s="38"/>
      <c r="ABE102" s="38"/>
      <c r="ABF102" s="38"/>
      <c r="ABG102" s="38"/>
      <c r="ABH102" s="38"/>
      <c r="ABI102" s="38"/>
      <c r="ABJ102" s="38"/>
      <c r="ABK102" s="38"/>
      <c r="ABL102" s="38"/>
      <c r="ABM102" s="38"/>
      <c r="ABN102" s="38"/>
      <c r="ABO102" s="38"/>
      <c r="ABP102" s="38"/>
      <c r="ABQ102" s="38"/>
      <c r="ABR102" s="38"/>
      <c r="ABS102" s="38"/>
      <c r="ABT102" s="38"/>
      <c r="ABU102" s="38"/>
      <c r="ABV102" s="38"/>
      <c r="ABW102" s="38"/>
      <c r="ABX102" s="38"/>
      <c r="ABY102" s="38"/>
      <c r="ABZ102" s="38"/>
      <c r="ACA102" s="38"/>
      <c r="ACB102" s="38"/>
      <c r="ACC102" s="38"/>
      <c r="ACD102" s="38"/>
      <c r="ACE102" s="38"/>
      <c r="ACF102" s="38"/>
      <c r="ACG102" s="38"/>
      <c r="ACH102" s="38"/>
      <c r="ACI102" s="38"/>
      <c r="ACJ102" s="38"/>
      <c r="ACK102" s="38"/>
      <c r="ACL102" s="38"/>
      <c r="ACM102" s="38"/>
      <c r="ACN102" s="38"/>
      <c r="ACO102" s="38"/>
      <c r="ACP102" s="38"/>
      <c r="ACQ102" s="38"/>
      <c r="ACR102" s="38"/>
      <c r="ACS102" s="38"/>
      <c r="ACT102" s="38"/>
      <c r="ACU102" s="38"/>
      <c r="ACV102" s="38"/>
      <c r="ACW102" s="38"/>
      <c r="ACX102" s="38"/>
      <c r="ACY102" s="38"/>
      <c r="ACZ102" s="38"/>
      <c r="ADA102" s="38"/>
      <c r="ADB102" s="38"/>
      <c r="ADC102" s="38"/>
      <c r="ADD102" s="38"/>
      <c r="ADE102" s="38"/>
      <c r="ADF102" s="38"/>
      <c r="ADG102" s="38"/>
      <c r="ADH102" s="38"/>
      <c r="ADI102" s="38"/>
      <c r="ADJ102" s="38"/>
      <c r="ADK102" s="38"/>
      <c r="ADL102" s="38"/>
      <c r="ADM102" s="38"/>
      <c r="ADN102" s="38"/>
      <c r="ADO102" s="38"/>
      <c r="ADP102" s="38"/>
      <c r="ADQ102" s="38"/>
      <c r="ADR102" s="38"/>
      <c r="ADS102" s="38"/>
      <c r="ADT102" s="38"/>
      <c r="ADU102" s="38"/>
      <c r="ADV102" s="38"/>
      <c r="ADW102" s="38"/>
      <c r="ADX102" s="38"/>
      <c r="ADY102" s="38"/>
      <c r="ADZ102" s="38"/>
      <c r="AEA102" s="38"/>
      <c r="AEB102" s="38"/>
      <c r="AEC102" s="38"/>
      <c r="AED102" s="38"/>
      <c r="AEE102" s="38"/>
      <c r="AEF102" s="38"/>
      <c r="AEG102" s="38"/>
      <c r="AEH102" s="38"/>
      <c r="AEI102" s="38"/>
      <c r="AEJ102" s="38"/>
      <c r="AEK102" s="38"/>
      <c r="AEL102" s="38"/>
      <c r="AEM102" s="38"/>
      <c r="AEN102" s="38"/>
      <c r="AEO102" s="38"/>
      <c r="AEP102" s="38"/>
      <c r="AEQ102" s="38"/>
      <c r="AER102" s="38"/>
      <c r="AES102" s="38"/>
      <c r="AET102" s="38"/>
      <c r="AEU102" s="38"/>
      <c r="AEV102" s="38"/>
      <c r="AEW102" s="38"/>
      <c r="AEX102" s="38"/>
      <c r="AEY102" s="38"/>
      <c r="AEZ102" s="38"/>
      <c r="AFA102" s="38"/>
      <c r="AFB102" s="38"/>
      <c r="AFC102" s="38"/>
      <c r="AFD102" s="38"/>
      <c r="AFE102" s="38"/>
      <c r="AFF102" s="38"/>
      <c r="AFG102" s="38"/>
      <c r="AFH102" s="38"/>
      <c r="AFI102" s="38"/>
      <c r="AFJ102" s="38"/>
      <c r="AFK102" s="38"/>
      <c r="AFL102" s="38"/>
      <c r="AFM102" s="38"/>
      <c r="AFN102" s="38"/>
      <c r="AFO102" s="38"/>
      <c r="AFP102" s="38"/>
      <c r="AFQ102" s="38"/>
      <c r="AFR102" s="38"/>
      <c r="AFS102" s="38"/>
      <c r="AFT102" s="38"/>
      <c r="AFU102" s="38"/>
      <c r="AFV102" s="38"/>
      <c r="AFW102" s="38"/>
      <c r="AFX102" s="38"/>
      <c r="AFY102" s="38"/>
      <c r="AFZ102" s="38"/>
      <c r="AGA102" s="38"/>
      <c r="AGB102" s="38"/>
      <c r="AGC102" s="38"/>
      <c r="AGD102" s="38"/>
      <c r="AGE102" s="38"/>
      <c r="AGF102" s="38"/>
      <c r="AGG102" s="38"/>
      <c r="AGH102" s="38"/>
      <c r="AGI102" s="38"/>
      <c r="AGJ102" s="38"/>
      <c r="AGK102" s="38"/>
      <c r="AGL102" s="38"/>
      <c r="AGM102" s="38"/>
      <c r="AGN102" s="38"/>
      <c r="AGO102" s="38"/>
      <c r="AGP102" s="38"/>
      <c r="AGQ102" s="38"/>
      <c r="AGR102" s="38"/>
      <c r="AGS102" s="38"/>
      <c r="AGT102" s="38"/>
      <c r="AGU102" s="38"/>
      <c r="AGV102" s="38"/>
      <c r="AGW102" s="38"/>
      <c r="AGX102" s="38"/>
      <c r="AGY102" s="38"/>
      <c r="AGZ102" s="38"/>
      <c r="AHA102" s="38"/>
      <c r="AHB102" s="38"/>
      <c r="AHC102" s="38"/>
      <c r="AHD102" s="38"/>
      <c r="AHE102" s="38"/>
      <c r="AHF102" s="38"/>
      <c r="AHG102" s="38"/>
      <c r="AHH102" s="38"/>
      <c r="AHI102" s="38"/>
      <c r="AHJ102" s="38"/>
      <c r="AHK102" s="38"/>
      <c r="AHL102" s="38"/>
      <c r="AHM102" s="38"/>
      <c r="AHN102" s="38"/>
      <c r="AHO102" s="38"/>
      <c r="AHP102" s="38"/>
      <c r="AHQ102" s="38"/>
      <c r="AHR102" s="38"/>
      <c r="AHS102" s="38"/>
      <c r="AHT102" s="38"/>
      <c r="AHU102" s="38"/>
      <c r="AHV102" s="38"/>
    </row>
    <row r="103" spans="1:906" s="27" customFormat="1" x14ac:dyDescent="0.35">
      <c r="A103" s="83">
        <v>98</v>
      </c>
      <c r="B103" s="108" t="s">
        <v>174</v>
      </c>
      <c r="C103" s="109" t="s">
        <v>172</v>
      </c>
      <c r="D103" s="109" t="s">
        <v>175</v>
      </c>
      <c r="E103" s="126">
        <v>28.95</v>
      </c>
      <c r="F103" s="126">
        <v>27.95</v>
      </c>
      <c r="G103" s="126">
        <v>27.5</v>
      </c>
      <c r="H103" s="126">
        <v>27.75</v>
      </c>
      <c r="I103" s="37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  <c r="BP103" s="38"/>
      <c r="BQ103" s="38"/>
      <c r="BR103" s="38"/>
      <c r="BS103" s="38"/>
      <c r="BT103" s="38"/>
      <c r="BU103" s="38"/>
      <c r="BV103" s="38"/>
      <c r="BW103" s="38"/>
      <c r="BX103" s="38"/>
      <c r="BY103" s="38"/>
      <c r="BZ103" s="38"/>
      <c r="CA103" s="38"/>
      <c r="CB103" s="38"/>
      <c r="CC103" s="38"/>
      <c r="CD103" s="38"/>
      <c r="CE103" s="38"/>
      <c r="CF103" s="38"/>
      <c r="CG103" s="38"/>
      <c r="CH103" s="38"/>
      <c r="CI103" s="38"/>
      <c r="CJ103" s="38"/>
      <c r="CK103" s="38"/>
      <c r="CL103" s="38"/>
      <c r="CM103" s="38"/>
      <c r="CN103" s="38"/>
      <c r="CO103" s="38"/>
      <c r="CP103" s="38"/>
      <c r="CQ103" s="38"/>
      <c r="CR103" s="38"/>
      <c r="CS103" s="38"/>
      <c r="CT103" s="38"/>
      <c r="CU103" s="38"/>
      <c r="CV103" s="38"/>
      <c r="CW103" s="38"/>
      <c r="CX103" s="38"/>
      <c r="CY103" s="38"/>
      <c r="CZ103" s="38"/>
      <c r="DA103" s="38"/>
      <c r="DB103" s="38"/>
      <c r="DC103" s="38"/>
      <c r="DD103" s="38"/>
      <c r="DE103" s="38"/>
      <c r="DF103" s="38"/>
      <c r="DG103" s="38"/>
      <c r="DH103" s="38"/>
      <c r="DI103" s="38"/>
      <c r="DJ103" s="38"/>
      <c r="DK103" s="38"/>
      <c r="DL103" s="38"/>
      <c r="DM103" s="38"/>
      <c r="DN103" s="38"/>
      <c r="DO103" s="38"/>
      <c r="DP103" s="38"/>
      <c r="DQ103" s="38"/>
      <c r="DR103" s="38"/>
      <c r="DS103" s="38"/>
      <c r="DT103" s="38"/>
      <c r="DU103" s="38"/>
      <c r="DV103" s="38"/>
      <c r="DW103" s="38"/>
      <c r="DX103" s="38"/>
      <c r="DY103" s="38"/>
      <c r="DZ103" s="38"/>
      <c r="EA103" s="38"/>
      <c r="EB103" s="38"/>
      <c r="EC103" s="38"/>
      <c r="ED103" s="38"/>
      <c r="EE103" s="38"/>
      <c r="EF103" s="38"/>
      <c r="EG103" s="38"/>
      <c r="EH103" s="38"/>
      <c r="EI103" s="38"/>
      <c r="EJ103" s="38"/>
      <c r="EK103" s="38"/>
      <c r="EL103" s="38"/>
      <c r="EM103" s="38"/>
      <c r="EN103" s="38"/>
      <c r="EO103" s="38"/>
      <c r="EP103" s="38"/>
      <c r="EQ103" s="38"/>
      <c r="ER103" s="38"/>
      <c r="ES103" s="38"/>
      <c r="ET103" s="38"/>
      <c r="EU103" s="38"/>
      <c r="EV103" s="38"/>
      <c r="EW103" s="38"/>
      <c r="EX103" s="38"/>
      <c r="EY103" s="38"/>
      <c r="EZ103" s="38"/>
      <c r="FA103" s="38"/>
      <c r="FB103" s="38"/>
      <c r="FC103" s="38"/>
      <c r="FD103" s="38"/>
      <c r="FE103" s="38"/>
      <c r="FF103" s="38"/>
      <c r="FG103" s="38"/>
      <c r="FH103" s="38"/>
      <c r="FI103" s="38"/>
      <c r="FJ103" s="38"/>
      <c r="FK103" s="38"/>
      <c r="FL103" s="38"/>
      <c r="FM103" s="38"/>
      <c r="FN103" s="38"/>
      <c r="FO103" s="38"/>
      <c r="FP103" s="38"/>
      <c r="FQ103" s="38"/>
      <c r="FR103" s="38"/>
      <c r="FS103" s="38"/>
      <c r="FT103" s="38"/>
      <c r="FU103" s="38"/>
      <c r="FV103" s="38"/>
      <c r="FW103" s="38"/>
      <c r="FX103" s="38"/>
      <c r="FY103" s="38"/>
      <c r="FZ103" s="38"/>
      <c r="GA103" s="38"/>
      <c r="GB103" s="38"/>
      <c r="GC103" s="38"/>
      <c r="GD103" s="38"/>
      <c r="GE103" s="38"/>
      <c r="GF103" s="38"/>
      <c r="GG103" s="38"/>
      <c r="GH103" s="38"/>
      <c r="GI103" s="38"/>
      <c r="GJ103" s="38"/>
      <c r="GK103" s="38"/>
      <c r="GL103" s="38"/>
      <c r="GM103" s="38"/>
      <c r="GN103" s="38"/>
      <c r="GO103" s="38"/>
      <c r="GP103" s="38"/>
      <c r="GQ103" s="38"/>
      <c r="GR103" s="38"/>
      <c r="GS103" s="38"/>
      <c r="GT103" s="38"/>
      <c r="GU103" s="38"/>
      <c r="GV103" s="38"/>
      <c r="GW103" s="38"/>
      <c r="GX103" s="38"/>
      <c r="GY103" s="38"/>
      <c r="GZ103" s="38"/>
      <c r="HA103" s="38"/>
      <c r="HB103" s="38"/>
      <c r="HC103" s="38"/>
      <c r="HD103" s="38"/>
      <c r="HE103" s="38"/>
      <c r="HF103" s="38"/>
      <c r="HG103" s="38"/>
      <c r="HH103" s="38"/>
      <c r="HI103" s="38"/>
      <c r="HJ103" s="38"/>
      <c r="HK103" s="38"/>
      <c r="HL103" s="38"/>
      <c r="HM103" s="38"/>
      <c r="HN103" s="38"/>
      <c r="HO103" s="38"/>
      <c r="HP103" s="38"/>
      <c r="HQ103" s="38"/>
      <c r="HR103" s="38"/>
      <c r="HS103" s="38"/>
      <c r="HT103" s="38"/>
      <c r="HU103" s="38"/>
      <c r="HV103" s="38"/>
      <c r="HW103" s="38"/>
      <c r="HX103" s="38"/>
      <c r="HY103" s="38"/>
      <c r="HZ103" s="38"/>
      <c r="IA103" s="38"/>
      <c r="IB103" s="38"/>
      <c r="IC103" s="38"/>
      <c r="ID103" s="38"/>
      <c r="IE103" s="38"/>
      <c r="IF103" s="38"/>
      <c r="IG103" s="38"/>
      <c r="IH103" s="38"/>
      <c r="II103" s="38"/>
      <c r="IJ103" s="38"/>
      <c r="IK103" s="38"/>
      <c r="IL103" s="38"/>
      <c r="IM103" s="38"/>
      <c r="IN103" s="38"/>
      <c r="IO103" s="38"/>
      <c r="IP103" s="38"/>
      <c r="IQ103" s="38"/>
      <c r="IR103" s="38"/>
      <c r="IS103" s="38"/>
      <c r="IT103" s="38"/>
      <c r="IU103" s="38"/>
      <c r="IV103" s="38"/>
      <c r="IW103" s="38"/>
      <c r="IX103" s="38"/>
      <c r="IY103" s="38"/>
      <c r="IZ103" s="38"/>
      <c r="JA103" s="38"/>
      <c r="JB103" s="38"/>
      <c r="JC103" s="38"/>
      <c r="JD103" s="38"/>
      <c r="JE103" s="38"/>
      <c r="JF103" s="38"/>
      <c r="JG103" s="38"/>
      <c r="JH103" s="38"/>
      <c r="JI103" s="38"/>
      <c r="JJ103" s="38"/>
      <c r="JK103" s="38"/>
      <c r="JL103" s="38"/>
      <c r="JM103" s="38"/>
      <c r="JN103" s="38"/>
      <c r="JO103" s="38"/>
      <c r="JP103" s="38"/>
      <c r="JQ103" s="38"/>
      <c r="JR103" s="38"/>
      <c r="JS103" s="38"/>
      <c r="JT103" s="38"/>
      <c r="JU103" s="38"/>
      <c r="JV103" s="38"/>
      <c r="JW103" s="38"/>
      <c r="JX103" s="38"/>
      <c r="JY103" s="38"/>
      <c r="JZ103" s="38"/>
      <c r="KA103" s="38"/>
      <c r="KB103" s="38"/>
      <c r="KC103" s="38"/>
      <c r="KD103" s="38"/>
      <c r="KE103" s="38"/>
      <c r="KF103" s="38"/>
      <c r="KG103" s="38"/>
      <c r="KH103" s="38"/>
      <c r="KI103" s="38"/>
      <c r="KJ103" s="38"/>
      <c r="KK103" s="38"/>
      <c r="KL103" s="38"/>
      <c r="KM103" s="38"/>
      <c r="KN103" s="38"/>
      <c r="KO103" s="38"/>
      <c r="KP103" s="38"/>
      <c r="KQ103" s="38"/>
      <c r="KR103" s="38"/>
      <c r="KS103" s="38"/>
      <c r="KT103" s="38"/>
      <c r="KU103" s="38"/>
      <c r="KV103" s="38"/>
      <c r="KW103" s="38"/>
      <c r="KX103" s="38"/>
      <c r="KY103" s="38"/>
      <c r="KZ103" s="38"/>
      <c r="LA103" s="38"/>
      <c r="LB103" s="38"/>
      <c r="LC103" s="38"/>
      <c r="LD103" s="38"/>
      <c r="LE103" s="38"/>
      <c r="LF103" s="38"/>
      <c r="LG103" s="38"/>
      <c r="LH103" s="38"/>
      <c r="LI103" s="38"/>
      <c r="LJ103" s="38"/>
      <c r="LK103" s="38"/>
      <c r="LL103" s="38"/>
      <c r="LM103" s="38"/>
      <c r="LN103" s="38"/>
      <c r="LO103" s="38"/>
      <c r="LP103" s="38"/>
      <c r="LQ103" s="38"/>
      <c r="LR103" s="38"/>
      <c r="LS103" s="38"/>
      <c r="LT103" s="38"/>
      <c r="LU103" s="38"/>
      <c r="LV103" s="38"/>
      <c r="LW103" s="38"/>
      <c r="LX103" s="38"/>
      <c r="LY103" s="38"/>
      <c r="LZ103" s="38"/>
      <c r="MA103" s="38"/>
      <c r="MB103" s="38"/>
      <c r="MC103" s="38"/>
      <c r="MD103" s="38"/>
      <c r="ME103" s="38"/>
      <c r="MF103" s="38"/>
      <c r="MG103" s="38"/>
      <c r="MH103" s="38"/>
      <c r="MI103" s="38"/>
      <c r="MJ103" s="38"/>
      <c r="MK103" s="38"/>
      <c r="ML103" s="38"/>
      <c r="MM103" s="38"/>
      <c r="MN103" s="38"/>
      <c r="MO103" s="38"/>
      <c r="MP103" s="38"/>
      <c r="MQ103" s="38"/>
      <c r="MR103" s="38"/>
      <c r="MS103" s="38"/>
      <c r="MT103" s="38"/>
      <c r="MU103" s="38"/>
      <c r="MV103" s="38"/>
      <c r="MW103" s="38"/>
      <c r="MX103" s="38"/>
      <c r="MY103" s="38"/>
      <c r="MZ103" s="38"/>
      <c r="NA103" s="38"/>
      <c r="NB103" s="38"/>
      <c r="NC103" s="38"/>
      <c r="ND103" s="38"/>
      <c r="NE103" s="38"/>
      <c r="NF103" s="38"/>
      <c r="NG103" s="38"/>
      <c r="NH103" s="38"/>
      <c r="NI103" s="38"/>
      <c r="NJ103" s="38"/>
      <c r="NK103" s="38"/>
      <c r="NL103" s="38"/>
      <c r="NM103" s="38"/>
      <c r="NN103" s="38"/>
      <c r="NO103" s="38"/>
      <c r="NP103" s="38"/>
      <c r="NQ103" s="38"/>
      <c r="NR103" s="38"/>
      <c r="NS103" s="38"/>
      <c r="NT103" s="38"/>
      <c r="NU103" s="38"/>
      <c r="NV103" s="38"/>
      <c r="NW103" s="38"/>
      <c r="NX103" s="38"/>
      <c r="NY103" s="38"/>
      <c r="NZ103" s="38"/>
      <c r="OA103" s="38"/>
      <c r="OB103" s="38"/>
      <c r="OC103" s="38"/>
      <c r="OD103" s="38"/>
      <c r="OE103" s="38"/>
      <c r="OF103" s="38"/>
      <c r="OG103" s="38"/>
      <c r="OH103" s="38"/>
      <c r="OI103" s="38"/>
      <c r="OJ103" s="38"/>
      <c r="OK103" s="38"/>
      <c r="OL103" s="38"/>
      <c r="OM103" s="38"/>
      <c r="ON103" s="38"/>
      <c r="OO103" s="38"/>
      <c r="OP103" s="38"/>
      <c r="OQ103" s="38"/>
      <c r="OR103" s="38"/>
      <c r="OS103" s="38"/>
      <c r="OT103" s="38"/>
      <c r="OU103" s="38"/>
      <c r="OV103" s="38"/>
      <c r="OW103" s="38"/>
      <c r="OX103" s="38"/>
      <c r="OY103" s="38"/>
      <c r="OZ103" s="38"/>
      <c r="PA103" s="38"/>
      <c r="PB103" s="38"/>
      <c r="PC103" s="38"/>
      <c r="PD103" s="38"/>
      <c r="PE103" s="38"/>
      <c r="PF103" s="38"/>
      <c r="PG103" s="38"/>
      <c r="PH103" s="38"/>
      <c r="PI103" s="38"/>
      <c r="PJ103" s="38"/>
      <c r="PK103" s="38"/>
      <c r="PL103" s="38"/>
      <c r="PM103" s="38"/>
      <c r="PN103" s="38"/>
      <c r="PO103" s="38"/>
      <c r="PP103" s="38"/>
      <c r="PQ103" s="38"/>
      <c r="PR103" s="38"/>
      <c r="PS103" s="38"/>
      <c r="PT103" s="38"/>
      <c r="PU103" s="38"/>
      <c r="PV103" s="38"/>
      <c r="PW103" s="38"/>
      <c r="PX103" s="38"/>
      <c r="PY103" s="38"/>
      <c r="PZ103" s="38"/>
      <c r="QA103" s="38"/>
      <c r="QB103" s="38"/>
      <c r="QC103" s="38"/>
      <c r="QD103" s="38"/>
      <c r="QE103" s="38"/>
      <c r="QF103" s="38"/>
      <c r="QG103" s="38"/>
      <c r="QH103" s="38"/>
      <c r="QI103" s="38"/>
      <c r="QJ103" s="38"/>
      <c r="QK103" s="38"/>
      <c r="QL103" s="38"/>
      <c r="QM103" s="38"/>
      <c r="QN103" s="38"/>
      <c r="QO103" s="38"/>
      <c r="QP103" s="38"/>
      <c r="QQ103" s="38"/>
      <c r="QR103" s="38"/>
      <c r="QS103" s="38"/>
      <c r="QT103" s="38"/>
      <c r="QU103" s="38"/>
      <c r="QV103" s="38"/>
      <c r="QW103" s="38"/>
      <c r="QX103" s="38"/>
      <c r="QY103" s="38"/>
      <c r="QZ103" s="38"/>
      <c r="RA103" s="38"/>
      <c r="RB103" s="38"/>
      <c r="RC103" s="38"/>
      <c r="RD103" s="38"/>
      <c r="RE103" s="38"/>
      <c r="RF103" s="38"/>
      <c r="RG103" s="38"/>
      <c r="RH103" s="38"/>
      <c r="RI103" s="38"/>
      <c r="RJ103" s="38"/>
      <c r="RK103" s="38"/>
      <c r="RL103" s="38"/>
      <c r="RM103" s="38"/>
      <c r="RN103" s="38"/>
      <c r="RO103" s="38"/>
      <c r="RP103" s="38"/>
      <c r="RQ103" s="38"/>
      <c r="RR103" s="38"/>
      <c r="RS103" s="38"/>
      <c r="RT103" s="38"/>
      <c r="RU103" s="38"/>
      <c r="RV103" s="38"/>
      <c r="RW103" s="38"/>
      <c r="RX103" s="38"/>
      <c r="RY103" s="38"/>
      <c r="RZ103" s="38"/>
      <c r="SA103" s="38"/>
      <c r="SB103" s="38"/>
      <c r="SC103" s="38"/>
      <c r="SD103" s="38"/>
      <c r="SE103" s="38"/>
      <c r="SF103" s="38"/>
      <c r="SG103" s="38"/>
      <c r="SH103" s="38"/>
      <c r="SI103" s="38"/>
      <c r="SJ103" s="38"/>
      <c r="SK103" s="38"/>
      <c r="SL103" s="38"/>
      <c r="SM103" s="38"/>
      <c r="SN103" s="38"/>
      <c r="SO103" s="38"/>
      <c r="SP103" s="38"/>
      <c r="SQ103" s="38"/>
      <c r="SR103" s="38"/>
      <c r="SS103" s="38"/>
      <c r="ST103" s="38"/>
      <c r="SU103" s="38"/>
      <c r="SV103" s="38"/>
      <c r="SW103" s="38"/>
      <c r="SX103" s="38"/>
      <c r="SY103" s="38"/>
      <c r="SZ103" s="38"/>
      <c r="TA103" s="38"/>
      <c r="TB103" s="38"/>
      <c r="TC103" s="38"/>
      <c r="TD103" s="38"/>
      <c r="TE103" s="38"/>
      <c r="TF103" s="38"/>
      <c r="TG103" s="38"/>
      <c r="TH103" s="38"/>
      <c r="TI103" s="38"/>
      <c r="TJ103" s="38"/>
      <c r="TK103" s="38"/>
      <c r="TL103" s="38"/>
      <c r="TM103" s="38"/>
      <c r="TN103" s="38"/>
      <c r="TO103" s="38"/>
      <c r="TP103" s="38"/>
      <c r="TQ103" s="38"/>
      <c r="TR103" s="38"/>
      <c r="TS103" s="38"/>
      <c r="TT103" s="38"/>
      <c r="TU103" s="38"/>
      <c r="TV103" s="38"/>
      <c r="TW103" s="38"/>
      <c r="TX103" s="38"/>
      <c r="TY103" s="38"/>
      <c r="TZ103" s="38"/>
      <c r="UA103" s="38"/>
      <c r="UB103" s="38"/>
      <c r="UC103" s="38"/>
      <c r="UD103" s="38"/>
      <c r="UE103" s="38"/>
      <c r="UF103" s="38"/>
      <c r="UG103" s="38"/>
      <c r="UH103" s="38"/>
      <c r="UI103" s="38"/>
      <c r="UJ103" s="38"/>
      <c r="UK103" s="38"/>
      <c r="UL103" s="38"/>
      <c r="UM103" s="38"/>
      <c r="UN103" s="38"/>
      <c r="UO103" s="38"/>
      <c r="UP103" s="38"/>
      <c r="UQ103" s="38"/>
      <c r="UR103" s="38"/>
      <c r="US103" s="38"/>
      <c r="UT103" s="38"/>
      <c r="UU103" s="38"/>
      <c r="UV103" s="38"/>
      <c r="UW103" s="38"/>
      <c r="UX103" s="38"/>
      <c r="UY103" s="38"/>
      <c r="UZ103" s="38"/>
      <c r="VA103" s="38"/>
      <c r="VB103" s="38"/>
      <c r="VC103" s="38"/>
      <c r="VD103" s="38"/>
      <c r="VE103" s="38"/>
      <c r="VF103" s="38"/>
      <c r="VG103" s="38"/>
      <c r="VH103" s="38"/>
      <c r="VI103" s="38"/>
      <c r="VJ103" s="38"/>
      <c r="VK103" s="38"/>
      <c r="VL103" s="38"/>
      <c r="VM103" s="38"/>
      <c r="VN103" s="38"/>
      <c r="VO103" s="38"/>
      <c r="VP103" s="38"/>
      <c r="VQ103" s="38"/>
      <c r="VR103" s="38"/>
      <c r="VS103" s="38"/>
      <c r="VT103" s="38"/>
      <c r="VU103" s="38"/>
      <c r="VV103" s="38"/>
      <c r="VW103" s="38"/>
      <c r="VX103" s="38"/>
      <c r="VY103" s="38"/>
      <c r="VZ103" s="38"/>
      <c r="WA103" s="38"/>
      <c r="WB103" s="38"/>
      <c r="WC103" s="38"/>
      <c r="WD103" s="38"/>
      <c r="WE103" s="38"/>
      <c r="WF103" s="38"/>
      <c r="WG103" s="38"/>
      <c r="WH103" s="38"/>
      <c r="WI103" s="38"/>
      <c r="WJ103" s="38"/>
      <c r="WK103" s="38"/>
      <c r="WL103" s="38"/>
      <c r="WM103" s="38"/>
      <c r="WN103" s="38"/>
      <c r="WO103" s="38"/>
      <c r="WP103" s="38"/>
      <c r="WQ103" s="38"/>
      <c r="WR103" s="38"/>
      <c r="WS103" s="38"/>
      <c r="WT103" s="38"/>
      <c r="WU103" s="38"/>
      <c r="WV103" s="38"/>
      <c r="WW103" s="38"/>
      <c r="WX103" s="38"/>
      <c r="WY103" s="38"/>
      <c r="WZ103" s="38"/>
      <c r="XA103" s="38"/>
      <c r="XB103" s="38"/>
      <c r="XC103" s="38"/>
      <c r="XD103" s="38"/>
      <c r="XE103" s="38"/>
      <c r="XF103" s="38"/>
      <c r="XG103" s="38"/>
      <c r="XH103" s="38"/>
      <c r="XI103" s="38"/>
      <c r="XJ103" s="38"/>
      <c r="XK103" s="38"/>
      <c r="XL103" s="38"/>
      <c r="XM103" s="38"/>
      <c r="XN103" s="38"/>
      <c r="XO103" s="38"/>
      <c r="XP103" s="38"/>
      <c r="XQ103" s="38"/>
      <c r="XR103" s="38"/>
      <c r="XS103" s="38"/>
      <c r="XT103" s="38"/>
      <c r="XU103" s="38"/>
      <c r="XV103" s="38"/>
      <c r="XW103" s="38"/>
      <c r="XX103" s="38"/>
      <c r="XY103" s="38"/>
      <c r="XZ103" s="38"/>
      <c r="YA103" s="38"/>
      <c r="YB103" s="38"/>
      <c r="YC103" s="38"/>
      <c r="YD103" s="38"/>
      <c r="YE103" s="38"/>
      <c r="YF103" s="38"/>
      <c r="YG103" s="38"/>
      <c r="YH103" s="38"/>
      <c r="YI103" s="38"/>
      <c r="YJ103" s="38"/>
      <c r="YK103" s="38"/>
      <c r="YL103" s="38"/>
      <c r="YM103" s="38"/>
      <c r="YN103" s="38"/>
      <c r="YO103" s="38"/>
      <c r="YP103" s="38"/>
      <c r="YQ103" s="38"/>
      <c r="YR103" s="38"/>
      <c r="YS103" s="38"/>
      <c r="YT103" s="38"/>
      <c r="YU103" s="38"/>
      <c r="YV103" s="38"/>
      <c r="YW103" s="38"/>
      <c r="YX103" s="38"/>
      <c r="YY103" s="38"/>
      <c r="YZ103" s="38"/>
      <c r="ZA103" s="38"/>
      <c r="ZB103" s="38"/>
      <c r="ZC103" s="38"/>
      <c r="ZD103" s="38"/>
      <c r="ZE103" s="38"/>
      <c r="ZF103" s="38"/>
      <c r="ZG103" s="38"/>
      <c r="ZH103" s="38"/>
      <c r="ZI103" s="38"/>
      <c r="ZJ103" s="38"/>
      <c r="ZK103" s="38"/>
      <c r="ZL103" s="38"/>
      <c r="ZM103" s="38"/>
      <c r="ZN103" s="38"/>
      <c r="ZO103" s="38"/>
      <c r="ZP103" s="38"/>
      <c r="ZQ103" s="38"/>
      <c r="ZR103" s="38"/>
      <c r="ZS103" s="38"/>
      <c r="ZT103" s="38"/>
      <c r="ZU103" s="38"/>
      <c r="ZV103" s="38"/>
      <c r="ZW103" s="38"/>
      <c r="ZX103" s="38"/>
      <c r="ZY103" s="38"/>
      <c r="ZZ103" s="38"/>
      <c r="AAA103" s="38"/>
      <c r="AAB103" s="38"/>
      <c r="AAC103" s="38"/>
      <c r="AAD103" s="38"/>
      <c r="AAE103" s="38"/>
      <c r="AAF103" s="38"/>
      <c r="AAG103" s="38"/>
      <c r="AAH103" s="38"/>
      <c r="AAI103" s="38"/>
      <c r="AAJ103" s="38"/>
      <c r="AAK103" s="38"/>
      <c r="AAL103" s="38"/>
      <c r="AAM103" s="38"/>
      <c r="AAN103" s="38"/>
      <c r="AAO103" s="38"/>
      <c r="AAP103" s="38"/>
      <c r="AAQ103" s="38"/>
      <c r="AAR103" s="38"/>
      <c r="AAS103" s="38"/>
      <c r="AAT103" s="38"/>
      <c r="AAU103" s="38"/>
      <c r="AAV103" s="38"/>
      <c r="AAW103" s="38"/>
      <c r="AAX103" s="38"/>
      <c r="AAY103" s="38"/>
      <c r="AAZ103" s="38"/>
      <c r="ABA103" s="38"/>
      <c r="ABB103" s="38"/>
      <c r="ABC103" s="38"/>
      <c r="ABD103" s="38"/>
      <c r="ABE103" s="38"/>
      <c r="ABF103" s="38"/>
      <c r="ABG103" s="38"/>
      <c r="ABH103" s="38"/>
      <c r="ABI103" s="38"/>
      <c r="ABJ103" s="38"/>
      <c r="ABK103" s="38"/>
      <c r="ABL103" s="38"/>
      <c r="ABM103" s="38"/>
      <c r="ABN103" s="38"/>
      <c r="ABO103" s="38"/>
      <c r="ABP103" s="38"/>
      <c r="ABQ103" s="38"/>
      <c r="ABR103" s="38"/>
      <c r="ABS103" s="38"/>
      <c r="ABT103" s="38"/>
      <c r="ABU103" s="38"/>
      <c r="ABV103" s="38"/>
      <c r="ABW103" s="38"/>
      <c r="ABX103" s="38"/>
      <c r="ABY103" s="38"/>
      <c r="ABZ103" s="38"/>
      <c r="ACA103" s="38"/>
      <c r="ACB103" s="38"/>
      <c r="ACC103" s="38"/>
      <c r="ACD103" s="38"/>
      <c r="ACE103" s="38"/>
      <c r="ACF103" s="38"/>
      <c r="ACG103" s="38"/>
      <c r="ACH103" s="38"/>
      <c r="ACI103" s="38"/>
      <c r="ACJ103" s="38"/>
      <c r="ACK103" s="38"/>
      <c r="ACL103" s="38"/>
      <c r="ACM103" s="38"/>
      <c r="ACN103" s="38"/>
      <c r="ACO103" s="38"/>
      <c r="ACP103" s="38"/>
      <c r="ACQ103" s="38"/>
      <c r="ACR103" s="38"/>
      <c r="ACS103" s="38"/>
      <c r="ACT103" s="38"/>
      <c r="ACU103" s="38"/>
      <c r="ACV103" s="38"/>
      <c r="ACW103" s="38"/>
      <c r="ACX103" s="38"/>
      <c r="ACY103" s="38"/>
      <c r="ACZ103" s="38"/>
      <c r="ADA103" s="38"/>
      <c r="ADB103" s="38"/>
      <c r="ADC103" s="38"/>
      <c r="ADD103" s="38"/>
      <c r="ADE103" s="38"/>
      <c r="ADF103" s="38"/>
      <c r="ADG103" s="38"/>
      <c r="ADH103" s="38"/>
      <c r="ADI103" s="38"/>
      <c r="ADJ103" s="38"/>
      <c r="ADK103" s="38"/>
      <c r="ADL103" s="38"/>
      <c r="ADM103" s="38"/>
      <c r="ADN103" s="38"/>
      <c r="ADO103" s="38"/>
      <c r="ADP103" s="38"/>
      <c r="ADQ103" s="38"/>
      <c r="ADR103" s="38"/>
      <c r="ADS103" s="38"/>
      <c r="ADT103" s="38"/>
      <c r="ADU103" s="38"/>
      <c r="ADV103" s="38"/>
      <c r="ADW103" s="38"/>
      <c r="ADX103" s="38"/>
      <c r="ADY103" s="38"/>
      <c r="ADZ103" s="38"/>
      <c r="AEA103" s="38"/>
      <c r="AEB103" s="38"/>
      <c r="AEC103" s="38"/>
      <c r="AED103" s="38"/>
      <c r="AEE103" s="38"/>
      <c r="AEF103" s="38"/>
      <c r="AEG103" s="38"/>
      <c r="AEH103" s="38"/>
      <c r="AEI103" s="38"/>
      <c r="AEJ103" s="38"/>
      <c r="AEK103" s="38"/>
      <c r="AEL103" s="38"/>
      <c r="AEM103" s="38"/>
      <c r="AEN103" s="38"/>
      <c r="AEO103" s="38"/>
      <c r="AEP103" s="38"/>
      <c r="AEQ103" s="38"/>
      <c r="AER103" s="38"/>
      <c r="AES103" s="38"/>
      <c r="AET103" s="38"/>
      <c r="AEU103" s="38"/>
      <c r="AEV103" s="38"/>
      <c r="AEW103" s="38"/>
      <c r="AEX103" s="38"/>
      <c r="AEY103" s="38"/>
      <c r="AEZ103" s="38"/>
      <c r="AFA103" s="38"/>
      <c r="AFB103" s="38"/>
      <c r="AFC103" s="38"/>
      <c r="AFD103" s="38"/>
      <c r="AFE103" s="38"/>
      <c r="AFF103" s="38"/>
      <c r="AFG103" s="38"/>
      <c r="AFH103" s="38"/>
      <c r="AFI103" s="38"/>
      <c r="AFJ103" s="38"/>
      <c r="AFK103" s="38"/>
      <c r="AFL103" s="38"/>
      <c r="AFM103" s="38"/>
      <c r="AFN103" s="38"/>
      <c r="AFO103" s="38"/>
      <c r="AFP103" s="38"/>
      <c r="AFQ103" s="38"/>
      <c r="AFR103" s="38"/>
      <c r="AFS103" s="38"/>
      <c r="AFT103" s="38"/>
      <c r="AFU103" s="38"/>
      <c r="AFV103" s="38"/>
      <c r="AFW103" s="38"/>
      <c r="AFX103" s="38"/>
      <c r="AFY103" s="38"/>
      <c r="AFZ103" s="38"/>
      <c r="AGA103" s="38"/>
      <c r="AGB103" s="38"/>
      <c r="AGC103" s="38"/>
      <c r="AGD103" s="38"/>
      <c r="AGE103" s="38"/>
      <c r="AGF103" s="38"/>
      <c r="AGG103" s="38"/>
      <c r="AGH103" s="38"/>
      <c r="AGI103" s="38"/>
      <c r="AGJ103" s="38"/>
      <c r="AGK103" s="38"/>
      <c r="AGL103" s="38"/>
      <c r="AGM103" s="38"/>
      <c r="AGN103" s="38"/>
      <c r="AGO103" s="38"/>
      <c r="AGP103" s="38"/>
      <c r="AGQ103" s="38"/>
      <c r="AGR103" s="38"/>
      <c r="AGS103" s="38"/>
      <c r="AGT103" s="38"/>
      <c r="AGU103" s="38"/>
      <c r="AGV103" s="38"/>
      <c r="AGW103" s="38"/>
      <c r="AGX103" s="38"/>
      <c r="AGY103" s="38"/>
      <c r="AGZ103" s="38"/>
      <c r="AHA103" s="38"/>
      <c r="AHB103" s="38"/>
      <c r="AHC103" s="38"/>
      <c r="AHD103" s="38"/>
      <c r="AHE103" s="38"/>
      <c r="AHF103" s="38"/>
      <c r="AHG103" s="38"/>
      <c r="AHH103" s="38"/>
      <c r="AHI103" s="38"/>
      <c r="AHJ103" s="38"/>
      <c r="AHK103" s="38"/>
      <c r="AHL103" s="38"/>
      <c r="AHM103" s="38"/>
      <c r="AHN103" s="38"/>
      <c r="AHO103" s="38"/>
      <c r="AHP103" s="38"/>
      <c r="AHQ103" s="38"/>
      <c r="AHR103" s="38"/>
      <c r="AHS103" s="38"/>
      <c r="AHT103" s="38"/>
      <c r="AHU103" s="38"/>
      <c r="AHV103" s="38"/>
    </row>
    <row r="104" spans="1:906" s="27" customFormat="1" x14ac:dyDescent="0.35">
      <c r="A104" s="83">
        <v>99</v>
      </c>
      <c r="B104" s="108" t="s">
        <v>174</v>
      </c>
      <c r="C104" s="109" t="s">
        <v>176</v>
      </c>
      <c r="D104" s="109" t="s">
        <v>177</v>
      </c>
      <c r="E104" s="125">
        <v>27</v>
      </c>
      <c r="F104" s="125">
        <v>25.95</v>
      </c>
      <c r="G104" s="125">
        <v>24</v>
      </c>
      <c r="H104" s="125"/>
      <c r="I104" s="37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  <c r="BP104" s="38"/>
      <c r="BQ104" s="38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  <c r="CM104" s="38"/>
      <c r="CN104" s="38"/>
      <c r="CO104" s="38"/>
      <c r="CP104" s="38"/>
      <c r="CQ104" s="38"/>
      <c r="CR104" s="38"/>
      <c r="CS104" s="38"/>
      <c r="CT104" s="38"/>
      <c r="CU104" s="38"/>
      <c r="CV104" s="38"/>
      <c r="CW104" s="38"/>
      <c r="CX104" s="38"/>
      <c r="CY104" s="38"/>
      <c r="CZ104" s="38"/>
      <c r="DA104" s="38"/>
      <c r="DB104" s="38"/>
      <c r="DC104" s="38"/>
      <c r="DD104" s="38"/>
      <c r="DE104" s="38"/>
      <c r="DF104" s="38"/>
      <c r="DG104" s="38"/>
      <c r="DH104" s="38"/>
      <c r="DI104" s="38"/>
      <c r="DJ104" s="38"/>
      <c r="DK104" s="38"/>
      <c r="DL104" s="38"/>
      <c r="DM104" s="38"/>
      <c r="DN104" s="38"/>
      <c r="DO104" s="38"/>
      <c r="DP104" s="38"/>
      <c r="DQ104" s="38"/>
      <c r="DR104" s="38"/>
      <c r="DS104" s="38"/>
      <c r="DT104" s="38"/>
      <c r="DU104" s="38"/>
      <c r="DV104" s="38"/>
      <c r="DW104" s="38"/>
      <c r="DX104" s="38"/>
      <c r="DY104" s="38"/>
      <c r="DZ104" s="38"/>
      <c r="EA104" s="38"/>
      <c r="EB104" s="38"/>
      <c r="EC104" s="38"/>
      <c r="ED104" s="38"/>
      <c r="EE104" s="38"/>
      <c r="EF104" s="38"/>
      <c r="EG104" s="38"/>
      <c r="EH104" s="38"/>
      <c r="EI104" s="38"/>
      <c r="EJ104" s="38"/>
      <c r="EK104" s="38"/>
      <c r="EL104" s="38"/>
      <c r="EM104" s="38"/>
      <c r="EN104" s="38"/>
      <c r="EO104" s="38"/>
      <c r="EP104" s="38"/>
      <c r="EQ104" s="38"/>
      <c r="ER104" s="38"/>
      <c r="ES104" s="38"/>
      <c r="ET104" s="38"/>
      <c r="EU104" s="38"/>
      <c r="EV104" s="38"/>
      <c r="EW104" s="38"/>
      <c r="EX104" s="38"/>
      <c r="EY104" s="38"/>
      <c r="EZ104" s="38"/>
      <c r="FA104" s="38"/>
      <c r="FB104" s="38"/>
      <c r="FC104" s="38"/>
      <c r="FD104" s="38"/>
      <c r="FE104" s="38"/>
      <c r="FF104" s="38"/>
      <c r="FG104" s="38"/>
      <c r="FH104" s="38"/>
      <c r="FI104" s="38"/>
      <c r="FJ104" s="38"/>
      <c r="FK104" s="38"/>
      <c r="FL104" s="38"/>
      <c r="FM104" s="38"/>
      <c r="FN104" s="38"/>
      <c r="FO104" s="38"/>
      <c r="FP104" s="38"/>
      <c r="FQ104" s="38"/>
      <c r="FR104" s="38"/>
      <c r="FS104" s="38"/>
      <c r="FT104" s="38"/>
      <c r="FU104" s="38"/>
      <c r="FV104" s="38"/>
      <c r="FW104" s="38"/>
      <c r="FX104" s="38"/>
      <c r="FY104" s="38"/>
      <c r="FZ104" s="38"/>
      <c r="GA104" s="38"/>
      <c r="GB104" s="38"/>
      <c r="GC104" s="38"/>
      <c r="GD104" s="38"/>
      <c r="GE104" s="38"/>
      <c r="GF104" s="38"/>
      <c r="GG104" s="38"/>
      <c r="GH104" s="38"/>
      <c r="GI104" s="38"/>
      <c r="GJ104" s="38"/>
      <c r="GK104" s="38"/>
      <c r="GL104" s="38"/>
      <c r="GM104" s="38"/>
      <c r="GN104" s="38"/>
      <c r="GO104" s="38"/>
      <c r="GP104" s="38"/>
      <c r="GQ104" s="38"/>
      <c r="GR104" s="38"/>
      <c r="GS104" s="38"/>
      <c r="GT104" s="38"/>
      <c r="GU104" s="38"/>
      <c r="GV104" s="38"/>
      <c r="GW104" s="38"/>
      <c r="GX104" s="38"/>
      <c r="GY104" s="38"/>
      <c r="GZ104" s="38"/>
      <c r="HA104" s="38"/>
      <c r="HB104" s="38"/>
      <c r="HC104" s="38"/>
      <c r="HD104" s="38"/>
      <c r="HE104" s="38"/>
      <c r="HF104" s="38"/>
      <c r="HG104" s="38"/>
      <c r="HH104" s="38"/>
      <c r="HI104" s="38"/>
      <c r="HJ104" s="38"/>
      <c r="HK104" s="38"/>
      <c r="HL104" s="38"/>
      <c r="HM104" s="38"/>
      <c r="HN104" s="38"/>
      <c r="HO104" s="38"/>
      <c r="HP104" s="38"/>
      <c r="HQ104" s="38"/>
      <c r="HR104" s="38"/>
      <c r="HS104" s="38"/>
      <c r="HT104" s="38"/>
      <c r="HU104" s="38"/>
      <c r="HV104" s="38"/>
      <c r="HW104" s="38"/>
      <c r="HX104" s="38"/>
      <c r="HY104" s="38"/>
      <c r="HZ104" s="38"/>
      <c r="IA104" s="38"/>
      <c r="IB104" s="38"/>
      <c r="IC104" s="38"/>
      <c r="ID104" s="38"/>
      <c r="IE104" s="38"/>
      <c r="IF104" s="38"/>
      <c r="IG104" s="38"/>
      <c r="IH104" s="38"/>
      <c r="II104" s="38"/>
      <c r="IJ104" s="38"/>
      <c r="IK104" s="38"/>
      <c r="IL104" s="38"/>
      <c r="IM104" s="38"/>
      <c r="IN104" s="38"/>
      <c r="IO104" s="38"/>
      <c r="IP104" s="38"/>
      <c r="IQ104" s="38"/>
      <c r="IR104" s="38"/>
      <c r="IS104" s="38"/>
      <c r="IT104" s="38"/>
      <c r="IU104" s="38"/>
      <c r="IV104" s="38"/>
      <c r="IW104" s="38"/>
      <c r="IX104" s="38"/>
      <c r="IY104" s="38"/>
      <c r="IZ104" s="38"/>
      <c r="JA104" s="38"/>
      <c r="JB104" s="38"/>
      <c r="JC104" s="38"/>
      <c r="JD104" s="38"/>
      <c r="JE104" s="38"/>
      <c r="JF104" s="38"/>
      <c r="JG104" s="38"/>
      <c r="JH104" s="38"/>
      <c r="JI104" s="38"/>
      <c r="JJ104" s="38"/>
      <c r="JK104" s="38"/>
      <c r="JL104" s="38"/>
      <c r="JM104" s="38"/>
      <c r="JN104" s="38"/>
      <c r="JO104" s="38"/>
      <c r="JP104" s="38"/>
      <c r="JQ104" s="38"/>
      <c r="JR104" s="38"/>
      <c r="JS104" s="38"/>
      <c r="JT104" s="38"/>
      <c r="JU104" s="38"/>
      <c r="JV104" s="38"/>
      <c r="JW104" s="38"/>
      <c r="JX104" s="38"/>
      <c r="JY104" s="38"/>
      <c r="JZ104" s="38"/>
      <c r="KA104" s="38"/>
      <c r="KB104" s="38"/>
      <c r="KC104" s="38"/>
      <c r="KD104" s="38"/>
      <c r="KE104" s="38"/>
      <c r="KF104" s="38"/>
      <c r="KG104" s="38"/>
      <c r="KH104" s="38"/>
      <c r="KI104" s="38"/>
      <c r="KJ104" s="38"/>
      <c r="KK104" s="38"/>
      <c r="KL104" s="38"/>
      <c r="KM104" s="38"/>
      <c r="KN104" s="38"/>
      <c r="KO104" s="38"/>
      <c r="KP104" s="38"/>
      <c r="KQ104" s="38"/>
      <c r="KR104" s="38"/>
      <c r="KS104" s="38"/>
      <c r="KT104" s="38"/>
      <c r="KU104" s="38"/>
      <c r="KV104" s="38"/>
      <c r="KW104" s="38"/>
      <c r="KX104" s="38"/>
      <c r="KY104" s="38"/>
      <c r="KZ104" s="38"/>
      <c r="LA104" s="38"/>
      <c r="LB104" s="38"/>
      <c r="LC104" s="38"/>
      <c r="LD104" s="38"/>
      <c r="LE104" s="38"/>
      <c r="LF104" s="38"/>
      <c r="LG104" s="38"/>
      <c r="LH104" s="38"/>
      <c r="LI104" s="38"/>
      <c r="LJ104" s="38"/>
      <c r="LK104" s="38"/>
      <c r="LL104" s="38"/>
      <c r="LM104" s="38"/>
      <c r="LN104" s="38"/>
      <c r="LO104" s="38"/>
      <c r="LP104" s="38"/>
      <c r="LQ104" s="38"/>
      <c r="LR104" s="38"/>
      <c r="LS104" s="38"/>
      <c r="LT104" s="38"/>
      <c r="LU104" s="38"/>
      <c r="LV104" s="38"/>
      <c r="LW104" s="38"/>
      <c r="LX104" s="38"/>
      <c r="LY104" s="38"/>
      <c r="LZ104" s="38"/>
      <c r="MA104" s="38"/>
      <c r="MB104" s="38"/>
      <c r="MC104" s="38"/>
      <c r="MD104" s="38"/>
      <c r="ME104" s="38"/>
      <c r="MF104" s="38"/>
      <c r="MG104" s="38"/>
      <c r="MH104" s="38"/>
      <c r="MI104" s="38"/>
      <c r="MJ104" s="38"/>
      <c r="MK104" s="38"/>
      <c r="ML104" s="38"/>
      <c r="MM104" s="38"/>
      <c r="MN104" s="38"/>
      <c r="MO104" s="38"/>
      <c r="MP104" s="38"/>
      <c r="MQ104" s="38"/>
      <c r="MR104" s="38"/>
      <c r="MS104" s="38"/>
      <c r="MT104" s="38"/>
      <c r="MU104" s="38"/>
      <c r="MV104" s="38"/>
      <c r="MW104" s="38"/>
      <c r="MX104" s="38"/>
      <c r="MY104" s="38"/>
      <c r="MZ104" s="38"/>
      <c r="NA104" s="38"/>
      <c r="NB104" s="38"/>
      <c r="NC104" s="38"/>
      <c r="ND104" s="38"/>
      <c r="NE104" s="38"/>
      <c r="NF104" s="38"/>
      <c r="NG104" s="38"/>
      <c r="NH104" s="38"/>
      <c r="NI104" s="38"/>
      <c r="NJ104" s="38"/>
      <c r="NK104" s="38"/>
      <c r="NL104" s="38"/>
      <c r="NM104" s="38"/>
      <c r="NN104" s="38"/>
      <c r="NO104" s="38"/>
      <c r="NP104" s="38"/>
      <c r="NQ104" s="38"/>
      <c r="NR104" s="38"/>
      <c r="NS104" s="38"/>
      <c r="NT104" s="38"/>
      <c r="NU104" s="38"/>
      <c r="NV104" s="38"/>
      <c r="NW104" s="38"/>
      <c r="NX104" s="38"/>
      <c r="NY104" s="38"/>
      <c r="NZ104" s="38"/>
      <c r="OA104" s="38"/>
      <c r="OB104" s="38"/>
      <c r="OC104" s="38"/>
      <c r="OD104" s="38"/>
      <c r="OE104" s="38"/>
      <c r="OF104" s="38"/>
      <c r="OG104" s="38"/>
      <c r="OH104" s="38"/>
      <c r="OI104" s="38"/>
      <c r="OJ104" s="38"/>
      <c r="OK104" s="38"/>
      <c r="OL104" s="38"/>
      <c r="OM104" s="38"/>
      <c r="ON104" s="38"/>
      <c r="OO104" s="38"/>
      <c r="OP104" s="38"/>
      <c r="OQ104" s="38"/>
      <c r="OR104" s="38"/>
      <c r="OS104" s="38"/>
      <c r="OT104" s="38"/>
      <c r="OU104" s="38"/>
      <c r="OV104" s="38"/>
      <c r="OW104" s="38"/>
      <c r="OX104" s="38"/>
      <c r="OY104" s="38"/>
      <c r="OZ104" s="38"/>
      <c r="PA104" s="38"/>
      <c r="PB104" s="38"/>
      <c r="PC104" s="38"/>
      <c r="PD104" s="38"/>
      <c r="PE104" s="38"/>
      <c r="PF104" s="38"/>
      <c r="PG104" s="38"/>
      <c r="PH104" s="38"/>
      <c r="PI104" s="38"/>
      <c r="PJ104" s="38"/>
      <c r="PK104" s="38"/>
      <c r="PL104" s="38"/>
      <c r="PM104" s="38"/>
      <c r="PN104" s="38"/>
      <c r="PO104" s="38"/>
      <c r="PP104" s="38"/>
      <c r="PQ104" s="38"/>
      <c r="PR104" s="38"/>
      <c r="PS104" s="38"/>
      <c r="PT104" s="38"/>
      <c r="PU104" s="38"/>
      <c r="PV104" s="38"/>
      <c r="PW104" s="38"/>
      <c r="PX104" s="38"/>
      <c r="PY104" s="38"/>
      <c r="PZ104" s="38"/>
      <c r="QA104" s="38"/>
      <c r="QB104" s="38"/>
      <c r="QC104" s="38"/>
      <c r="QD104" s="38"/>
      <c r="QE104" s="38"/>
      <c r="QF104" s="38"/>
      <c r="QG104" s="38"/>
      <c r="QH104" s="38"/>
      <c r="QI104" s="38"/>
      <c r="QJ104" s="38"/>
      <c r="QK104" s="38"/>
      <c r="QL104" s="38"/>
      <c r="QM104" s="38"/>
      <c r="QN104" s="38"/>
      <c r="QO104" s="38"/>
      <c r="QP104" s="38"/>
      <c r="QQ104" s="38"/>
      <c r="QR104" s="38"/>
      <c r="QS104" s="38"/>
      <c r="QT104" s="38"/>
      <c r="QU104" s="38"/>
      <c r="QV104" s="38"/>
      <c r="QW104" s="38"/>
      <c r="QX104" s="38"/>
      <c r="QY104" s="38"/>
      <c r="QZ104" s="38"/>
      <c r="RA104" s="38"/>
      <c r="RB104" s="38"/>
      <c r="RC104" s="38"/>
      <c r="RD104" s="38"/>
      <c r="RE104" s="38"/>
      <c r="RF104" s="38"/>
      <c r="RG104" s="38"/>
      <c r="RH104" s="38"/>
      <c r="RI104" s="38"/>
      <c r="RJ104" s="38"/>
      <c r="RK104" s="38"/>
      <c r="RL104" s="38"/>
      <c r="RM104" s="38"/>
      <c r="RN104" s="38"/>
      <c r="RO104" s="38"/>
      <c r="RP104" s="38"/>
      <c r="RQ104" s="38"/>
      <c r="RR104" s="38"/>
      <c r="RS104" s="38"/>
      <c r="RT104" s="38"/>
      <c r="RU104" s="38"/>
      <c r="RV104" s="38"/>
      <c r="RW104" s="38"/>
      <c r="RX104" s="38"/>
      <c r="RY104" s="38"/>
      <c r="RZ104" s="38"/>
      <c r="SA104" s="38"/>
      <c r="SB104" s="38"/>
      <c r="SC104" s="38"/>
      <c r="SD104" s="38"/>
      <c r="SE104" s="38"/>
      <c r="SF104" s="38"/>
      <c r="SG104" s="38"/>
      <c r="SH104" s="38"/>
      <c r="SI104" s="38"/>
      <c r="SJ104" s="38"/>
      <c r="SK104" s="38"/>
      <c r="SL104" s="38"/>
      <c r="SM104" s="38"/>
      <c r="SN104" s="38"/>
      <c r="SO104" s="38"/>
      <c r="SP104" s="38"/>
      <c r="SQ104" s="38"/>
      <c r="SR104" s="38"/>
      <c r="SS104" s="38"/>
      <c r="ST104" s="38"/>
      <c r="SU104" s="38"/>
      <c r="SV104" s="38"/>
      <c r="SW104" s="38"/>
      <c r="SX104" s="38"/>
      <c r="SY104" s="38"/>
      <c r="SZ104" s="38"/>
      <c r="TA104" s="38"/>
      <c r="TB104" s="38"/>
      <c r="TC104" s="38"/>
      <c r="TD104" s="38"/>
      <c r="TE104" s="38"/>
      <c r="TF104" s="38"/>
      <c r="TG104" s="38"/>
      <c r="TH104" s="38"/>
      <c r="TI104" s="38"/>
      <c r="TJ104" s="38"/>
      <c r="TK104" s="38"/>
      <c r="TL104" s="38"/>
      <c r="TM104" s="38"/>
      <c r="TN104" s="38"/>
      <c r="TO104" s="38"/>
      <c r="TP104" s="38"/>
      <c r="TQ104" s="38"/>
      <c r="TR104" s="38"/>
      <c r="TS104" s="38"/>
      <c r="TT104" s="38"/>
      <c r="TU104" s="38"/>
      <c r="TV104" s="38"/>
      <c r="TW104" s="38"/>
      <c r="TX104" s="38"/>
      <c r="TY104" s="38"/>
      <c r="TZ104" s="38"/>
      <c r="UA104" s="38"/>
      <c r="UB104" s="38"/>
      <c r="UC104" s="38"/>
      <c r="UD104" s="38"/>
      <c r="UE104" s="38"/>
      <c r="UF104" s="38"/>
      <c r="UG104" s="38"/>
      <c r="UH104" s="38"/>
      <c r="UI104" s="38"/>
      <c r="UJ104" s="38"/>
      <c r="UK104" s="38"/>
      <c r="UL104" s="38"/>
      <c r="UM104" s="38"/>
      <c r="UN104" s="38"/>
      <c r="UO104" s="38"/>
      <c r="UP104" s="38"/>
      <c r="UQ104" s="38"/>
      <c r="UR104" s="38"/>
      <c r="US104" s="38"/>
      <c r="UT104" s="38"/>
      <c r="UU104" s="38"/>
      <c r="UV104" s="38"/>
      <c r="UW104" s="38"/>
      <c r="UX104" s="38"/>
      <c r="UY104" s="38"/>
      <c r="UZ104" s="38"/>
      <c r="VA104" s="38"/>
      <c r="VB104" s="38"/>
      <c r="VC104" s="38"/>
      <c r="VD104" s="38"/>
      <c r="VE104" s="38"/>
      <c r="VF104" s="38"/>
      <c r="VG104" s="38"/>
      <c r="VH104" s="38"/>
      <c r="VI104" s="38"/>
      <c r="VJ104" s="38"/>
      <c r="VK104" s="38"/>
      <c r="VL104" s="38"/>
      <c r="VM104" s="38"/>
      <c r="VN104" s="38"/>
      <c r="VO104" s="38"/>
      <c r="VP104" s="38"/>
      <c r="VQ104" s="38"/>
      <c r="VR104" s="38"/>
      <c r="VS104" s="38"/>
      <c r="VT104" s="38"/>
      <c r="VU104" s="38"/>
      <c r="VV104" s="38"/>
      <c r="VW104" s="38"/>
      <c r="VX104" s="38"/>
      <c r="VY104" s="38"/>
      <c r="VZ104" s="38"/>
      <c r="WA104" s="38"/>
      <c r="WB104" s="38"/>
      <c r="WC104" s="38"/>
      <c r="WD104" s="38"/>
      <c r="WE104" s="38"/>
      <c r="WF104" s="38"/>
      <c r="WG104" s="38"/>
      <c r="WH104" s="38"/>
      <c r="WI104" s="38"/>
      <c r="WJ104" s="38"/>
      <c r="WK104" s="38"/>
      <c r="WL104" s="38"/>
      <c r="WM104" s="38"/>
      <c r="WN104" s="38"/>
      <c r="WO104" s="38"/>
      <c r="WP104" s="38"/>
      <c r="WQ104" s="38"/>
      <c r="WR104" s="38"/>
      <c r="WS104" s="38"/>
      <c r="WT104" s="38"/>
      <c r="WU104" s="38"/>
      <c r="WV104" s="38"/>
      <c r="WW104" s="38"/>
      <c r="WX104" s="38"/>
      <c r="WY104" s="38"/>
      <c r="WZ104" s="38"/>
      <c r="XA104" s="38"/>
      <c r="XB104" s="38"/>
      <c r="XC104" s="38"/>
      <c r="XD104" s="38"/>
      <c r="XE104" s="38"/>
      <c r="XF104" s="38"/>
      <c r="XG104" s="38"/>
      <c r="XH104" s="38"/>
      <c r="XI104" s="38"/>
      <c r="XJ104" s="38"/>
      <c r="XK104" s="38"/>
      <c r="XL104" s="38"/>
      <c r="XM104" s="38"/>
      <c r="XN104" s="38"/>
      <c r="XO104" s="38"/>
      <c r="XP104" s="38"/>
      <c r="XQ104" s="38"/>
      <c r="XR104" s="38"/>
      <c r="XS104" s="38"/>
      <c r="XT104" s="38"/>
      <c r="XU104" s="38"/>
      <c r="XV104" s="38"/>
      <c r="XW104" s="38"/>
      <c r="XX104" s="38"/>
      <c r="XY104" s="38"/>
      <c r="XZ104" s="38"/>
      <c r="YA104" s="38"/>
      <c r="YB104" s="38"/>
      <c r="YC104" s="38"/>
      <c r="YD104" s="38"/>
      <c r="YE104" s="38"/>
      <c r="YF104" s="38"/>
      <c r="YG104" s="38"/>
      <c r="YH104" s="38"/>
      <c r="YI104" s="38"/>
      <c r="YJ104" s="38"/>
      <c r="YK104" s="38"/>
      <c r="YL104" s="38"/>
      <c r="YM104" s="38"/>
      <c r="YN104" s="38"/>
      <c r="YO104" s="38"/>
      <c r="YP104" s="38"/>
      <c r="YQ104" s="38"/>
      <c r="YR104" s="38"/>
      <c r="YS104" s="38"/>
      <c r="YT104" s="38"/>
      <c r="YU104" s="38"/>
      <c r="YV104" s="38"/>
      <c r="YW104" s="38"/>
      <c r="YX104" s="38"/>
      <c r="YY104" s="38"/>
      <c r="YZ104" s="38"/>
      <c r="ZA104" s="38"/>
      <c r="ZB104" s="38"/>
      <c r="ZC104" s="38"/>
      <c r="ZD104" s="38"/>
      <c r="ZE104" s="38"/>
      <c r="ZF104" s="38"/>
      <c r="ZG104" s="38"/>
      <c r="ZH104" s="38"/>
      <c r="ZI104" s="38"/>
      <c r="ZJ104" s="38"/>
      <c r="ZK104" s="38"/>
      <c r="ZL104" s="38"/>
      <c r="ZM104" s="38"/>
      <c r="ZN104" s="38"/>
      <c r="ZO104" s="38"/>
      <c r="ZP104" s="38"/>
      <c r="ZQ104" s="38"/>
      <c r="ZR104" s="38"/>
      <c r="ZS104" s="38"/>
      <c r="ZT104" s="38"/>
      <c r="ZU104" s="38"/>
      <c r="ZV104" s="38"/>
      <c r="ZW104" s="38"/>
      <c r="ZX104" s="38"/>
      <c r="ZY104" s="38"/>
      <c r="ZZ104" s="38"/>
      <c r="AAA104" s="38"/>
      <c r="AAB104" s="38"/>
      <c r="AAC104" s="38"/>
      <c r="AAD104" s="38"/>
      <c r="AAE104" s="38"/>
      <c r="AAF104" s="38"/>
      <c r="AAG104" s="38"/>
      <c r="AAH104" s="38"/>
      <c r="AAI104" s="38"/>
      <c r="AAJ104" s="38"/>
      <c r="AAK104" s="38"/>
      <c r="AAL104" s="38"/>
      <c r="AAM104" s="38"/>
      <c r="AAN104" s="38"/>
      <c r="AAO104" s="38"/>
      <c r="AAP104" s="38"/>
      <c r="AAQ104" s="38"/>
      <c r="AAR104" s="38"/>
      <c r="AAS104" s="38"/>
      <c r="AAT104" s="38"/>
      <c r="AAU104" s="38"/>
      <c r="AAV104" s="38"/>
      <c r="AAW104" s="38"/>
      <c r="AAX104" s="38"/>
      <c r="AAY104" s="38"/>
      <c r="AAZ104" s="38"/>
      <c r="ABA104" s="38"/>
      <c r="ABB104" s="38"/>
      <c r="ABC104" s="38"/>
      <c r="ABD104" s="38"/>
      <c r="ABE104" s="38"/>
      <c r="ABF104" s="38"/>
      <c r="ABG104" s="38"/>
      <c r="ABH104" s="38"/>
      <c r="ABI104" s="38"/>
      <c r="ABJ104" s="38"/>
      <c r="ABK104" s="38"/>
      <c r="ABL104" s="38"/>
      <c r="ABM104" s="38"/>
      <c r="ABN104" s="38"/>
      <c r="ABO104" s="38"/>
      <c r="ABP104" s="38"/>
      <c r="ABQ104" s="38"/>
      <c r="ABR104" s="38"/>
      <c r="ABS104" s="38"/>
      <c r="ABT104" s="38"/>
      <c r="ABU104" s="38"/>
      <c r="ABV104" s="38"/>
      <c r="ABW104" s="38"/>
      <c r="ABX104" s="38"/>
      <c r="ABY104" s="38"/>
      <c r="ABZ104" s="38"/>
      <c r="ACA104" s="38"/>
      <c r="ACB104" s="38"/>
      <c r="ACC104" s="38"/>
      <c r="ACD104" s="38"/>
      <c r="ACE104" s="38"/>
      <c r="ACF104" s="38"/>
      <c r="ACG104" s="38"/>
      <c r="ACH104" s="38"/>
      <c r="ACI104" s="38"/>
      <c r="ACJ104" s="38"/>
      <c r="ACK104" s="38"/>
      <c r="ACL104" s="38"/>
      <c r="ACM104" s="38"/>
      <c r="ACN104" s="38"/>
      <c r="ACO104" s="38"/>
      <c r="ACP104" s="38"/>
      <c r="ACQ104" s="38"/>
      <c r="ACR104" s="38"/>
      <c r="ACS104" s="38"/>
      <c r="ACT104" s="38"/>
      <c r="ACU104" s="38"/>
      <c r="ACV104" s="38"/>
      <c r="ACW104" s="38"/>
      <c r="ACX104" s="38"/>
      <c r="ACY104" s="38"/>
      <c r="ACZ104" s="38"/>
      <c r="ADA104" s="38"/>
      <c r="ADB104" s="38"/>
      <c r="ADC104" s="38"/>
      <c r="ADD104" s="38"/>
      <c r="ADE104" s="38"/>
      <c r="ADF104" s="38"/>
      <c r="ADG104" s="38"/>
      <c r="ADH104" s="38"/>
      <c r="ADI104" s="38"/>
      <c r="ADJ104" s="38"/>
      <c r="ADK104" s="38"/>
      <c r="ADL104" s="38"/>
      <c r="ADM104" s="38"/>
      <c r="ADN104" s="38"/>
      <c r="ADO104" s="38"/>
      <c r="ADP104" s="38"/>
      <c r="ADQ104" s="38"/>
      <c r="ADR104" s="38"/>
      <c r="ADS104" s="38"/>
      <c r="ADT104" s="38"/>
      <c r="ADU104" s="38"/>
      <c r="ADV104" s="38"/>
      <c r="ADW104" s="38"/>
      <c r="ADX104" s="38"/>
      <c r="ADY104" s="38"/>
      <c r="ADZ104" s="38"/>
      <c r="AEA104" s="38"/>
      <c r="AEB104" s="38"/>
      <c r="AEC104" s="38"/>
      <c r="AED104" s="38"/>
      <c r="AEE104" s="38"/>
      <c r="AEF104" s="38"/>
      <c r="AEG104" s="38"/>
      <c r="AEH104" s="38"/>
      <c r="AEI104" s="38"/>
      <c r="AEJ104" s="38"/>
      <c r="AEK104" s="38"/>
      <c r="AEL104" s="38"/>
      <c r="AEM104" s="38"/>
      <c r="AEN104" s="38"/>
      <c r="AEO104" s="38"/>
      <c r="AEP104" s="38"/>
      <c r="AEQ104" s="38"/>
      <c r="AER104" s="38"/>
      <c r="AES104" s="38"/>
      <c r="AET104" s="38"/>
      <c r="AEU104" s="38"/>
      <c r="AEV104" s="38"/>
      <c r="AEW104" s="38"/>
      <c r="AEX104" s="38"/>
      <c r="AEY104" s="38"/>
      <c r="AEZ104" s="38"/>
      <c r="AFA104" s="38"/>
      <c r="AFB104" s="38"/>
      <c r="AFC104" s="38"/>
      <c r="AFD104" s="38"/>
      <c r="AFE104" s="38"/>
      <c r="AFF104" s="38"/>
      <c r="AFG104" s="38"/>
      <c r="AFH104" s="38"/>
      <c r="AFI104" s="38"/>
      <c r="AFJ104" s="38"/>
      <c r="AFK104" s="38"/>
      <c r="AFL104" s="38"/>
      <c r="AFM104" s="38"/>
      <c r="AFN104" s="38"/>
      <c r="AFO104" s="38"/>
      <c r="AFP104" s="38"/>
      <c r="AFQ104" s="38"/>
      <c r="AFR104" s="38"/>
      <c r="AFS104" s="38"/>
      <c r="AFT104" s="38"/>
      <c r="AFU104" s="38"/>
      <c r="AFV104" s="38"/>
      <c r="AFW104" s="38"/>
      <c r="AFX104" s="38"/>
      <c r="AFY104" s="38"/>
      <c r="AFZ104" s="38"/>
      <c r="AGA104" s="38"/>
      <c r="AGB104" s="38"/>
      <c r="AGC104" s="38"/>
      <c r="AGD104" s="38"/>
      <c r="AGE104" s="38"/>
      <c r="AGF104" s="38"/>
      <c r="AGG104" s="38"/>
      <c r="AGH104" s="38"/>
      <c r="AGI104" s="38"/>
      <c r="AGJ104" s="38"/>
      <c r="AGK104" s="38"/>
      <c r="AGL104" s="38"/>
      <c r="AGM104" s="38"/>
      <c r="AGN104" s="38"/>
      <c r="AGO104" s="38"/>
      <c r="AGP104" s="38"/>
      <c r="AGQ104" s="38"/>
      <c r="AGR104" s="38"/>
      <c r="AGS104" s="38"/>
      <c r="AGT104" s="38"/>
      <c r="AGU104" s="38"/>
      <c r="AGV104" s="38"/>
      <c r="AGW104" s="38"/>
      <c r="AGX104" s="38"/>
      <c r="AGY104" s="38"/>
      <c r="AGZ104" s="38"/>
      <c r="AHA104" s="38"/>
      <c r="AHB104" s="38"/>
      <c r="AHC104" s="38"/>
      <c r="AHD104" s="38"/>
      <c r="AHE104" s="38"/>
      <c r="AHF104" s="38"/>
      <c r="AHG104" s="38"/>
      <c r="AHH104" s="38"/>
      <c r="AHI104" s="38"/>
      <c r="AHJ104" s="38"/>
      <c r="AHK104" s="38"/>
      <c r="AHL104" s="38"/>
      <c r="AHM104" s="38"/>
      <c r="AHN104" s="38"/>
      <c r="AHO104" s="38"/>
      <c r="AHP104" s="38"/>
      <c r="AHQ104" s="38"/>
      <c r="AHR104" s="38"/>
      <c r="AHS104" s="38"/>
      <c r="AHT104" s="38"/>
      <c r="AHU104" s="38"/>
      <c r="AHV104" s="38"/>
    </row>
    <row r="105" spans="1:906" s="27" customFormat="1" x14ac:dyDescent="0.35">
      <c r="A105" s="83">
        <v>100</v>
      </c>
      <c r="B105" s="108" t="s">
        <v>178</v>
      </c>
      <c r="C105" s="109" t="s">
        <v>50</v>
      </c>
      <c r="D105" s="109" t="s">
        <v>179</v>
      </c>
      <c r="E105" s="125">
        <v>36.35</v>
      </c>
      <c r="F105" s="125"/>
      <c r="G105" s="125">
        <v>33.950000000000003</v>
      </c>
      <c r="H105" s="125">
        <v>33.75</v>
      </c>
      <c r="I105" s="37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38"/>
      <c r="CQ105" s="38"/>
      <c r="CR105" s="38"/>
      <c r="CS105" s="38"/>
      <c r="CT105" s="38"/>
      <c r="CU105" s="38"/>
      <c r="CV105" s="38"/>
      <c r="CW105" s="38"/>
      <c r="CX105" s="38"/>
      <c r="CY105" s="38"/>
      <c r="CZ105" s="38"/>
      <c r="DA105" s="38"/>
      <c r="DB105" s="38"/>
      <c r="DC105" s="38"/>
      <c r="DD105" s="38"/>
      <c r="DE105" s="38"/>
      <c r="DF105" s="38"/>
      <c r="DG105" s="38"/>
      <c r="DH105" s="38"/>
      <c r="DI105" s="38"/>
      <c r="DJ105" s="38"/>
      <c r="DK105" s="38"/>
      <c r="DL105" s="38"/>
      <c r="DM105" s="38"/>
      <c r="DN105" s="38"/>
      <c r="DO105" s="38"/>
      <c r="DP105" s="38"/>
      <c r="DQ105" s="38"/>
      <c r="DR105" s="38"/>
      <c r="DS105" s="38"/>
      <c r="DT105" s="38"/>
      <c r="DU105" s="38"/>
      <c r="DV105" s="38"/>
      <c r="DW105" s="38"/>
      <c r="DX105" s="38"/>
      <c r="DY105" s="38"/>
      <c r="DZ105" s="38"/>
      <c r="EA105" s="38"/>
      <c r="EB105" s="38"/>
      <c r="EC105" s="38"/>
      <c r="ED105" s="38"/>
      <c r="EE105" s="38"/>
      <c r="EF105" s="38"/>
      <c r="EG105" s="38"/>
      <c r="EH105" s="38"/>
      <c r="EI105" s="38"/>
      <c r="EJ105" s="38"/>
      <c r="EK105" s="38"/>
      <c r="EL105" s="38"/>
      <c r="EM105" s="38"/>
      <c r="EN105" s="38"/>
      <c r="EO105" s="38"/>
      <c r="EP105" s="38"/>
      <c r="EQ105" s="38"/>
      <c r="ER105" s="38"/>
      <c r="ES105" s="38"/>
      <c r="ET105" s="38"/>
      <c r="EU105" s="38"/>
      <c r="EV105" s="38"/>
      <c r="EW105" s="38"/>
      <c r="EX105" s="38"/>
      <c r="EY105" s="38"/>
      <c r="EZ105" s="38"/>
      <c r="FA105" s="38"/>
      <c r="FB105" s="38"/>
      <c r="FC105" s="38"/>
      <c r="FD105" s="38"/>
      <c r="FE105" s="38"/>
      <c r="FF105" s="38"/>
      <c r="FG105" s="38"/>
      <c r="FH105" s="38"/>
      <c r="FI105" s="38"/>
      <c r="FJ105" s="38"/>
      <c r="FK105" s="38"/>
      <c r="FL105" s="38"/>
      <c r="FM105" s="38"/>
      <c r="FN105" s="38"/>
      <c r="FO105" s="38"/>
      <c r="FP105" s="38"/>
      <c r="FQ105" s="38"/>
      <c r="FR105" s="38"/>
      <c r="FS105" s="38"/>
      <c r="FT105" s="38"/>
      <c r="FU105" s="38"/>
      <c r="FV105" s="38"/>
      <c r="FW105" s="38"/>
      <c r="FX105" s="38"/>
      <c r="FY105" s="38"/>
      <c r="FZ105" s="38"/>
      <c r="GA105" s="38"/>
      <c r="GB105" s="38"/>
      <c r="GC105" s="38"/>
      <c r="GD105" s="38"/>
      <c r="GE105" s="38"/>
      <c r="GF105" s="38"/>
      <c r="GG105" s="38"/>
      <c r="GH105" s="38"/>
      <c r="GI105" s="38"/>
      <c r="GJ105" s="38"/>
      <c r="GK105" s="38"/>
      <c r="GL105" s="38"/>
      <c r="GM105" s="38"/>
      <c r="GN105" s="38"/>
      <c r="GO105" s="38"/>
      <c r="GP105" s="38"/>
      <c r="GQ105" s="38"/>
      <c r="GR105" s="38"/>
      <c r="GS105" s="38"/>
      <c r="GT105" s="38"/>
      <c r="GU105" s="38"/>
      <c r="GV105" s="38"/>
      <c r="GW105" s="38"/>
      <c r="GX105" s="38"/>
      <c r="GY105" s="38"/>
      <c r="GZ105" s="38"/>
      <c r="HA105" s="38"/>
      <c r="HB105" s="38"/>
      <c r="HC105" s="38"/>
      <c r="HD105" s="38"/>
      <c r="HE105" s="38"/>
      <c r="HF105" s="38"/>
      <c r="HG105" s="38"/>
      <c r="HH105" s="38"/>
      <c r="HI105" s="38"/>
      <c r="HJ105" s="38"/>
      <c r="HK105" s="38"/>
      <c r="HL105" s="38"/>
      <c r="HM105" s="38"/>
      <c r="HN105" s="38"/>
      <c r="HO105" s="38"/>
      <c r="HP105" s="38"/>
      <c r="HQ105" s="38"/>
      <c r="HR105" s="38"/>
      <c r="HS105" s="38"/>
      <c r="HT105" s="38"/>
      <c r="HU105" s="38"/>
      <c r="HV105" s="38"/>
      <c r="HW105" s="38"/>
      <c r="HX105" s="38"/>
      <c r="HY105" s="38"/>
      <c r="HZ105" s="38"/>
      <c r="IA105" s="38"/>
      <c r="IB105" s="38"/>
      <c r="IC105" s="38"/>
      <c r="ID105" s="38"/>
      <c r="IE105" s="38"/>
      <c r="IF105" s="38"/>
      <c r="IG105" s="38"/>
      <c r="IH105" s="38"/>
      <c r="II105" s="38"/>
      <c r="IJ105" s="38"/>
      <c r="IK105" s="38"/>
      <c r="IL105" s="38"/>
      <c r="IM105" s="38"/>
      <c r="IN105" s="38"/>
      <c r="IO105" s="38"/>
      <c r="IP105" s="38"/>
      <c r="IQ105" s="38"/>
      <c r="IR105" s="38"/>
      <c r="IS105" s="38"/>
      <c r="IT105" s="38"/>
      <c r="IU105" s="38"/>
      <c r="IV105" s="38"/>
      <c r="IW105" s="38"/>
      <c r="IX105" s="38"/>
      <c r="IY105" s="38"/>
      <c r="IZ105" s="38"/>
      <c r="JA105" s="38"/>
      <c r="JB105" s="38"/>
      <c r="JC105" s="38"/>
      <c r="JD105" s="38"/>
      <c r="JE105" s="38"/>
      <c r="JF105" s="38"/>
      <c r="JG105" s="38"/>
      <c r="JH105" s="38"/>
      <c r="JI105" s="38"/>
      <c r="JJ105" s="38"/>
      <c r="JK105" s="38"/>
      <c r="JL105" s="38"/>
      <c r="JM105" s="38"/>
      <c r="JN105" s="38"/>
      <c r="JO105" s="38"/>
      <c r="JP105" s="38"/>
      <c r="JQ105" s="38"/>
      <c r="JR105" s="38"/>
      <c r="JS105" s="38"/>
      <c r="JT105" s="38"/>
      <c r="JU105" s="38"/>
      <c r="JV105" s="38"/>
      <c r="JW105" s="38"/>
      <c r="JX105" s="38"/>
      <c r="JY105" s="38"/>
      <c r="JZ105" s="38"/>
      <c r="KA105" s="38"/>
      <c r="KB105" s="38"/>
      <c r="KC105" s="38"/>
      <c r="KD105" s="38"/>
      <c r="KE105" s="38"/>
      <c r="KF105" s="38"/>
      <c r="KG105" s="38"/>
      <c r="KH105" s="38"/>
      <c r="KI105" s="38"/>
      <c r="KJ105" s="38"/>
      <c r="KK105" s="38"/>
      <c r="KL105" s="38"/>
      <c r="KM105" s="38"/>
      <c r="KN105" s="38"/>
      <c r="KO105" s="38"/>
      <c r="KP105" s="38"/>
      <c r="KQ105" s="38"/>
      <c r="KR105" s="38"/>
      <c r="KS105" s="38"/>
      <c r="KT105" s="38"/>
      <c r="KU105" s="38"/>
      <c r="KV105" s="38"/>
      <c r="KW105" s="38"/>
      <c r="KX105" s="38"/>
      <c r="KY105" s="38"/>
      <c r="KZ105" s="38"/>
      <c r="LA105" s="38"/>
      <c r="LB105" s="38"/>
      <c r="LC105" s="38"/>
      <c r="LD105" s="38"/>
      <c r="LE105" s="38"/>
      <c r="LF105" s="38"/>
      <c r="LG105" s="38"/>
      <c r="LH105" s="38"/>
      <c r="LI105" s="38"/>
      <c r="LJ105" s="38"/>
      <c r="LK105" s="38"/>
      <c r="LL105" s="38"/>
      <c r="LM105" s="38"/>
      <c r="LN105" s="38"/>
      <c r="LO105" s="38"/>
      <c r="LP105" s="38"/>
      <c r="LQ105" s="38"/>
      <c r="LR105" s="38"/>
      <c r="LS105" s="38"/>
      <c r="LT105" s="38"/>
      <c r="LU105" s="38"/>
      <c r="LV105" s="38"/>
      <c r="LW105" s="38"/>
      <c r="LX105" s="38"/>
      <c r="LY105" s="38"/>
      <c r="LZ105" s="38"/>
      <c r="MA105" s="38"/>
      <c r="MB105" s="38"/>
      <c r="MC105" s="38"/>
      <c r="MD105" s="38"/>
      <c r="ME105" s="38"/>
      <c r="MF105" s="38"/>
      <c r="MG105" s="38"/>
      <c r="MH105" s="38"/>
      <c r="MI105" s="38"/>
      <c r="MJ105" s="38"/>
      <c r="MK105" s="38"/>
      <c r="ML105" s="38"/>
      <c r="MM105" s="38"/>
      <c r="MN105" s="38"/>
      <c r="MO105" s="38"/>
      <c r="MP105" s="38"/>
      <c r="MQ105" s="38"/>
      <c r="MR105" s="38"/>
      <c r="MS105" s="38"/>
      <c r="MT105" s="38"/>
      <c r="MU105" s="38"/>
      <c r="MV105" s="38"/>
      <c r="MW105" s="38"/>
      <c r="MX105" s="38"/>
      <c r="MY105" s="38"/>
      <c r="MZ105" s="38"/>
      <c r="NA105" s="38"/>
      <c r="NB105" s="38"/>
      <c r="NC105" s="38"/>
      <c r="ND105" s="38"/>
      <c r="NE105" s="38"/>
      <c r="NF105" s="38"/>
      <c r="NG105" s="38"/>
      <c r="NH105" s="38"/>
      <c r="NI105" s="38"/>
      <c r="NJ105" s="38"/>
      <c r="NK105" s="38"/>
      <c r="NL105" s="38"/>
      <c r="NM105" s="38"/>
      <c r="NN105" s="38"/>
      <c r="NO105" s="38"/>
      <c r="NP105" s="38"/>
      <c r="NQ105" s="38"/>
      <c r="NR105" s="38"/>
      <c r="NS105" s="38"/>
      <c r="NT105" s="38"/>
      <c r="NU105" s="38"/>
      <c r="NV105" s="38"/>
      <c r="NW105" s="38"/>
      <c r="NX105" s="38"/>
      <c r="NY105" s="38"/>
      <c r="NZ105" s="38"/>
      <c r="OA105" s="38"/>
      <c r="OB105" s="38"/>
      <c r="OC105" s="38"/>
      <c r="OD105" s="38"/>
      <c r="OE105" s="38"/>
      <c r="OF105" s="38"/>
      <c r="OG105" s="38"/>
      <c r="OH105" s="38"/>
      <c r="OI105" s="38"/>
      <c r="OJ105" s="38"/>
      <c r="OK105" s="38"/>
      <c r="OL105" s="38"/>
      <c r="OM105" s="38"/>
      <c r="ON105" s="38"/>
      <c r="OO105" s="38"/>
      <c r="OP105" s="38"/>
      <c r="OQ105" s="38"/>
      <c r="OR105" s="38"/>
      <c r="OS105" s="38"/>
      <c r="OT105" s="38"/>
      <c r="OU105" s="38"/>
      <c r="OV105" s="38"/>
      <c r="OW105" s="38"/>
      <c r="OX105" s="38"/>
      <c r="OY105" s="38"/>
      <c r="OZ105" s="38"/>
      <c r="PA105" s="38"/>
      <c r="PB105" s="38"/>
      <c r="PC105" s="38"/>
      <c r="PD105" s="38"/>
      <c r="PE105" s="38"/>
      <c r="PF105" s="38"/>
      <c r="PG105" s="38"/>
      <c r="PH105" s="38"/>
      <c r="PI105" s="38"/>
      <c r="PJ105" s="38"/>
      <c r="PK105" s="38"/>
      <c r="PL105" s="38"/>
      <c r="PM105" s="38"/>
      <c r="PN105" s="38"/>
      <c r="PO105" s="38"/>
      <c r="PP105" s="38"/>
      <c r="PQ105" s="38"/>
      <c r="PR105" s="38"/>
      <c r="PS105" s="38"/>
      <c r="PT105" s="38"/>
      <c r="PU105" s="38"/>
      <c r="PV105" s="38"/>
      <c r="PW105" s="38"/>
      <c r="PX105" s="38"/>
      <c r="PY105" s="38"/>
      <c r="PZ105" s="38"/>
      <c r="QA105" s="38"/>
      <c r="QB105" s="38"/>
      <c r="QC105" s="38"/>
      <c r="QD105" s="38"/>
      <c r="QE105" s="38"/>
      <c r="QF105" s="38"/>
      <c r="QG105" s="38"/>
      <c r="QH105" s="38"/>
      <c r="QI105" s="38"/>
      <c r="QJ105" s="38"/>
      <c r="QK105" s="38"/>
      <c r="QL105" s="38"/>
      <c r="QM105" s="38"/>
      <c r="QN105" s="38"/>
      <c r="QO105" s="38"/>
      <c r="QP105" s="38"/>
      <c r="QQ105" s="38"/>
      <c r="QR105" s="38"/>
      <c r="QS105" s="38"/>
      <c r="QT105" s="38"/>
      <c r="QU105" s="38"/>
      <c r="QV105" s="38"/>
      <c r="QW105" s="38"/>
      <c r="QX105" s="38"/>
      <c r="QY105" s="38"/>
      <c r="QZ105" s="38"/>
      <c r="RA105" s="38"/>
      <c r="RB105" s="38"/>
      <c r="RC105" s="38"/>
      <c r="RD105" s="38"/>
      <c r="RE105" s="38"/>
      <c r="RF105" s="38"/>
      <c r="RG105" s="38"/>
      <c r="RH105" s="38"/>
      <c r="RI105" s="38"/>
      <c r="RJ105" s="38"/>
      <c r="RK105" s="38"/>
      <c r="RL105" s="38"/>
      <c r="RM105" s="38"/>
      <c r="RN105" s="38"/>
      <c r="RO105" s="38"/>
      <c r="RP105" s="38"/>
      <c r="RQ105" s="38"/>
      <c r="RR105" s="38"/>
      <c r="RS105" s="38"/>
      <c r="RT105" s="38"/>
      <c r="RU105" s="38"/>
      <c r="RV105" s="38"/>
      <c r="RW105" s="38"/>
      <c r="RX105" s="38"/>
      <c r="RY105" s="38"/>
      <c r="RZ105" s="38"/>
      <c r="SA105" s="38"/>
      <c r="SB105" s="38"/>
      <c r="SC105" s="38"/>
      <c r="SD105" s="38"/>
      <c r="SE105" s="38"/>
      <c r="SF105" s="38"/>
      <c r="SG105" s="38"/>
      <c r="SH105" s="38"/>
      <c r="SI105" s="38"/>
      <c r="SJ105" s="38"/>
      <c r="SK105" s="38"/>
      <c r="SL105" s="38"/>
      <c r="SM105" s="38"/>
      <c r="SN105" s="38"/>
      <c r="SO105" s="38"/>
      <c r="SP105" s="38"/>
      <c r="SQ105" s="38"/>
      <c r="SR105" s="38"/>
      <c r="SS105" s="38"/>
      <c r="ST105" s="38"/>
      <c r="SU105" s="38"/>
      <c r="SV105" s="38"/>
      <c r="SW105" s="38"/>
      <c r="SX105" s="38"/>
      <c r="SY105" s="38"/>
      <c r="SZ105" s="38"/>
      <c r="TA105" s="38"/>
      <c r="TB105" s="38"/>
      <c r="TC105" s="38"/>
      <c r="TD105" s="38"/>
      <c r="TE105" s="38"/>
      <c r="TF105" s="38"/>
      <c r="TG105" s="38"/>
      <c r="TH105" s="38"/>
      <c r="TI105" s="38"/>
      <c r="TJ105" s="38"/>
      <c r="TK105" s="38"/>
      <c r="TL105" s="38"/>
      <c r="TM105" s="38"/>
      <c r="TN105" s="38"/>
      <c r="TO105" s="38"/>
      <c r="TP105" s="38"/>
      <c r="TQ105" s="38"/>
      <c r="TR105" s="38"/>
      <c r="TS105" s="38"/>
      <c r="TT105" s="38"/>
      <c r="TU105" s="38"/>
      <c r="TV105" s="38"/>
      <c r="TW105" s="38"/>
      <c r="TX105" s="38"/>
      <c r="TY105" s="38"/>
      <c r="TZ105" s="38"/>
      <c r="UA105" s="38"/>
      <c r="UB105" s="38"/>
      <c r="UC105" s="38"/>
      <c r="UD105" s="38"/>
      <c r="UE105" s="38"/>
      <c r="UF105" s="38"/>
      <c r="UG105" s="38"/>
      <c r="UH105" s="38"/>
      <c r="UI105" s="38"/>
      <c r="UJ105" s="38"/>
      <c r="UK105" s="38"/>
      <c r="UL105" s="38"/>
      <c r="UM105" s="38"/>
      <c r="UN105" s="38"/>
      <c r="UO105" s="38"/>
      <c r="UP105" s="38"/>
      <c r="UQ105" s="38"/>
      <c r="UR105" s="38"/>
      <c r="US105" s="38"/>
      <c r="UT105" s="38"/>
      <c r="UU105" s="38"/>
      <c r="UV105" s="38"/>
      <c r="UW105" s="38"/>
      <c r="UX105" s="38"/>
      <c r="UY105" s="38"/>
      <c r="UZ105" s="38"/>
      <c r="VA105" s="38"/>
      <c r="VB105" s="38"/>
      <c r="VC105" s="38"/>
      <c r="VD105" s="38"/>
      <c r="VE105" s="38"/>
      <c r="VF105" s="38"/>
      <c r="VG105" s="38"/>
      <c r="VH105" s="38"/>
      <c r="VI105" s="38"/>
      <c r="VJ105" s="38"/>
      <c r="VK105" s="38"/>
      <c r="VL105" s="38"/>
      <c r="VM105" s="38"/>
      <c r="VN105" s="38"/>
      <c r="VO105" s="38"/>
      <c r="VP105" s="38"/>
      <c r="VQ105" s="38"/>
      <c r="VR105" s="38"/>
      <c r="VS105" s="38"/>
      <c r="VT105" s="38"/>
      <c r="VU105" s="38"/>
      <c r="VV105" s="38"/>
      <c r="VW105" s="38"/>
      <c r="VX105" s="38"/>
      <c r="VY105" s="38"/>
      <c r="VZ105" s="38"/>
      <c r="WA105" s="38"/>
      <c r="WB105" s="38"/>
      <c r="WC105" s="38"/>
      <c r="WD105" s="38"/>
      <c r="WE105" s="38"/>
      <c r="WF105" s="38"/>
      <c r="WG105" s="38"/>
      <c r="WH105" s="38"/>
      <c r="WI105" s="38"/>
      <c r="WJ105" s="38"/>
      <c r="WK105" s="38"/>
      <c r="WL105" s="38"/>
      <c r="WM105" s="38"/>
      <c r="WN105" s="38"/>
      <c r="WO105" s="38"/>
      <c r="WP105" s="38"/>
      <c r="WQ105" s="38"/>
      <c r="WR105" s="38"/>
      <c r="WS105" s="38"/>
      <c r="WT105" s="38"/>
      <c r="WU105" s="38"/>
      <c r="WV105" s="38"/>
      <c r="WW105" s="38"/>
      <c r="WX105" s="38"/>
      <c r="WY105" s="38"/>
      <c r="WZ105" s="38"/>
      <c r="XA105" s="38"/>
      <c r="XB105" s="38"/>
      <c r="XC105" s="38"/>
      <c r="XD105" s="38"/>
      <c r="XE105" s="38"/>
      <c r="XF105" s="38"/>
      <c r="XG105" s="38"/>
      <c r="XH105" s="38"/>
      <c r="XI105" s="38"/>
      <c r="XJ105" s="38"/>
      <c r="XK105" s="38"/>
      <c r="XL105" s="38"/>
      <c r="XM105" s="38"/>
      <c r="XN105" s="38"/>
      <c r="XO105" s="38"/>
      <c r="XP105" s="38"/>
      <c r="XQ105" s="38"/>
      <c r="XR105" s="38"/>
      <c r="XS105" s="38"/>
      <c r="XT105" s="38"/>
      <c r="XU105" s="38"/>
      <c r="XV105" s="38"/>
      <c r="XW105" s="38"/>
      <c r="XX105" s="38"/>
      <c r="XY105" s="38"/>
      <c r="XZ105" s="38"/>
      <c r="YA105" s="38"/>
      <c r="YB105" s="38"/>
      <c r="YC105" s="38"/>
      <c r="YD105" s="38"/>
      <c r="YE105" s="38"/>
      <c r="YF105" s="38"/>
      <c r="YG105" s="38"/>
      <c r="YH105" s="38"/>
      <c r="YI105" s="38"/>
      <c r="YJ105" s="38"/>
      <c r="YK105" s="38"/>
      <c r="YL105" s="38"/>
      <c r="YM105" s="38"/>
      <c r="YN105" s="38"/>
      <c r="YO105" s="38"/>
      <c r="YP105" s="38"/>
      <c r="YQ105" s="38"/>
      <c r="YR105" s="38"/>
      <c r="YS105" s="38"/>
      <c r="YT105" s="38"/>
      <c r="YU105" s="38"/>
      <c r="YV105" s="38"/>
      <c r="YW105" s="38"/>
      <c r="YX105" s="38"/>
      <c r="YY105" s="38"/>
      <c r="YZ105" s="38"/>
      <c r="ZA105" s="38"/>
      <c r="ZB105" s="38"/>
      <c r="ZC105" s="38"/>
      <c r="ZD105" s="38"/>
      <c r="ZE105" s="38"/>
      <c r="ZF105" s="38"/>
      <c r="ZG105" s="38"/>
      <c r="ZH105" s="38"/>
      <c r="ZI105" s="38"/>
      <c r="ZJ105" s="38"/>
      <c r="ZK105" s="38"/>
      <c r="ZL105" s="38"/>
      <c r="ZM105" s="38"/>
      <c r="ZN105" s="38"/>
      <c r="ZO105" s="38"/>
      <c r="ZP105" s="38"/>
      <c r="ZQ105" s="38"/>
      <c r="ZR105" s="38"/>
      <c r="ZS105" s="38"/>
      <c r="ZT105" s="38"/>
      <c r="ZU105" s="38"/>
      <c r="ZV105" s="38"/>
      <c r="ZW105" s="38"/>
      <c r="ZX105" s="38"/>
      <c r="ZY105" s="38"/>
      <c r="ZZ105" s="38"/>
      <c r="AAA105" s="38"/>
      <c r="AAB105" s="38"/>
      <c r="AAC105" s="38"/>
      <c r="AAD105" s="38"/>
      <c r="AAE105" s="38"/>
      <c r="AAF105" s="38"/>
      <c r="AAG105" s="38"/>
      <c r="AAH105" s="38"/>
      <c r="AAI105" s="38"/>
      <c r="AAJ105" s="38"/>
      <c r="AAK105" s="38"/>
      <c r="AAL105" s="38"/>
      <c r="AAM105" s="38"/>
      <c r="AAN105" s="38"/>
      <c r="AAO105" s="38"/>
      <c r="AAP105" s="38"/>
      <c r="AAQ105" s="38"/>
      <c r="AAR105" s="38"/>
      <c r="AAS105" s="38"/>
      <c r="AAT105" s="38"/>
      <c r="AAU105" s="38"/>
      <c r="AAV105" s="38"/>
      <c r="AAW105" s="38"/>
      <c r="AAX105" s="38"/>
      <c r="AAY105" s="38"/>
      <c r="AAZ105" s="38"/>
      <c r="ABA105" s="38"/>
      <c r="ABB105" s="38"/>
      <c r="ABC105" s="38"/>
      <c r="ABD105" s="38"/>
      <c r="ABE105" s="38"/>
      <c r="ABF105" s="38"/>
      <c r="ABG105" s="38"/>
      <c r="ABH105" s="38"/>
      <c r="ABI105" s="38"/>
      <c r="ABJ105" s="38"/>
      <c r="ABK105" s="38"/>
      <c r="ABL105" s="38"/>
      <c r="ABM105" s="38"/>
      <c r="ABN105" s="38"/>
      <c r="ABO105" s="38"/>
      <c r="ABP105" s="38"/>
      <c r="ABQ105" s="38"/>
      <c r="ABR105" s="38"/>
      <c r="ABS105" s="38"/>
      <c r="ABT105" s="38"/>
      <c r="ABU105" s="38"/>
      <c r="ABV105" s="38"/>
      <c r="ABW105" s="38"/>
      <c r="ABX105" s="38"/>
      <c r="ABY105" s="38"/>
      <c r="ABZ105" s="38"/>
      <c r="ACA105" s="38"/>
      <c r="ACB105" s="38"/>
      <c r="ACC105" s="38"/>
      <c r="ACD105" s="38"/>
      <c r="ACE105" s="38"/>
      <c r="ACF105" s="38"/>
      <c r="ACG105" s="38"/>
      <c r="ACH105" s="38"/>
      <c r="ACI105" s="38"/>
      <c r="ACJ105" s="38"/>
      <c r="ACK105" s="38"/>
      <c r="ACL105" s="38"/>
      <c r="ACM105" s="38"/>
      <c r="ACN105" s="38"/>
      <c r="ACO105" s="38"/>
      <c r="ACP105" s="38"/>
      <c r="ACQ105" s="38"/>
      <c r="ACR105" s="38"/>
      <c r="ACS105" s="38"/>
      <c r="ACT105" s="38"/>
      <c r="ACU105" s="38"/>
      <c r="ACV105" s="38"/>
      <c r="ACW105" s="38"/>
      <c r="ACX105" s="38"/>
      <c r="ACY105" s="38"/>
      <c r="ACZ105" s="38"/>
      <c r="ADA105" s="38"/>
      <c r="ADB105" s="38"/>
      <c r="ADC105" s="38"/>
      <c r="ADD105" s="38"/>
      <c r="ADE105" s="38"/>
      <c r="ADF105" s="38"/>
      <c r="ADG105" s="38"/>
      <c r="ADH105" s="38"/>
      <c r="ADI105" s="38"/>
      <c r="ADJ105" s="38"/>
      <c r="ADK105" s="38"/>
      <c r="ADL105" s="38"/>
      <c r="ADM105" s="38"/>
      <c r="ADN105" s="38"/>
      <c r="ADO105" s="38"/>
      <c r="ADP105" s="38"/>
      <c r="ADQ105" s="38"/>
      <c r="ADR105" s="38"/>
      <c r="ADS105" s="38"/>
      <c r="ADT105" s="38"/>
      <c r="ADU105" s="38"/>
      <c r="ADV105" s="38"/>
      <c r="ADW105" s="38"/>
      <c r="ADX105" s="38"/>
      <c r="ADY105" s="38"/>
      <c r="ADZ105" s="38"/>
      <c r="AEA105" s="38"/>
      <c r="AEB105" s="38"/>
      <c r="AEC105" s="38"/>
      <c r="AED105" s="38"/>
      <c r="AEE105" s="38"/>
      <c r="AEF105" s="38"/>
      <c r="AEG105" s="38"/>
      <c r="AEH105" s="38"/>
      <c r="AEI105" s="38"/>
      <c r="AEJ105" s="38"/>
      <c r="AEK105" s="38"/>
      <c r="AEL105" s="38"/>
      <c r="AEM105" s="38"/>
      <c r="AEN105" s="38"/>
      <c r="AEO105" s="38"/>
      <c r="AEP105" s="38"/>
      <c r="AEQ105" s="38"/>
      <c r="AER105" s="38"/>
      <c r="AES105" s="38"/>
      <c r="AET105" s="38"/>
      <c r="AEU105" s="38"/>
      <c r="AEV105" s="38"/>
      <c r="AEW105" s="38"/>
      <c r="AEX105" s="38"/>
      <c r="AEY105" s="38"/>
      <c r="AEZ105" s="38"/>
      <c r="AFA105" s="38"/>
      <c r="AFB105" s="38"/>
      <c r="AFC105" s="38"/>
      <c r="AFD105" s="38"/>
      <c r="AFE105" s="38"/>
      <c r="AFF105" s="38"/>
      <c r="AFG105" s="38"/>
      <c r="AFH105" s="38"/>
      <c r="AFI105" s="38"/>
      <c r="AFJ105" s="38"/>
      <c r="AFK105" s="38"/>
      <c r="AFL105" s="38"/>
      <c r="AFM105" s="38"/>
      <c r="AFN105" s="38"/>
      <c r="AFO105" s="38"/>
      <c r="AFP105" s="38"/>
      <c r="AFQ105" s="38"/>
      <c r="AFR105" s="38"/>
      <c r="AFS105" s="38"/>
      <c r="AFT105" s="38"/>
      <c r="AFU105" s="38"/>
      <c r="AFV105" s="38"/>
      <c r="AFW105" s="38"/>
      <c r="AFX105" s="38"/>
      <c r="AFY105" s="38"/>
      <c r="AFZ105" s="38"/>
      <c r="AGA105" s="38"/>
      <c r="AGB105" s="38"/>
      <c r="AGC105" s="38"/>
      <c r="AGD105" s="38"/>
      <c r="AGE105" s="38"/>
      <c r="AGF105" s="38"/>
      <c r="AGG105" s="38"/>
      <c r="AGH105" s="38"/>
      <c r="AGI105" s="38"/>
      <c r="AGJ105" s="38"/>
      <c r="AGK105" s="38"/>
      <c r="AGL105" s="38"/>
      <c r="AGM105" s="38"/>
      <c r="AGN105" s="38"/>
      <c r="AGO105" s="38"/>
      <c r="AGP105" s="38"/>
      <c r="AGQ105" s="38"/>
      <c r="AGR105" s="38"/>
      <c r="AGS105" s="38"/>
      <c r="AGT105" s="38"/>
      <c r="AGU105" s="38"/>
      <c r="AGV105" s="38"/>
      <c r="AGW105" s="38"/>
      <c r="AGX105" s="38"/>
      <c r="AGY105" s="38"/>
      <c r="AGZ105" s="38"/>
      <c r="AHA105" s="38"/>
      <c r="AHB105" s="38"/>
      <c r="AHC105" s="38"/>
      <c r="AHD105" s="38"/>
      <c r="AHE105" s="38"/>
      <c r="AHF105" s="38"/>
      <c r="AHG105" s="38"/>
      <c r="AHH105" s="38"/>
      <c r="AHI105" s="38"/>
      <c r="AHJ105" s="38"/>
      <c r="AHK105" s="38"/>
      <c r="AHL105" s="38"/>
      <c r="AHM105" s="38"/>
      <c r="AHN105" s="38"/>
      <c r="AHO105" s="38"/>
      <c r="AHP105" s="38"/>
      <c r="AHQ105" s="38"/>
      <c r="AHR105" s="38"/>
      <c r="AHS105" s="38"/>
      <c r="AHT105" s="38"/>
      <c r="AHU105" s="38"/>
      <c r="AHV105" s="38"/>
    </row>
    <row r="106" spans="1:906" s="27" customFormat="1" x14ac:dyDescent="0.35">
      <c r="A106" s="83">
        <v>101</v>
      </c>
      <c r="B106" s="108" t="s">
        <v>178</v>
      </c>
      <c r="C106" s="109" t="s">
        <v>180</v>
      </c>
      <c r="D106" s="109" t="s">
        <v>111</v>
      </c>
      <c r="E106" s="125">
        <v>25.99</v>
      </c>
      <c r="F106" s="125">
        <v>20.95</v>
      </c>
      <c r="G106" s="125">
        <v>25.95</v>
      </c>
      <c r="H106" s="125">
        <v>26</v>
      </c>
      <c r="I106" s="37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8"/>
      <c r="DA106" s="38"/>
      <c r="DB106" s="38"/>
      <c r="DC106" s="38"/>
      <c r="DD106" s="38"/>
      <c r="DE106" s="38"/>
      <c r="DF106" s="38"/>
      <c r="DG106" s="38"/>
      <c r="DH106" s="38"/>
      <c r="DI106" s="38"/>
      <c r="DJ106" s="38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8"/>
      <c r="EN106" s="38"/>
      <c r="EO106" s="38"/>
      <c r="EP106" s="38"/>
      <c r="EQ106" s="38"/>
      <c r="ER106" s="38"/>
      <c r="ES106" s="38"/>
      <c r="ET106" s="38"/>
      <c r="EU106" s="38"/>
      <c r="EV106" s="38"/>
      <c r="EW106" s="38"/>
      <c r="EX106" s="38"/>
      <c r="EY106" s="38"/>
      <c r="EZ106" s="38"/>
      <c r="FA106" s="38"/>
      <c r="FB106" s="38"/>
      <c r="FC106" s="38"/>
      <c r="FD106" s="38"/>
      <c r="FE106" s="38"/>
      <c r="FF106" s="38"/>
      <c r="FG106" s="38"/>
      <c r="FH106" s="38"/>
      <c r="FI106" s="38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  <c r="HI106" s="38"/>
      <c r="HJ106" s="38"/>
      <c r="HK106" s="38"/>
      <c r="HL106" s="38"/>
      <c r="HM106" s="38"/>
      <c r="HN106" s="38"/>
      <c r="HO106" s="38"/>
      <c r="HP106" s="38"/>
      <c r="HQ106" s="38"/>
      <c r="HR106" s="38"/>
      <c r="HS106" s="38"/>
      <c r="HT106" s="38"/>
      <c r="HU106" s="38"/>
      <c r="HV106" s="38"/>
      <c r="HW106" s="38"/>
      <c r="HX106" s="38"/>
      <c r="HY106" s="38"/>
      <c r="HZ106" s="38"/>
      <c r="IA106" s="38"/>
      <c r="IB106" s="38"/>
      <c r="IC106" s="38"/>
      <c r="ID106" s="38"/>
      <c r="IE106" s="38"/>
      <c r="IF106" s="38"/>
      <c r="IG106" s="38"/>
      <c r="IH106" s="38"/>
      <c r="II106" s="38"/>
      <c r="IJ106" s="38"/>
      <c r="IK106" s="38"/>
      <c r="IL106" s="38"/>
      <c r="IM106" s="38"/>
      <c r="IN106" s="38"/>
      <c r="IO106" s="38"/>
      <c r="IP106" s="38"/>
      <c r="IQ106" s="38"/>
      <c r="IR106" s="38"/>
      <c r="IS106" s="38"/>
      <c r="IT106" s="38"/>
      <c r="IU106" s="38"/>
      <c r="IV106" s="38"/>
      <c r="IW106" s="38"/>
      <c r="IX106" s="38"/>
      <c r="IY106" s="38"/>
      <c r="IZ106" s="38"/>
      <c r="JA106" s="38"/>
      <c r="JB106" s="38"/>
      <c r="JC106" s="38"/>
      <c r="JD106" s="38"/>
      <c r="JE106" s="38"/>
      <c r="JF106" s="38"/>
      <c r="JG106" s="38"/>
      <c r="JH106" s="38"/>
      <c r="JI106" s="38"/>
      <c r="JJ106" s="38"/>
      <c r="JK106" s="38"/>
      <c r="JL106" s="38"/>
      <c r="JM106" s="38"/>
      <c r="JN106" s="38"/>
      <c r="JO106" s="38"/>
      <c r="JP106" s="38"/>
      <c r="JQ106" s="38"/>
      <c r="JR106" s="38"/>
      <c r="JS106" s="38"/>
      <c r="JT106" s="38"/>
      <c r="JU106" s="38"/>
      <c r="JV106" s="38"/>
      <c r="JW106" s="38"/>
      <c r="JX106" s="38"/>
      <c r="JY106" s="38"/>
      <c r="JZ106" s="38"/>
      <c r="KA106" s="38"/>
      <c r="KB106" s="38"/>
      <c r="KC106" s="38"/>
      <c r="KD106" s="38"/>
      <c r="KE106" s="38"/>
      <c r="KF106" s="38"/>
      <c r="KG106" s="38"/>
      <c r="KH106" s="38"/>
      <c r="KI106" s="38"/>
      <c r="KJ106" s="38"/>
      <c r="KK106" s="38"/>
      <c r="KL106" s="38"/>
      <c r="KM106" s="38"/>
      <c r="KN106" s="38"/>
      <c r="KO106" s="38"/>
      <c r="KP106" s="38"/>
      <c r="KQ106" s="38"/>
      <c r="KR106" s="38"/>
      <c r="KS106" s="38"/>
      <c r="KT106" s="38"/>
      <c r="KU106" s="38"/>
      <c r="KV106" s="38"/>
      <c r="KW106" s="38"/>
      <c r="KX106" s="38"/>
      <c r="KY106" s="38"/>
      <c r="KZ106" s="38"/>
      <c r="LA106" s="38"/>
      <c r="LB106" s="38"/>
      <c r="LC106" s="38"/>
      <c r="LD106" s="38"/>
      <c r="LE106" s="38"/>
      <c r="LF106" s="38"/>
      <c r="LG106" s="38"/>
      <c r="LH106" s="38"/>
      <c r="LI106" s="38"/>
      <c r="LJ106" s="38"/>
      <c r="LK106" s="38"/>
      <c r="LL106" s="38"/>
      <c r="LM106" s="38"/>
      <c r="LN106" s="38"/>
      <c r="LO106" s="38"/>
      <c r="LP106" s="38"/>
      <c r="LQ106" s="38"/>
      <c r="LR106" s="38"/>
      <c r="LS106" s="38"/>
      <c r="LT106" s="38"/>
      <c r="LU106" s="38"/>
      <c r="LV106" s="38"/>
      <c r="LW106" s="38"/>
      <c r="LX106" s="38"/>
      <c r="LY106" s="38"/>
      <c r="LZ106" s="38"/>
      <c r="MA106" s="38"/>
      <c r="MB106" s="38"/>
      <c r="MC106" s="38"/>
      <c r="MD106" s="38"/>
      <c r="ME106" s="38"/>
      <c r="MF106" s="38"/>
      <c r="MG106" s="38"/>
      <c r="MH106" s="38"/>
      <c r="MI106" s="38"/>
      <c r="MJ106" s="38"/>
      <c r="MK106" s="38"/>
      <c r="ML106" s="38"/>
      <c r="MM106" s="38"/>
      <c r="MN106" s="38"/>
      <c r="MO106" s="38"/>
      <c r="MP106" s="38"/>
      <c r="MQ106" s="38"/>
      <c r="MR106" s="38"/>
      <c r="MS106" s="38"/>
      <c r="MT106" s="38"/>
      <c r="MU106" s="38"/>
      <c r="MV106" s="38"/>
      <c r="MW106" s="38"/>
      <c r="MX106" s="38"/>
      <c r="MY106" s="38"/>
      <c r="MZ106" s="38"/>
      <c r="NA106" s="38"/>
      <c r="NB106" s="38"/>
      <c r="NC106" s="38"/>
      <c r="ND106" s="38"/>
      <c r="NE106" s="38"/>
      <c r="NF106" s="38"/>
      <c r="NG106" s="38"/>
      <c r="NH106" s="38"/>
      <c r="NI106" s="38"/>
      <c r="NJ106" s="38"/>
      <c r="NK106" s="38"/>
      <c r="NL106" s="38"/>
      <c r="NM106" s="38"/>
      <c r="NN106" s="38"/>
      <c r="NO106" s="38"/>
      <c r="NP106" s="38"/>
      <c r="NQ106" s="38"/>
      <c r="NR106" s="38"/>
      <c r="NS106" s="38"/>
      <c r="NT106" s="38"/>
      <c r="NU106" s="38"/>
      <c r="NV106" s="38"/>
      <c r="NW106" s="38"/>
      <c r="NX106" s="38"/>
      <c r="NY106" s="38"/>
      <c r="NZ106" s="38"/>
      <c r="OA106" s="38"/>
      <c r="OB106" s="38"/>
      <c r="OC106" s="38"/>
      <c r="OD106" s="38"/>
      <c r="OE106" s="38"/>
      <c r="OF106" s="38"/>
      <c r="OG106" s="38"/>
      <c r="OH106" s="38"/>
      <c r="OI106" s="38"/>
      <c r="OJ106" s="38"/>
      <c r="OK106" s="38"/>
      <c r="OL106" s="38"/>
      <c r="OM106" s="38"/>
      <c r="ON106" s="38"/>
      <c r="OO106" s="38"/>
      <c r="OP106" s="38"/>
      <c r="OQ106" s="38"/>
      <c r="OR106" s="38"/>
      <c r="OS106" s="38"/>
      <c r="OT106" s="38"/>
      <c r="OU106" s="38"/>
      <c r="OV106" s="38"/>
      <c r="OW106" s="38"/>
      <c r="OX106" s="38"/>
      <c r="OY106" s="38"/>
      <c r="OZ106" s="38"/>
      <c r="PA106" s="38"/>
      <c r="PB106" s="38"/>
      <c r="PC106" s="38"/>
      <c r="PD106" s="38"/>
      <c r="PE106" s="38"/>
      <c r="PF106" s="38"/>
      <c r="PG106" s="38"/>
      <c r="PH106" s="38"/>
      <c r="PI106" s="38"/>
      <c r="PJ106" s="38"/>
      <c r="PK106" s="38"/>
      <c r="PL106" s="38"/>
      <c r="PM106" s="38"/>
      <c r="PN106" s="38"/>
      <c r="PO106" s="38"/>
      <c r="PP106" s="38"/>
      <c r="PQ106" s="38"/>
      <c r="PR106" s="38"/>
      <c r="PS106" s="38"/>
      <c r="PT106" s="38"/>
      <c r="PU106" s="38"/>
      <c r="PV106" s="38"/>
      <c r="PW106" s="38"/>
      <c r="PX106" s="38"/>
      <c r="PY106" s="38"/>
      <c r="PZ106" s="38"/>
      <c r="QA106" s="38"/>
      <c r="QB106" s="38"/>
      <c r="QC106" s="38"/>
      <c r="QD106" s="38"/>
      <c r="QE106" s="38"/>
      <c r="QF106" s="38"/>
      <c r="QG106" s="38"/>
      <c r="QH106" s="38"/>
      <c r="QI106" s="38"/>
      <c r="QJ106" s="38"/>
      <c r="QK106" s="38"/>
      <c r="QL106" s="38"/>
      <c r="QM106" s="38"/>
      <c r="QN106" s="38"/>
      <c r="QO106" s="38"/>
      <c r="QP106" s="38"/>
      <c r="QQ106" s="38"/>
      <c r="QR106" s="38"/>
      <c r="QS106" s="38"/>
      <c r="QT106" s="38"/>
      <c r="QU106" s="38"/>
      <c r="QV106" s="38"/>
      <c r="QW106" s="38"/>
      <c r="QX106" s="38"/>
      <c r="QY106" s="38"/>
      <c r="QZ106" s="38"/>
      <c r="RA106" s="38"/>
      <c r="RB106" s="38"/>
      <c r="RC106" s="38"/>
      <c r="RD106" s="38"/>
      <c r="RE106" s="38"/>
      <c r="RF106" s="38"/>
      <c r="RG106" s="38"/>
      <c r="RH106" s="38"/>
      <c r="RI106" s="38"/>
      <c r="RJ106" s="38"/>
      <c r="RK106" s="38"/>
      <c r="RL106" s="38"/>
      <c r="RM106" s="38"/>
      <c r="RN106" s="38"/>
      <c r="RO106" s="38"/>
      <c r="RP106" s="38"/>
      <c r="RQ106" s="38"/>
      <c r="RR106" s="38"/>
      <c r="RS106" s="38"/>
      <c r="RT106" s="38"/>
      <c r="RU106" s="38"/>
      <c r="RV106" s="38"/>
      <c r="RW106" s="38"/>
      <c r="RX106" s="38"/>
      <c r="RY106" s="38"/>
      <c r="RZ106" s="38"/>
      <c r="SA106" s="38"/>
      <c r="SB106" s="38"/>
      <c r="SC106" s="38"/>
      <c r="SD106" s="38"/>
      <c r="SE106" s="38"/>
      <c r="SF106" s="38"/>
      <c r="SG106" s="38"/>
      <c r="SH106" s="38"/>
      <c r="SI106" s="38"/>
      <c r="SJ106" s="38"/>
      <c r="SK106" s="38"/>
      <c r="SL106" s="38"/>
      <c r="SM106" s="38"/>
      <c r="SN106" s="38"/>
      <c r="SO106" s="38"/>
      <c r="SP106" s="38"/>
      <c r="SQ106" s="38"/>
      <c r="SR106" s="38"/>
      <c r="SS106" s="38"/>
      <c r="ST106" s="38"/>
      <c r="SU106" s="38"/>
      <c r="SV106" s="38"/>
      <c r="SW106" s="38"/>
      <c r="SX106" s="38"/>
      <c r="SY106" s="38"/>
      <c r="SZ106" s="38"/>
      <c r="TA106" s="38"/>
      <c r="TB106" s="38"/>
      <c r="TC106" s="38"/>
      <c r="TD106" s="38"/>
      <c r="TE106" s="38"/>
      <c r="TF106" s="38"/>
      <c r="TG106" s="38"/>
      <c r="TH106" s="38"/>
      <c r="TI106" s="38"/>
      <c r="TJ106" s="38"/>
      <c r="TK106" s="38"/>
      <c r="TL106" s="38"/>
      <c r="TM106" s="38"/>
      <c r="TN106" s="38"/>
      <c r="TO106" s="38"/>
      <c r="TP106" s="38"/>
      <c r="TQ106" s="38"/>
      <c r="TR106" s="38"/>
      <c r="TS106" s="38"/>
      <c r="TT106" s="38"/>
      <c r="TU106" s="38"/>
      <c r="TV106" s="38"/>
      <c r="TW106" s="38"/>
      <c r="TX106" s="38"/>
      <c r="TY106" s="38"/>
      <c r="TZ106" s="38"/>
      <c r="UA106" s="38"/>
      <c r="UB106" s="38"/>
      <c r="UC106" s="38"/>
      <c r="UD106" s="38"/>
      <c r="UE106" s="38"/>
      <c r="UF106" s="38"/>
      <c r="UG106" s="38"/>
      <c r="UH106" s="38"/>
      <c r="UI106" s="38"/>
      <c r="UJ106" s="38"/>
      <c r="UK106" s="38"/>
      <c r="UL106" s="38"/>
      <c r="UM106" s="38"/>
      <c r="UN106" s="38"/>
      <c r="UO106" s="38"/>
      <c r="UP106" s="38"/>
      <c r="UQ106" s="38"/>
      <c r="UR106" s="38"/>
      <c r="US106" s="38"/>
      <c r="UT106" s="38"/>
      <c r="UU106" s="38"/>
      <c r="UV106" s="38"/>
      <c r="UW106" s="38"/>
      <c r="UX106" s="38"/>
      <c r="UY106" s="38"/>
      <c r="UZ106" s="38"/>
      <c r="VA106" s="38"/>
      <c r="VB106" s="38"/>
      <c r="VC106" s="38"/>
      <c r="VD106" s="38"/>
      <c r="VE106" s="38"/>
      <c r="VF106" s="38"/>
      <c r="VG106" s="38"/>
      <c r="VH106" s="38"/>
      <c r="VI106" s="38"/>
      <c r="VJ106" s="38"/>
      <c r="VK106" s="38"/>
      <c r="VL106" s="38"/>
      <c r="VM106" s="38"/>
      <c r="VN106" s="38"/>
      <c r="VO106" s="38"/>
      <c r="VP106" s="38"/>
      <c r="VQ106" s="38"/>
      <c r="VR106" s="38"/>
      <c r="VS106" s="38"/>
      <c r="VT106" s="38"/>
      <c r="VU106" s="38"/>
      <c r="VV106" s="38"/>
      <c r="VW106" s="38"/>
      <c r="VX106" s="38"/>
      <c r="VY106" s="38"/>
      <c r="VZ106" s="38"/>
      <c r="WA106" s="38"/>
      <c r="WB106" s="38"/>
      <c r="WC106" s="38"/>
      <c r="WD106" s="38"/>
      <c r="WE106" s="38"/>
      <c r="WF106" s="38"/>
      <c r="WG106" s="38"/>
      <c r="WH106" s="38"/>
      <c r="WI106" s="38"/>
      <c r="WJ106" s="38"/>
      <c r="WK106" s="38"/>
      <c r="WL106" s="38"/>
      <c r="WM106" s="38"/>
      <c r="WN106" s="38"/>
      <c r="WO106" s="38"/>
      <c r="WP106" s="38"/>
      <c r="WQ106" s="38"/>
      <c r="WR106" s="38"/>
      <c r="WS106" s="38"/>
      <c r="WT106" s="38"/>
      <c r="WU106" s="38"/>
      <c r="WV106" s="38"/>
      <c r="WW106" s="38"/>
      <c r="WX106" s="38"/>
      <c r="WY106" s="38"/>
      <c r="WZ106" s="38"/>
      <c r="XA106" s="38"/>
      <c r="XB106" s="38"/>
      <c r="XC106" s="38"/>
      <c r="XD106" s="38"/>
      <c r="XE106" s="38"/>
      <c r="XF106" s="38"/>
      <c r="XG106" s="38"/>
      <c r="XH106" s="38"/>
      <c r="XI106" s="38"/>
      <c r="XJ106" s="38"/>
      <c r="XK106" s="38"/>
      <c r="XL106" s="38"/>
      <c r="XM106" s="38"/>
      <c r="XN106" s="38"/>
      <c r="XO106" s="38"/>
      <c r="XP106" s="38"/>
      <c r="XQ106" s="38"/>
      <c r="XR106" s="38"/>
      <c r="XS106" s="38"/>
      <c r="XT106" s="38"/>
      <c r="XU106" s="38"/>
      <c r="XV106" s="38"/>
      <c r="XW106" s="38"/>
      <c r="XX106" s="38"/>
      <c r="XY106" s="38"/>
      <c r="XZ106" s="38"/>
      <c r="YA106" s="38"/>
      <c r="YB106" s="38"/>
      <c r="YC106" s="38"/>
      <c r="YD106" s="38"/>
      <c r="YE106" s="38"/>
      <c r="YF106" s="38"/>
      <c r="YG106" s="38"/>
      <c r="YH106" s="38"/>
      <c r="YI106" s="38"/>
      <c r="YJ106" s="38"/>
      <c r="YK106" s="38"/>
      <c r="YL106" s="38"/>
      <c r="YM106" s="38"/>
      <c r="YN106" s="38"/>
      <c r="YO106" s="38"/>
      <c r="YP106" s="38"/>
      <c r="YQ106" s="38"/>
      <c r="YR106" s="38"/>
      <c r="YS106" s="38"/>
      <c r="YT106" s="38"/>
      <c r="YU106" s="38"/>
      <c r="YV106" s="38"/>
      <c r="YW106" s="38"/>
      <c r="YX106" s="38"/>
      <c r="YY106" s="38"/>
      <c r="YZ106" s="38"/>
      <c r="ZA106" s="38"/>
      <c r="ZB106" s="38"/>
      <c r="ZC106" s="38"/>
      <c r="ZD106" s="38"/>
      <c r="ZE106" s="38"/>
      <c r="ZF106" s="38"/>
      <c r="ZG106" s="38"/>
      <c r="ZH106" s="38"/>
      <c r="ZI106" s="38"/>
      <c r="ZJ106" s="38"/>
      <c r="ZK106" s="38"/>
      <c r="ZL106" s="38"/>
      <c r="ZM106" s="38"/>
      <c r="ZN106" s="38"/>
      <c r="ZO106" s="38"/>
      <c r="ZP106" s="38"/>
      <c r="ZQ106" s="38"/>
      <c r="ZR106" s="38"/>
      <c r="ZS106" s="38"/>
      <c r="ZT106" s="38"/>
      <c r="ZU106" s="38"/>
      <c r="ZV106" s="38"/>
      <c r="ZW106" s="38"/>
      <c r="ZX106" s="38"/>
      <c r="ZY106" s="38"/>
      <c r="ZZ106" s="38"/>
      <c r="AAA106" s="38"/>
      <c r="AAB106" s="38"/>
      <c r="AAC106" s="38"/>
      <c r="AAD106" s="38"/>
      <c r="AAE106" s="38"/>
      <c r="AAF106" s="38"/>
      <c r="AAG106" s="38"/>
      <c r="AAH106" s="38"/>
      <c r="AAI106" s="38"/>
      <c r="AAJ106" s="38"/>
      <c r="AAK106" s="38"/>
      <c r="AAL106" s="38"/>
      <c r="AAM106" s="38"/>
      <c r="AAN106" s="38"/>
      <c r="AAO106" s="38"/>
      <c r="AAP106" s="38"/>
      <c r="AAQ106" s="38"/>
      <c r="AAR106" s="38"/>
      <c r="AAS106" s="38"/>
      <c r="AAT106" s="38"/>
      <c r="AAU106" s="38"/>
      <c r="AAV106" s="38"/>
      <c r="AAW106" s="38"/>
      <c r="AAX106" s="38"/>
      <c r="AAY106" s="38"/>
      <c r="AAZ106" s="38"/>
      <c r="ABA106" s="38"/>
      <c r="ABB106" s="38"/>
      <c r="ABC106" s="38"/>
      <c r="ABD106" s="38"/>
      <c r="ABE106" s="38"/>
      <c r="ABF106" s="38"/>
      <c r="ABG106" s="38"/>
      <c r="ABH106" s="38"/>
      <c r="ABI106" s="38"/>
      <c r="ABJ106" s="38"/>
      <c r="ABK106" s="38"/>
      <c r="ABL106" s="38"/>
      <c r="ABM106" s="38"/>
      <c r="ABN106" s="38"/>
      <c r="ABO106" s="38"/>
      <c r="ABP106" s="38"/>
      <c r="ABQ106" s="38"/>
      <c r="ABR106" s="38"/>
      <c r="ABS106" s="38"/>
      <c r="ABT106" s="38"/>
      <c r="ABU106" s="38"/>
      <c r="ABV106" s="38"/>
      <c r="ABW106" s="38"/>
      <c r="ABX106" s="38"/>
      <c r="ABY106" s="38"/>
      <c r="ABZ106" s="38"/>
      <c r="ACA106" s="38"/>
      <c r="ACB106" s="38"/>
      <c r="ACC106" s="38"/>
      <c r="ACD106" s="38"/>
      <c r="ACE106" s="38"/>
      <c r="ACF106" s="38"/>
      <c r="ACG106" s="38"/>
      <c r="ACH106" s="38"/>
      <c r="ACI106" s="38"/>
      <c r="ACJ106" s="38"/>
      <c r="ACK106" s="38"/>
      <c r="ACL106" s="38"/>
      <c r="ACM106" s="38"/>
      <c r="ACN106" s="38"/>
      <c r="ACO106" s="38"/>
      <c r="ACP106" s="38"/>
      <c r="ACQ106" s="38"/>
      <c r="ACR106" s="38"/>
      <c r="ACS106" s="38"/>
      <c r="ACT106" s="38"/>
      <c r="ACU106" s="38"/>
      <c r="ACV106" s="38"/>
      <c r="ACW106" s="38"/>
      <c r="ACX106" s="38"/>
      <c r="ACY106" s="38"/>
      <c r="ACZ106" s="38"/>
      <c r="ADA106" s="38"/>
      <c r="ADB106" s="38"/>
      <c r="ADC106" s="38"/>
      <c r="ADD106" s="38"/>
      <c r="ADE106" s="38"/>
      <c r="ADF106" s="38"/>
      <c r="ADG106" s="38"/>
      <c r="ADH106" s="38"/>
      <c r="ADI106" s="38"/>
      <c r="ADJ106" s="38"/>
      <c r="ADK106" s="38"/>
      <c r="ADL106" s="38"/>
      <c r="ADM106" s="38"/>
      <c r="ADN106" s="38"/>
      <c r="ADO106" s="38"/>
      <c r="ADP106" s="38"/>
      <c r="ADQ106" s="38"/>
      <c r="ADR106" s="38"/>
      <c r="ADS106" s="38"/>
      <c r="ADT106" s="38"/>
      <c r="ADU106" s="38"/>
      <c r="ADV106" s="38"/>
      <c r="ADW106" s="38"/>
      <c r="ADX106" s="38"/>
      <c r="ADY106" s="38"/>
      <c r="ADZ106" s="38"/>
      <c r="AEA106" s="38"/>
      <c r="AEB106" s="38"/>
      <c r="AEC106" s="38"/>
      <c r="AED106" s="38"/>
      <c r="AEE106" s="38"/>
      <c r="AEF106" s="38"/>
      <c r="AEG106" s="38"/>
      <c r="AEH106" s="38"/>
      <c r="AEI106" s="38"/>
      <c r="AEJ106" s="38"/>
      <c r="AEK106" s="38"/>
      <c r="AEL106" s="38"/>
      <c r="AEM106" s="38"/>
      <c r="AEN106" s="38"/>
      <c r="AEO106" s="38"/>
      <c r="AEP106" s="38"/>
      <c r="AEQ106" s="38"/>
      <c r="AER106" s="38"/>
      <c r="AES106" s="38"/>
      <c r="AET106" s="38"/>
      <c r="AEU106" s="38"/>
      <c r="AEV106" s="38"/>
      <c r="AEW106" s="38"/>
      <c r="AEX106" s="38"/>
      <c r="AEY106" s="38"/>
      <c r="AEZ106" s="38"/>
      <c r="AFA106" s="38"/>
      <c r="AFB106" s="38"/>
      <c r="AFC106" s="38"/>
      <c r="AFD106" s="38"/>
      <c r="AFE106" s="38"/>
      <c r="AFF106" s="38"/>
      <c r="AFG106" s="38"/>
      <c r="AFH106" s="38"/>
      <c r="AFI106" s="38"/>
      <c r="AFJ106" s="38"/>
      <c r="AFK106" s="38"/>
      <c r="AFL106" s="38"/>
      <c r="AFM106" s="38"/>
      <c r="AFN106" s="38"/>
      <c r="AFO106" s="38"/>
      <c r="AFP106" s="38"/>
      <c r="AFQ106" s="38"/>
      <c r="AFR106" s="38"/>
      <c r="AFS106" s="38"/>
      <c r="AFT106" s="38"/>
      <c r="AFU106" s="38"/>
      <c r="AFV106" s="38"/>
      <c r="AFW106" s="38"/>
      <c r="AFX106" s="38"/>
      <c r="AFY106" s="38"/>
      <c r="AFZ106" s="38"/>
      <c r="AGA106" s="38"/>
      <c r="AGB106" s="38"/>
      <c r="AGC106" s="38"/>
      <c r="AGD106" s="38"/>
      <c r="AGE106" s="38"/>
      <c r="AGF106" s="38"/>
      <c r="AGG106" s="38"/>
      <c r="AGH106" s="38"/>
      <c r="AGI106" s="38"/>
      <c r="AGJ106" s="38"/>
      <c r="AGK106" s="38"/>
      <c r="AGL106" s="38"/>
      <c r="AGM106" s="38"/>
      <c r="AGN106" s="38"/>
      <c r="AGO106" s="38"/>
      <c r="AGP106" s="38"/>
      <c r="AGQ106" s="38"/>
      <c r="AGR106" s="38"/>
      <c r="AGS106" s="38"/>
      <c r="AGT106" s="38"/>
      <c r="AGU106" s="38"/>
      <c r="AGV106" s="38"/>
      <c r="AGW106" s="38"/>
      <c r="AGX106" s="38"/>
      <c r="AGY106" s="38"/>
      <c r="AGZ106" s="38"/>
      <c r="AHA106" s="38"/>
      <c r="AHB106" s="38"/>
      <c r="AHC106" s="38"/>
      <c r="AHD106" s="38"/>
      <c r="AHE106" s="38"/>
      <c r="AHF106" s="38"/>
      <c r="AHG106" s="38"/>
      <c r="AHH106" s="38"/>
      <c r="AHI106" s="38"/>
      <c r="AHJ106" s="38"/>
      <c r="AHK106" s="38"/>
      <c r="AHL106" s="38"/>
      <c r="AHM106" s="38"/>
      <c r="AHN106" s="38"/>
      <c r="AHO106" s="38"/>
      <c r="AHP106" s="38"/>
      <c r="AHQ106" s="38"/>
      <c r="AHR106" s="38"/>
      <c r="AHS106" s="38"/>
      <c r="AHT106" s="38"/>
      <c r="AHU106" s="38"/>
      <c r="AHV106" s="38"/>
    </row>
    <row r="107" spans="1:906" s="27" customFormat="1" x14ac:dyDescent="0.35">
      <c r="A107" s="83">
        <v>102</v>
      </c>
      <c r="B107" s="108" t="s">
        <v>181</v>
      </c>
      <c r="C107" s="109" t="s">
        <v>182</v>
      </c>
      <c r="D107" s="109" t="s">
        <v>183</v>
      </c>
      <c r="E107" s="125">
        <v>16.7</v>
      </c>
      <c r="F107" s="125">
        <v>15.95</v>
      </c>
      <c r="G107" s="125">
        <v>15.5</v>
      </c>
      <c r="H107" s="125">
        <v>16.5</v>
      </c>
      <c r="I107" s="37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  <c r="CC107" s="38"/>
      <c r="CD107" s="38"/>
      <c r="CE107" s="38"/>
      <c r="CF107" s="38"/>
      <c r="CG107" s="38"/>
      <c r="CH107" s="38"/>
      <c r="CI107" s="38"/>
      <c r="CJ107" s="38"/>
      <c r="CK107" s="38"/>
      <c r="CL107" s="38"/>
      <c r="CM107" s="38"/>
      <c r="CN107" s="38"/>
      <c r="CO107" s="38"/>
      <c r="CP107" s="38"/>
      <c r="CQ107" s="38"/>
      <c r="CR107" s="38"/>
      <c r="CS107" s="38"/>
      <c r="CT107" s="38"/>
      <c r="CU107" s="38"/>
      <c r="CV107" s="38"/>
      <c r="CW107" s="38"/>
      <c r="CX107" s="38"/>
      <c r="CY107" s="38"/>
      <c r="CZ107" s="38"/>
      <c r="DA107" s="38"/>
      <c r="DB107" s="38"/>
      <c r="DC107" s="38"/>
      <c r="DD107" s="38"/>
      <c r="DE107" s="38"/>
      <c r="DF107" s="38"/>
      <c r="DG107" s="38"/>
      <c r="DH107" s="38"/>
      <c r="DI107" s="38"/>
      <c r="DJ107" s="38"/>
      <c r="DK107" s="38"/>
      <c r="DL107" s="38"/>
      <c r="DM107" s="38"/>
      <c r="DN107" s="38"/>
      <c r="DO107" s="38"/>
      <c r="DP107" s="38"/>
      <c r="DQ107" s="38"/>
      <c r="DR107" s="38"/>
      <c r="DS107" s="38"/>
      <c r="DT107" s="38"/>
      <c r="DU107" s="38"/>
      <c r="DV107" s="38"/>
      <c r="DW107" s="38"/>
      <c r="DX107" s="38"/>
      <c r="DY107" s="38"/>
      <c r="DZ107" s="38"/>
      <c r="EA107" s="38"/>
      <c r="EB107" s="38"/>
      <c r="EC107" s="38"/>
      <c r="ED107" s="38"/>
      <c r="EE107" s="38"/>
      <c r="EF107" s="38"/>
      <c r="EG107" s="38"/>
      <c r="EH107" s="38"/>
      <c r="EI107" s="38"/>
      <c r="EJ107" s="38"/>
      <c r="EK107" s="38"/>
      <c r="EL107" s="38"/>
      <c r="EM107" s="38"/>
      <c r="EN107" s="38"/>
      <c r="EO107" s="38"/>
      <c r="EP107" s="38"/>
      <c r="EQ107" s="38"/>
      <c r="ER107" s="38"/>
      <c r="ES107" s="38"/>
      <c r="ET107" s="38"/>
      <c r="EU107" s="38"/>
      <c r="EV107" s="38"/>
      <c r="EW107" s="38"/>
      <c r="EX107" s="38"/>
      <c r="EY107" s="38"/>
      <c r="EZ107" s="38"/>
      <c r="FA107" s="38"/>
      <c r="FB107" s="38"/>
      <c r="FC107" s="38"/>
      <c r="FD107" s="38"/>
      <c r="FE107" s="38"/>
      <c r="FF107" s="38"/>
      <c r="FG107" s="38"/>
      <c r="FH107" s="38"/>
      <c r="FI107" s="38"/>
      <c r="FJ107" s="38"/>
      <c r="FK107" s="38"/>
      <c r="FL107" s="38"/>
      <c r="FM107" s="38"/>
      <c r="FN107" s="38"/>
      <c r="FO107" s="38"/>
      <c r="FP107" s="38"/>
      <c r="FQ107" s="38"/>
      <c r="FR107" s="38"/>
      <c r="FS107" s="38"/>
      <c r="FT107" s="38"/>
      <c r="FU107" s="38"/>
      <c r="FV107" s="38"/>
      <c r="FW107" s="38"/>
      <c r="FX107" s="38"/>
      <c r="FY107" s="38"/>
      <c r="FZ107" s="38"/>
      <c r="GA107" s="38"/>
      <c r="GB107" s="38"/>
      <c r="GC107" s="38"/>
      <c r="GD107" s="38"/>
      <c r="GE107" s="38"/>
      <c r="GF107" s="38"/>
      <c r="GG107" s="38"/>
      <c r="GH107" s="38"/>
      <c r="GI107" s="38"/>
      <c r="GJ107" s="38"/>
      <c r="GK107" s="38"/>
      <c r="GL107" s="38"/>
      <c r="GM107" s="38"/>
      <c r="GN107" s="38"/>
      <c r="GO107" s="38"/>
      <c r="GP107" s="38"/>
      <c r="GQ107" s="38"/>
      <c r="GR107" s="38"/>
      <c r="GS107" s="38"/>
      <c r="GT107" s="38"/>
      <c r="GU107" s="38"/>
      <c r="GV107" s="38"/>
      <c r="GW107" s="38"/>
      <c r="GX107" s="38"/>
      <c r="GY107" s="38"/>
      <c r="GZ107" s="38"/>
      <c r="HA107" s="38"/>
      <c r="HB107" s="38"/>
      <c r="HC107" s="38"/>
      <c r="HD107" s="38"/>
      <c r="HE107" s="38"/>
      <c r="HF107" s="38"/>
      <c r="HG107" s="38"/>
      <c r="HH107" s="38"/>
      <c r="HI107" s="38"/>
      <c r="HJ107" s="38"/>
      <c r="HK107" s="38"/>
      <c r="HL107" s="38"/>
      <c r="HM107" s="38"/>
      <c r="HN107" s="38"/>
      <c r="HO107" s="38"/>
      <c r="HP107" s="38"/>
      <c r="HQ107" s="38"/>
      <c r="HR107" s="38"/>
      <c r="HS107" s="38"/>
      <c r="HT107" s="38"/>
      <c r="HU107" s="38"/>
      <c r="HV107" s="38"/>
      <c r="HW107" s="38"/>
      <c r="HX107" s="38"/>
      <c r="HY107" s="38"/>
      <c r="HZ107" s="38"/>
      <c r="IA107" s="38"/>
      <c r="IB107" s="38"/>
      <c r="IC107" s="38"/>
      <c r="ID107" s="38"/>
      <c r="IE107" s="38"/>
      <c r="IF107" s="38"/>
      <c r="IG107" s="38"/>
      <c r="IH107" s="38"/>
      <c r="II107" s="38"/>
      <c r="IJ107" s="38"/>
      <c r="IK107" s="38"/>
      <c r="IL107" s="38"/>
      <c r="IM107" s="38"/>
      <c r="IN107" s="38"/>
      <c r="IO107" s="38"/>
      <c r="IP107" s="38"/>
      <c r="IQ107" s="38"/>
      <c r="IR107" s="38"/>
      <c r="IS107" s="38"/>
      <c r="IT107" s="38"/>
      <c r="IU107" s="38"/>
      <c r="IV107" s="38"/>
      <c r="IW107" s="38"/>
      <c r="IX107" s="38"/>
      <c r="IY107" s="38"/>
      <c r="IZ107" s="38"/>
      <c r="JA107" s="38"/>
      <c r="JB107" s="38"/>
      <c r="JC107" s="38"/>
      <c r="JD107" s="38"/>
      <c r="JE107" s="38"/>
      <c r="JF107" s="38"/>
      <c r="JG107" s="38"/>
      <c r="JH107" s="38"/>
      <c r="JI107" s="38"/>
      <c r="JJ107" s="38"/>
      <c r="JK107" s="38"/>
      <c r="JL107" s="38"/>
      <c r="JM107" s="38"/>
      <c r="JN107" s="38"/>
      <c r="JO107" s="38"/>
      <c r="JP107" s="38"/>
      <c r="JQ107" s="38"/>
      <c r="JR107" s="38"/>
      <c r="JS107" s="38"/>
      <c r="JT107" s="38"/>
      <c r="JU107" s="38"/>
      <c r="JV107" s="38"/>
      <c r="JW107" s="38"/>
      <c r="JX107" s="38"/>
      <c r="JY107" s="38"/>
      <c r="JZ107" s="38"/>
      <c r="KA107" s="38"/>
      <c r="KB107" s="38"/>
      <c r="KC107" s="38"/>
      <c r="KD107" s="38"/>
      <c r="KE107" s="38"/>
      <c r="KF107" s="38"/>
      <c r="KG107" s="38"/>
      <c r="KH107" s="38"/>
      <c r="KI107" s="38"/>
      <c r="KJ107" s="38"/>
      <c r="KK107" s="38"/>
      <c r="KL107" s="38"/>
      <c r="KM107" s="38"/>
      <c r="KN107" s="38"/>
      <c r="KO107" s="38"/>
      <c r="KP107" s="38"/>
      <c r="KQ107" s="38"/>
      <c r="KR107" s="38"/>
      <c r="KS107" s="38"/>
      <c r="KT107" s="38"/>
      <c r="KU107" s="38"/>
      <c r="KV107" s="38"/>
      <c r="KW107" s="38"/>
      <c r="KX107" s="38"/>
      <c r="KY107" s="38"/>
      <c r="KZ107" s="38"/>
      <c r="LA107" s="38"/>
      <c r="LB107" s="38"/>
      <c r="LC107" s="38"/>
      <c r="LD107" s="38"/>
      <c r="LE107" s="38"/>
      <c r="LF107" s="38"/>
      <c r="LG107" s="38"/>
      <c r="LH107" s="38"/>
      <c r="LI107" s="38"/>
      <c r="LJ107" s="38"/>
      <c r="LK107" s="38"/>
      <c r="LL107" s="38"/>
      <c r="LM107" s="38"/>
      <c r="LN107" s="38"/>
      <c r="LO107" s="38"/>
      <c r="LP107" s="38"/>
      <c r="LQ107" s="38"/>
      <c r="LR107" s="38"/>
      <c r="LS107" s="38"/>
      <c r="LT107" s="38"/>
      <c r="LU107" s="38"/>
      <c r="LV107" s="38"/>
      <c r="LW107" s="38"/>
      <c r="LX107" s="38"/>
      <c r="LY107" s="38"/>
      <c r="LZ107" s="38"/>
      <c r="MA107" s="38"/>
      <c r="MB107" s="38"/>
      <c r="MC107" s="38"/>
      <c r="MD107" s="38"/>
      <c r="ME107" s="38"/>
      <c r="MF107" s="38"/>
      <c r="MG107" s="38"/>
      <c r="MH107" s="38"/>
      <c r="MI107" s="38"/>
      <c r="MJ107" s="38"/>
      <c r="MK107" s="38"/>
      <c r="ML107" s="38"/>
      <c r="MM107" s="38"/>
      <c r="MN107" s="38"/>
      <c r="MO107" s="38"/>
      <c r="MP107" s="38"/>
      <c r="MQ107" s="38"/>
      <c r="MR107" s="38"/>
      <c r="MS107" s="38"/>
      <c r="MT107" s="38"/>
      <c r="MU107" s="38"/>
      <c r="MV107" s="38"/>
      <c r="MW107" s="38"/>
      <c r="MX107" s="38"/>
      <c r="MY107" s="38"/>
      <c r="MZ107" s="38"/>
      <c r="NA107" s="38"/>
      <c r="NB107" s="38"/>
      <c r="NC107" s="38"/>
      <c r="ND107" s="38"/>
      <c r="NE107" s="38"/>
      <c r="NF107" s="38"/>
      <c r="NG107" s="38"/>
      <c r="NH107" s="38"/>
      <c r="NI107" s="38"/>
      <c r="NJ107" s="38"/>
      <c r="NK107" s="38"/>
      <c r="NL107" s="38"/>
      <c r="NM107" s="38"/>
      <c r="NN107" s="38"/>
      <c r="NO107" s="38"/>
      <c r="NP107" s="38"/>
      <c r="NQ107" s="38"/>
      <c r="NR107" s="38"/>
      <c r="NS107" s="38"/>
      <c r="NT107" s="38"/>
      <c r="NU107" s="38"/>
      <c r="NV107" s="38"/>
      <c r="NW107" s="38"/>
      <c r="NX107" s="38"/>
      <c r="NY107" s="38"/>
      <c r="NZ107" s="38"/>
      <c r="OA107" s="38"/>
      <c r="OB107" s="38"/>
      <c r="OC107" s="38"/>
      <c r="OD107" s="38"/>
      <c r="OE107" s="38"/>
      <c r="OF107" s="38"/>
      <c r="OG107" s="38"/>
      <c r="OH107" s="38"/>
      <c r="OI107" s="38"/>
      <c r="OJ107" s="38"/>
      <c r="OK107" s="38"/>
      <c r="OL107" s="38"/>
      <c r="OM107" s="38"/>
      <c r="ON107" s="38"/>
      <c r="OO107" s="38"/>
      <c r="OP107" s="38"/>
      <c r="OQ107" s="38"/>
      <c r="OR107" s="38"/>
      <c r="OS107" s="38"/>
      <c r="OT107" s="38"/>
      <c r="OU107" s="38"/>
      <c r="OV107" s="38"/>
      <c r="OW107" s="38"/>
      <c r="OX107" s="38"/>
      <c r="OY107" s="38"/>
      <c r="OZ107" s="38"/>
      <c r="PA107" s="38"/>
      <c r="PB107" s="38"/>
      <c r="PC107" s="38"/>
      <c r="PD107" s="38"/>
      <c r="PE107" s="38"/>
      <c r="PF107" s="38"/>
      <c r="PG107" s="38"/>
      <c r="PH107" s="38"/>
      <c r="PI107" s="38"/>
      <c r="PJ107" s="38"/>
      <c r="PK107" s="38"/>
      <c r="PL107" s="38"/>
      <c r="PM107" s="38"/>
      <c r="PN107" s="38"/>
      <c r="PO107" s="38"/>
      <c r="PP107" s="38"/>
      <c r="PQ107" s="38"/>
      <c r="PR107" s="38"/>
      <c r="PS107" s="38"/>
      <c r="PT107" s="38"/>
      <c r="PU107" s="38"/>
      <c r="PV107" s="38"/>
      <c r="PW107" s="38"/>
      <c r="PX107" s="38"/>
      <c r="PY107" s="38"/>
      <c r="PZ107" s="38"/>
      <c r="QA107" s="38"/>
      <c r="QB107" s="38"/>
      <c r="QC107" s="38"/>
      <c r="QD107" s="38"/>
      <c r="QE107" s="38"/>
      <c r="QF107" s="38"/>
      <c r="QG107" s="38"/>
      <c r="QH107" s="38"/>
      <c r="QI107" s="38"/>
      <c r="QJ107" s="38"/>
      <c r="QK107" s="38"/>
      <c r="QL107" s="38"/>
      <c r="QM107" s="38"/>
      <c r="QN107" s="38"/>
      <c r="QO107" s="38"/>
      <c r="QP107" s="38"/>
      <c r="QQ107" s="38"/>
      <c r="QR107" s="38"/>
      <c r="QS107" s="38"/>
      <c r="QT107" s="38"/>
      <c r="QU107" s="38"/>
      <c r="QV107" s="38"/>
      <c r="QW107" s="38"/>
      <c r="QX107" s="38"/>
      <c r="QY107" s="38"/>
      <c r="QZ107" s="38"/>
      <c r="RA107" s="38"/>
      <c r="RB107" s="38"/>
      <c r="RC107" s="38"/>
      <c r="RD107" s="38"/>
      <c r="RE107" s="38"/>
      <c r="RF107" s="38"/>
      <c r="RG107" s="38"/>
      <c r="RH107" s="38"/>
      <c r="RI107" s="38"/>
      <c r="RJ107" s="38"/>
      <c r="RK107" s="38"/>
      <c r="RL107" s="38"/>
      <c r="RM107" s="38"/>
      <c r="RN107" s="38"/>
      <c r="RO107" s="38"/>
      <c r="RP107" s="38"/>
      <c r="RQ107" s="38"/>
      <c r="RR107" s="38"/>
      <c r="RS107" s="38"/>
      <c r="RT107" s="38"/>
      <c r="RU107" s="38"/>
      <c r="RV107" s="38"/>
      <c r="RW107" s="38"/>
      <c r="RX107" s="38"/>
      <c r="RY107" s="38"/>
      <c r="RZ107" s="38"/>
      <c r="SA107" s="38"/>
      <c r="SB107" s="38"/>
      <c r="SC107" s="38"/>
      <c r="SD107" s="38"/>
      <c r="SE107" s="38"/>
      <c r="SF107" s="38"/>
      <c r="SG107" s="38"/>
      <c r="SH107" s="38"/>
      <c r="SI107" s="38"/>
      <c r="SJ107" s="38"/>
      <c r="SK107" s="38"/>
      <c r="SL107" s="38"/>
      <c r="SM107" s="38"/>
      <c r="SN107" s="38"/>
      <c r="SO107" s="38"/>
      <c r="SP107" s="38"/>
      <c r="SQ107" s="38"/>
      <c r="SR107" s="38"/>
      <c r="SS107" s="38"/>
      <c r="ST107" s="38"/>
      <c r="SU107" s="38"/>
      <c r="SV107" s="38"/>
      <c r="SW107" s="38"/>
      <c r="SX107" s="38"/>
      <c r="SY107" s="38"/>
      <c r="SZ107" s="38"/>
      <c r="TA107" s="38"/>
      <c r="TB107" s="38"/>
      <c r="TC107" s="38"/>
      <c r="TD107" s="38"/>
      <c r="TE107" s="38"/>
      <c r="TF107" s="38"/>
      <c r="TG107" s="38"/>
      <c r="TH107" s="38"/>
      <c r="TI107" s="38"/>
      <c r="TJ107" s="38"/>
      <c r="TK107" s="38"/>
      <c r="TL107" s="38"/>
      <c r="TM107" s="38"/>
      <c r="TN107" s="38"/>
      <c r="TO107" s="38"/>
      <c r="TP107" s="38"/>
      <c r="TQ107" s="38"/>
      <c r="TR107" s="38"/>
      <c r="TS107" s="38"/>
      <c r="TT107" s="38"/>
      <c r="TU107" s="38"/>
      <c r="TV107" s="38"/>
      <c r="TW107" s="38"/>
      <c r="TX107" s="38"/>
      <c r="TY107" s="38"/>
      <c r="TZ107" s="38"/>
      <c r="UA107" s="38"/>
      <c r="UB107" s="38"/>
      <c r="UC107" s="38"/>
      <c r="UD107" s="38"/>
      <c r="UE107" s="38"/>
      <c r="UF107" s="38"/>
      <c r="UG107" s="38"/>
      <c r="UH107" s="38"/>
      <c r="UI107" s="38"/>
      <c r="UJ107" s="38"/>
      <c r="UK107" s="38"/>
      <c r="UL107" s="38"/>
      <c r="UM107" s="38"/>
      <c r="UN107" s="38"/>
      <c r="UO107" s="38"/>
      <c r="UP107" s="38"/>
      <c r="UQ107" s="38"/>
      <c r="UR107" s="38"/>
      <c r="US107" s="38"/>
      <c r="UT107" s="38"/>
      <c r="UU107" s="38"/>
      <c r="UV107" s="38"/>
      <c r="UW107" s="38"/>
      <c r="UX107" s="38"/>
      <c r="UY107" s="38"/>
      <c r="UZ107" s="38"/>
      <c r="VA107" s="38"/>
      <c r="VB107" s="38"/>
      <c r="VC107" s="38"/>
      <c r="VD107" s="38"/>
      <c r="VE107" s="38"/>
      <c r="VF107" s="38"/>
      <c r="VG107" s="38"/>
      <c r="VH107" s="38"/>
      <c r="VI107" s="38"/>
      <c r="VJ107" s="38"/>
      <c r="VK107" s="38"/>
      <c r="VL107" s="38"/>
      <c r="VM107" s="38"/>
      <c r="VN107" s="38"/>
      <c r="VO107" s="38"/>
      <c r="VP107" s="38"/>
      <c r="VQ107" s="38"/>
      <c r="VR107" s="38"/>
      <c r="VS107" s="38"/>
      <c r="VT107" s="38"/>
      <c r="VU107" s="38"/>
      <c r="VV107" s="38"/>
      <c r="VW107" s="38"/>
      <c r="VX107" s="38"/>
      <c r="VY107" s="38"/>
      <c r="VZ107" s="38"/>
      <c r="WA107" s="38"/>
      <c r="WB107" s="38"/>
      <c r="WC107" s="38"/>
      <c r="WD107" s="38"/>
      <c r="WE107" s="38"/>
      <c r="WF107" s="38"/>
      <c r="WG107" s="38"/>
      <c r="WH107" s="38"/>
      <c r="WI107" s="38"/>
      <c r="WJ107" s="38"/>
      <c r="WK107" s="38"/>
      <c r="WL107" s="38"/>
      <c r="WM107" s="38"/>
      <c r="WN107" s="38"/>
      <c r="WO107" s="38"/>
      <c r="WP107" s="38"/>
      <c r="WQ107" s="38"/>
      <c r="WR107" s="38"/>
      <c r="WS107" s="38"/>
      <c r="WT107" s="38"/>
      <c r="WU107" s="38"/>
      <c r="WV107" s="38"/>
      <c r="WW107" s="38"/>
      <c r="WX107" s="38"/>
      <c r="WY107" s="38"/>
      <c r="WZ107" s="38"/>
      <c r="XA107" s="38"/>
      <c r="XB107" s="38"/>
      <c r="XC107" s="38"/>
      <c r="XD107" s="38"/>
      <c r="XE107" s="38"/>
      <c r="XF107" s="38"/>
      <c r="XG107" s="38"/>
      <c r="XH107" s="38"/>
      <c r="XI107" s="38"/>
      <c r="XJ107" s="38"/>
      <c r="XK107" s="38"/>
      <c r="XL107" s="38"/>
      <c r="XM107" s="38"/>
      <c r="XN107" s="38"/>
      <c r="XO107" s="38"/>
      <c r="XP107" s="38"/>
      <c r="XQ107" s="38"/>
      <c r="XR107" s="38"/>
      <c r="XS107" s="38"/>
      <c r="XT107" s="38"/>
      <c r="XU107" s="38"/>
      <c r="XV107" s="38"/>
      <c r="XW107" s="38"/>
      <c r="XX107" s="38"/>
      <c r="XY107" s="38"/>
      <c r="XZ107" s="38"/>
      <c r="YA107" s="38"/>
      <c r="YB107" s="38"/>
      <c r="YC107" s="38"/>
      <c r="YD107" s="38"/>
      <c r="YE107" s="38"/>
      <c r="YF107" s="38"/>
      <c r="YG107" s="38"/>
      <c r="YH107" s="38"/>
      <c r="YI107" s="38"/>
      <c r="YJ107" s="38"/>
      <c r="YK107" s="38"/>
      <c r="YL107" s="38"/>
      <c r="YM107" s="38"/>
      <c r="YN107" s="38"/>
      <c r="YO107" s="38"/>
      <c r="YP107" s="38"/>
      <c r="YQ107" s="38"/>
      <c r="YR107" s="38"/>
      <c r="YS107" s="38"/>
      <c r="YT107" s="38"/>
      <c r="YU107" s="38"/>
      <c r="YV107" s="38"/>
      <c r="YW107" s="38"/>
      <c r="YX107" s="38"/>
      <c r="YY107" s="38"/>
      <c r="YZ107" s="38"/>
      <c r="ZA107" s="38"/>
      <c r="ZB107" s="38"/>
      <c r="ZC107" s="38"/>
      <c r="ZD107" s="38"/>
      <c r="ZE107" s="38"/>
      <c r="ZF107" s="38"/>
      <c r="ZG107" s="38"/>
      <c r="ZH107" s="38"/>
      <c r="ZI107" s="38"/>
      <c r="ZJ107" s="38"/>
      <c r="ZK107" s="38"/>
      <c r="ZL107" s="38"/>
      <c r="ZM107" s="38"/>
      <c r="ZN107" s="38"/>
      <c r="ZO107" s="38"/>
      <c r="ZP107" s="38"/>
      <c r="ZQ107" s="38"/>
      <c r="ZR107" s="38"/>
      <c r="ZS107" s="38"/>
      <c r="ZT107" s="38"/>
      <c r="ZU107" s="38"/>
      <c r="ZV107" s="38"/>
      <c r="ZW107" s="38"/>
      <c r="ZX107" s="38"/>
      <c r="ZY107" s="38"/>
      <c r="ZZ107" s="38"/>
      <c r="AAA107" s="38"/>
      <c r="AAB107" s="38"/>
      <c r="AAC107" s="38"/>
      <c r="AAD107" s="38"/>
      <c r="AAE107" s="38"/>
      <c r="AAF107" s="38"/>
      <c r="AAG107" s="38"/>
      <c r="AAH107" s="38"/>
      <c r="AAI107" s="38"/>
      <c r="AAJ107" s="38"/>
      <c r="AAK107" s="38"/>
      <c r="AAL107" s="38"/>
      <c r="AAM107" s="38"/>
      <c r="AAN107" s="38"/>
      <c r="AAO107" s="38"/>
      <c r="AAP107" s="38"/>
      <c r="AAQ107" s="38"/>
      <c r="AAR107" s="38"/>
      <c r="AAS107" s="38"/>
      <c r="AAT107" s="38"/>
      <c r="AAU107" s="38"/>
      <c r="AAV107" s="38"/>
      <c r="AAW107" s="38"/>
      <c r="AAX107" s="38"/>
      <c r="AAY107" s="38"/>
      <c r="AAZ107" s="38"/>
      <c r="ABA107" s="38"/>
      <c r="ABB107" s="38"/>
      <c r="ABC107" s="38"/>
      <c r="ABD107" s="38"/>
      <c r="ABE107" s="38"/>
      <c r="ABF107" s="38"/>
      <c r="ABG107" s="38"/>
      <c r="ABH107" s="38"/>
      <c r="ABI107" s="38"/>
      <c r="ABJ107" s="38"/>
      <c r="ABK107" s="38"/>
      <c r="ABL107" s="38"/>
      <c r="ABM107" s="38"/>
      <c r="ABN107" s="38"/>
      <c r="ABO107" s="38"/>
      <c r="ABP107" s="38"/>
      <c r="ABQ107" s="38"/>
      <c r="ABR107" s="38"/>
      <c r="ABS107" s="38"/>
      <c r="ABT107" s="38"/>
      <c r="ABU107" s="38"/>
      <c r="ABV107" s="38"/>
      <c r="ABW107" s="38"/>
      <c r="ABX107" s="38"/>
      <c r="ABY107" s="38"/>
      <c r="ABZ107" s="38"/>
      <c r="ACA107" s="38"/>
      <c r="ACB107" s="38"/>
      <c r="ACC107" s="38"/>
      <c r="ACD107" s="38"/>
      <c r="ACE107" s="38"/>
      <c r="ACF107" s="38"/>
      <c r="ACG107" s="38"/>
      <c r="ACH107" s="38"/>
      <c r="ACI107" s="38"/>
      <c r="ACJ107" s="38"/>
      <c r="ACK107" s="38"/>
      <c r="ACL107" s="38"/>
      <c r="ACM107" s="38"/>
      <c r="ACN107" s="38"/>
      <c r="ACO107" s="38"/>
      <c r="ACP107" s="38"/>
      <c r="ACQ107" s="38"/>
      <c r="ACR107" s="38"/>
      <c r="ACS107" s="38"/>
      <c r="ACT107" s="38"/>
      <c r="ACU107" s="38"/>
      <c r="ACV107" s="38"/>
      <c r="ACW107" s="38"/>
      <c r="ACX107" s="38"/>
      <c r="ACY107" s="38"/>
      <c r="ACZ107" s="38"/>
      <c r="ADA107" s="38"/>
      <c r="ADB107" s="38"/>
      <c r="ADC107" s="38"/>
      <c r="ADD107" s="38"/>
      <c r="ADE107" s="38"/>
      <c r="ADF107" s="38"/>
      <c r="ADG107" s="38"/>
      <c r="ADH107" s="38"/>
      <c r="ADI107" s="38"/>
      <c r="ADJ107" s="38"/>
      <c r="ADK107" s="38"/>
      <c r="ADL107" s="38"/>
      <c r="ADM107" s="38"/>
      <c r="ADN107" s="38"/>
      <c r="ADO107" s="38"/>
      <c r="ADP107" s="38"/>
      <c r="ADQ107" s="38"/>
      <c r="ADR107" s="38"/>
      <c r="ADS107" s="38"/>
      <c r="ADT107" s="38"/>
      <c r="ADU107" s="38"/>
      <c r="ADV107" s="38"/>
      <c r="ADW107" s="38"/>
      <c r="ADX107" s="38"/>
      <c r="ADY107" s="38"/>
      <c r="ADZ107" s="38"/>
      <c r="AEA107" s="38"/>
      <c r="AEB107" s="38"/>
      <c r="AEC107" s="38"/>
      <c r="AED107" s="38"/>
      <c r="AEE107" s="38"/>
      <c r="AEF107" s="38"/>
      <c r="AEG107" s="38"/>
      <c r="AEH107" s="38"/>
      <c r="AEI107" s="38"/>
      <c r="AEJ107" s="38"/>
      <c r="AEK107" s="38"/>
      <c r="AEL107" s="38"/>
      <c r="AEM107" s="38"/>
      <c r="AEN107" s="38"/>
      <c r="AEO107" s="38"/>
      <c r="AEP107" s="38"/>
      <c r="AEQ107" s="38"/>
      <c r="AER107" s="38"/>
      <c r="AES107" s="38"/>
      <c r="AET107" s="38"/>
      <c r="AEU107" s="38"/>
      <c r="AEV107" s="38"/>
      <c r="AEW107" s="38"/>
      <c r="AEX107" s="38"/>
      <c r="AEY107" s="38"/>
      <c r="AEZ107" s="38"/>
      <c r="AFA107" s="38"/>
      <c r="AFB107" s="38"/>
      <c r="AFC107" s="38"/>
      <c r="AFD107" s="38"/>
      <c r="AFE107" s="38"/>
      <c r="AFF107" s="38"/>
      <c r="AFG107" s="38"/>
      <c r="AFH107" s="38"/>
      <c r="AFI107" s="38"/>
      <c r="AFJ107" s="38"/>
      <c r="AFK107" s="38"/>
      <c r="AFL107" s="38"/>
      <c r="AFM107" s="38"/>
      <c r="AFN107" s="38"/>
      <c r="AFO107" s="38"/>
      <c r="AFP107" s="38"/>
      <c r="AFQ107" s="38"/>
      <c r="AFR107" s="38"/>
      <c r="AFS107" s="38"/>
      <c r="AFT107" s="38"/>
      <c r="AFU107" s="38"/>
      <c r="AFV107" s="38"/>
      <c r="AFW107" s="38"/>
      <c r="AFX107" s="38"/>
      <c r="AFY107" s="38"/>
      <c r="AFZ107" s="38"/>
      <c r="AGA107" s="38"/>
      <c r="AGB107" s="38"/>
      <c r="AGC107" s="38"/>
      <c r="AGD107" s="38"/>
      <c r="AGE107" s="38"/>
      <c r="AGF107" s="38"/>
      <c r="AGG107" s="38"/>
      <c r="AGH107" s="38"/>
      <c r="AGI107" s="38"/>
      <c r="AGJ107" s="38"/>
      <c r="AGK107" s="38"/>
      <c r="AGL107" s="38"/>
      <c r="AGM107" s="38"/>
      <c r="AGN107" s="38"/>
      <c r="AGO107" s="38"/>
      <c r="AGP107" s="38"/>
      <c r="AGQ107" s="38"/>
      <c r="AGR107" s="38"/>
      <c r="AGS107" s="38"/>
      <c r="AGT107" s="38"/>
      <c r="AGU107" s="38"/>
      <c r="AGV107" s="38"/>
      <c r="AGW107" s="38"/>
      <c r="AGX107" s="38"/>
      <c r="AGY107" s="38"/>
      <c r="AGZ107" s="38"/>
      <c r="AHA107" s="38"/>
      <c r="AHB107" s="38"/>
      <c r="AHC107" s="38"/>
      <c r="AHD107" s="38"/>
      <c r="AHE107" s="38"/>
      <c r="AHF107" s="38"/>
      <c r="AHG107" s="38"/>
      <c r="AHH107" s="38"/>
      <c r="AHI107" s="38"/>
      <c r="AHJ107" s="38"/>
      <c r="AHK107" s="38"/>
      <c r="AHL107" s="38"/>
      <c r="AHM107" s="38"/>
      <c r="AHN107" s="38"/>
      <c r="AHO107" s="38"/>
      <c r="AHP107" s="38"/>
      <c r="AHQ107" s="38"/>
      <c r="AHR107" s="38"/>
      <c r="AHS107" s="38"/>
      <c r="AHT107" s="38"/>
      <c r="AHU107" s="38"/>
      <c r="AHV107" s="38"/>
    </row>
    <row r="108" spans="1:906" s="27" customFormat="1" x14ac:dyDescent="0.35">
      <c r="A108" s="83">
        <v>103</v>
      </c>
      <c r="B108" s="108" t="s">
        <v>184</v>
      </c>
      <c r="C108" s="109" t="s">
        <v>185</v>
      </c>
      <c r="D108" s="109" t="s">
        <v>65</v>
      </c>
      <c r="E108" s="125">
        <v>4.25</v>
      </c>
      <c r="F108" s="142">
        <v>4.3</v>
      </c>
      <c r="G108" s="125">
        <v>4.5</v>
      </c>
      <c r="H108" s="125">
        <v>4.5</v>
      </c>
      <c r="I108" s="37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  <c r="CP108" s="38"/>
      <c r="CQ108" s="38"/>
      <c r="CR108" s="38"/>
      <c r="CS108" s="38"/>
      <c r="CT108" s="38"/>
      <c r="CU108" s="38"/>
      <c r="CV108" s="38"/>
      <c r="CW108" s="38"/>
      <c r="CX108" s="38"/>
      <c r="CY108" s="38"/>
      <c r="CZ108" s="38"/>
      <c r="DA108" s="38"/>
      <c r="DB108" s="38"/>
      <c r="DC108" s="38"/>
      <c r="DD108" s="38"/>
      <c r="DE108" s="38"/>
      <c r="DF108" s="38"/>
      <c r="DG108" s="38"/>
      <c r="DH108" s="38"/>
      <c r="DI108" s="38"/>
      <c r="DJ108" s="38"/>
      <c r="DK108" s="38"/>
      <c r="DL108" s="38"/>
      <c r="DM108" s="38"/>
      <c r="DN108" s="38"/>
      <c r="DO108" s="38"/>
      <c r="DP108" s="38"/>
      <c r="DQ108" s="38"/>
      <c r="DR108" s="38"/>
      <c r="DS108" s="38"/>
      <c r="DT108" s="38"/>
      <c r="DU108" s="38"/>
      <c r="DV108" s="38"/>
      <c r="DW108" s="38"/>
      <c r="DX108" s="38"/>
      <c r="DY108" s="38"/>
      <c r="DZ108" s="38"/>
      <c r="EA108" s="38"/>
      <c r="EB108" s="38"/>
      <c r="EC108" s="38"/>
      <c r="ED108" s="38"/>
      <c r="EE108" s="38"/>
      <c r="EF108" s="38"/>
      <c r="EG108" s="38"/>
      <c r="EH108" s="38"/>
      <c r="EI108" s="38"/>
      <c r="EJ108" s="38"/>
      <c r="EK108" s="38"/>
      <c r="EL108" s="38"/>
      <c r="EM108" s="38"/>
      <c r="EN108" s="38"/>
      <c r="EO108" s="38"/>
      <c r="EP108" s="38"/>
      <c r="EQ108" s="38"/>
      <c r="ER108" s="38"/>
      <c r="ES108" s="38"/>
      <c r="ET108" s="38"/>
      <c r="EU108" s="38"/>
      <c r="EV108" s="38"/>
      <c r="EW108" s="38"/>
      <c r="EX108" s="38"/>
      <c r="EY108" s="38"/>
      <c r="EZ108" s="38"/>
      <c r="FA108" s="38"/>
      <c r="FB108" s="38"/>
      <c r="FC108" s="38"/>
      <c r="FD108" s="38"/>
      <c r="FE108" s="38"/>
      <c r="FF108" s="38"/>
      <c r="FG108" s="38"/>
      <c r="FH108" s="38"/>
      <c r="FI108" s="38"/>
      <c r="FJ108" s="38"/>
      <c r="FK108" s="38"/>
      <c r="FL108" s="38"/>
      <c r="FM108" s="38"/>
      <c r="FN108" s="38"/>
      <c r="FO108" s="38"/>
      <c r="FP108" s="38"/>
      <c r="FQ108" s="38"/>
      <c r="FR108" s="38"/>
      <c r="FS108" s="38"/>
      <c r="FT108" s="38"/>
      <c r="FU108" s="38"/>
      <c r="FV108" s="38"/>
      <c r="FW108" s="38"/>
      <c r="FX108" s="38"/>
      <c r="FY108" s="38"/>
      <c r="FZ108" s="38"/>
      <c r="GA108" s="38"/>
      <c r="GB108" s="38"/>
      <c r="GC108" s="38"/>
      <c r="GD108" s="38"/>
      <c r="GE108" s="38"/>
      <c r="GF108" s="38"/>
      <c r="GG108" s="38"/>
      <c r="GH108" s="38"/>
      <c r="GI108" s="38"/>
      <c r="GJ108" s="38"/>
      <c r="GK108" s="38"/>
      <c r="GL108" s="38"/>
      <c r="GM108" s="38"/>
      <c r="GN108" s="38"/>
      <c r="GO108" s="38"/>
      <c r="GP108" s="38"/>
      <c r="GQ108" s="38"/>
      <c r="GR108" s="38"/>
      <c r="GS108" s="38"/>
      <c r="GT108" s="38"/>
      <c r="GU108" s="38"/>
      <c r="GV108" s="38"/>
      <c r="GW108" s="38"/>
      <c r="GX108" s="38"/>
      <c r="GY108" s="38"/>
      <c r="GZ108" s="38"/>
      <c r="HA108" s="38"/>
      <c r="HB108" s="38"/>
      <c r="HC108" s="38"/>
      <c r="HD108" s="38"/>
      <c r="HE108" s="38"/>
      <c r="HF108" s="38"/>
      <c r="HG108" s="38"/>
      <c r="HH108" s="38"/>
      <c r="HI108" s="38"/>
      <c r="HJ108" s="38"/>
      <c r="HK108" s="38"/>
      <c r="HL108" s="38"/>
      <c r="HM108" s="38"/>
      <c r="HN108" s="38"/>
      <c r="HO108" s="38"/>
      <c r="HP108" s="38"/>
      <c r="HQ108" s="38"/>
      <c r="HR108" s="38"/>
      <c r="HS108" s="38"/>
      <c r="HT108" s="38"/>
      <c r="HU108" s="38"/>
      <c r="HV108" s="38"/>
      <c r="HW108" s="38"/>
      <c r="HX108" s="38"/>
      <c r="HY108" s="38"/>
      <c r="HZ108" s="38"/>
      <c r="IA108" s="38"/>
      <c r="IB108" s="38"/>
      <c r="IC108" s="38"/>
      <c r="ID108" s="38"/>
      <c r="IE108" s="38"/>
      <c r="IF108" s="38"/>
      <c r="IG108" s="38"/>
      <c r="IH108" s="38"/>
      <c r="II108" s="38"/>
      <c r="IJ108" s="38"/>
      <c r="IK108" s="38"/>
      <c r="IL108" s="38"/>
      <c r="IM108" s="38"/>
      <c r="IN108" s="38"/>
      <c r="IO108" s="38"/>
      <c r="IP108" s="38"/>
      <c r="IQ108" s="38"/>
      <c r="IR108" s="38"/>
      <c r="IS108" s="38"/>
      <c r="IT108" s="38"/>
      <c r="IU108" s="38"/>
      <c r="IV108" s="38"/>
      <c r="IW108" s="38"/>
      <c r="IX108" s="38"/>
      <c r="IY108" s="38"/>
      <c r="IZ108" s="38"/>
      <c r="JA108" s="38"/>
      <c r="JB108" s="38"/>
      <c r="JC108" s="38"/>
      <c r="JD108" s="38"/>
      <c r="JE108" s="38"/>
      <c r="JF108" s="38"/>
      <c r="JG108" s="38"/>
      <c r="JH108" s="38"/>
      <c r="JI108" s="38"/>
      <c r="JJ108" s="38"/>
      <c r="JK108" s="38"/>
      <c r="JL108" s="38"/>
      <c r="JM108" s="38"/>
      <c r="JN108" s="38"/>
      <c r="JO108" s="38"/>
      <c r="JP108" s="38"/>
      <c r="JQ108" s="38"/>
      <c r="JR108" s="38"/>
      <c r="JS108" s="38"/>
      <c r="JT108" s="38"/>
      <c r="JU108" s="38"/>
      <c r="JV108" s="38"/>
      <c r="JW108" s="38"/>
      <c r="JX108" s="38"/>
      <c r="JY108" s="38"/>
      <c r="JZ108" s="38"/>
      <c r="KA108" s="38"/>
      <c r="KB108" s="38"/>
      <c r="KC108" s="38"/>
      <c r="KD108" s="38"/>
      <c r="KE108" s="38"/>
      <c r="KF108" s="38"/>
      <c r="KG108" s="38"/>
      <c r="KH108" s="38"/>
      <c r="KI108" s="38"/>
      <c r="KJ108" s="38"/>
      <c r="KK108" s="38"/>
      <c r="KL108" s="38"/>
      <c r="KM108" s="38"/>
      <c r="KN108" s="38"/>
      <c r="KO108" s="38"/>
      <c r="KP108" s="38"/>
      <c r="KQ108" s="38"/>
      <c r="KR108" s="38"/>
      <c r="KS108" s="38"/>
      <c r="KT108" s="38"/>
      <c r="KU108" s="38"/>
      <c r="KV108" s="38"/>
      <c r="KW108" s="38"/>
      <c r="KX108" s="38"/>
      <c r="KY108" s="38"/>
      <c r="KZ108" s="38"/>
      <c r="LA108" s="38"/>
      <c r="LB108" s="38"/>
      <c r="LC108" s="38"/>
      <c r="LD108" s="38"/>
      <c r="LE108" s="38"/>
      <c r="LF108" s="38"/>
      <c r="LG108" s="38"/>
      <c r="LH108" s="38"/>
      <c r="LI108" s="38"/>
      <c r="LJ108" s="38"/>
      <c r="LK108" s="38"/>
      <c r="LL108" s="38"/>
      <c r="LM108" s="38"/>
      <c r="LN108" s="38"/>
      <c r="LO108" s="38"/>
      <c r="LP108" s="38"/>
      <c r="LQ108" s="38"/>
      <c r="LR108" s="38"/>
      <c r="LS108" s="38"/>
      <c r="LT108" s="38"/>
      <c r="LU108" s="38"/>
      <c r="LV108" s="38"/>
      <c r="LW108" s="38"/>
      <c r="LX108" s="38"/>
      <c r="LY108" s="38"/>
      <c r="LZ108" s="38"/>
      <c r="MA108" s="38"/>
      <c r="MB108" s="38"/>
      <c r="MC108" s="38"/>
      <c r="MD108" s="38"/>
      <c r="ME108" s="38"/>
      <c r="MF108" s="38"/>
      <c r="MG108" s="38"/>
      <c r="MH108" s="38"/>
      <c r="MI108" s="38"/>
      <c r="MJ108" s="38"/>
      <c r="MK108" s="38"/>
      <c r="ML108" s="38"/>
      <c r="MM108" s="38"/>
      <c r="MN108" s="38"/>
      <c r="MO108" s="38"/>
      <c r="MP108" s="38"/>
      <c r="MQ108" s="38"/>
      <c r="MR108" s="38"/>
      <c r="MS108" s="38"/>
      <c r="MT108" s="38"/>
      <c r="MU108" s="38"/>
      <c r="MV108" s="38"/>
      <c r="MW108" s="38"/>
      <c r="MX108" s="38"/>
      <c r="MY108" s="38"/>
      <c r="MZ108" s="38"/>
      <c r="NA108" s="38"/>
      <c r="NB108" s="38"/>
      <c r="NC108" s="38"/>
      <c r="ND108" s="38"/>
      <c r="NE108" s="38"/>
      <c r="NF108" s="38"/>
      <c r="NG108" s="38"/>
      <c r="NH108" s="38"/>
      <c r="NI108" s="38"/>
      <c r="NJ108" s="38"/>
      <c r="NK108" s="38"/>
      <c r="NL108" s="38"/>
      <c r="NM108" s="38"/>
      <c r="NN108" s="38"/>
      <c r="NO108" s="38"/>
      <c r="NP108" s="38"/>
      <c r="NQ108" s="38"/>
      <c r="NR108" s="38"/>
      <c r="NS108" s="38"/>
      <c r="NT108" s="38"/>
      <c r="NU108" s="38"/>
      <c r="NV108" s="38"/>
      <c r="NW108" s="38"/>
      <c r="NX108" s="38"/>
      <c r="NY108" s="38"/>
      <c r="NZ108" s="38"/>
      <c r="OA108" s="38"/>
      <c r="OB108" s="38"/>
      <c r="OC108" s="38"/>
      <c r="OD108" s="38"/>
      <c r="OE108" s="38"/>
      <c r="OF108" s="38"/>
      <c r="OG108" s="38"/>
      <c r="OH108" s="38"/>
      <c r="OI108" s="38"/>
      <c r="OJ108" s="38"/>
      <c r="OK108" s="38"/>
      <c r="OL108" s="38"/>
      <c r="OM108" s="38"/>
      <c r="ON108" s="38"/>
      <c r="OO108" s="38"/>
      <c r="OP108" s="38"/>
      <c r="OQ108" s="38"/>
      <c r="OR108" s="38"/>
      <c r="OS108" s="38"/>
      <c r="OT108" s="38"/>
      <c r="OU108" s="38"/>
      <c r="OV108" s="38"/>
      <c r="OW108" s="38"/>
      <c r="OX108" s="38"/>
      <c r="OY108" s="38"/>
      <c r="OZ108" s="38"/>
      <c r="PA108" s="38"/>
      <c r="PB108" s="38"/>
      <c r="PC108" s="38"/>
      <c r="PD108" s="38"/>
      <c r="PE108" s="38"/>
      <c r="PF108" s="38"/>
      <c r="PG108" s="38"/>
      <c r="PH108" s="38"/>
      <c r="PI108" s="38"/>
      <c r="PJ108" s="38"/>
      <c r="PK108" s="38"/>
      <c r="PL108" s="38"/>
      <c r="PM108" s="38"/>
      <c r="PN108" s="38"/>
      <c r="PO108" s="38"/>
      <c r="PP108" s="38"/>
      <c r="PQ108" s="38"/>
      <c r="PR108" s="38"/>
      <c r="PS108" s="38"/>
      <c r="PT108" s="38"/>
      <c r="PU108" s="38"/>
      <c r="PV108" s="38"/>
      <c r="PW108" s="38"/>
      <c r="PX108" s="38"/>
      <c r="PY108" s="38"/>
      <c r="PZ108" s="38"/>
      <c r="QA108" s="38"/>
      <c r="QB108" s="38"/>
      <c r="QC108" s="38"/>
      <c r="QD108" s="38"/>
      <c r="QE108" s="38"/>
      <c r="QF108" s="38"/>
      <c r="QG108" s="38"/>
      <c r="QH108" s="38"/>
      <c r="QI108" s="38"/>
      <c r="QJ108" s="38"/>
      <c r="QK108" s="38"/>
      <c r="QL108" s="38"/>
      <c r="QM108" s="38"/>
      <c r="QN108" s="38"/>
      <c r="QO108" s="38"/>
      <c r="QP108" s="38"/>
      <c r="QQ108" s="38"/>
      <c r="QR108" s="38"/>
      <c r="QS108" s="38"/>
      <c r="QT108" s="38"/>
      <c r="QU108" s="38"/>
      <c r="QV108" s="38"/>
      <c r="QW108" s="38"/>
      <c r="QX108" s="38"/>
      <c r="QY108" s="38"/>
      <c r="QZ108" s="38"/>
      <c r="RA108" s="38"/>
      <c r="RB108" s="38"/>
      <c r="RC108" s="38"/>
      <c r="RD108" s="38"/>
      <c r="RE108" s="38"/>
      <c r="RF108" s="38"/>
      <c r="RG108" s="38"/>
      <c r="RH108" s="38"/>
      <c r="RI108" s="38"/>
      <c r="RJ108" s="38"/>
      <c r="RK108" s="38"/>
      <c r="RL108" s="38"/>
      <c r="RM108" s="38"/>
      <c r="RN108" s="38"/>
      <c r="RO108" s="38"/>
      <c r="RP108" s="38"/>
      <c r="RQ108" s="38"/>
      <c r="RR108" s="38"/>
      <c r="RS108" s="38"/>
      <c r="RT108" s="38"/>
      <c r="RU108" s="38"/>
      <c r="RV108" s="38"/>
      <c r="RW108" s="38"/>
      <c r="RX108" s="38"/>
      <c r="RY108" s="38"/>
      <c r="RZ108" s="38"/>
      <c r="SA108" s="38"/>
      <c r="SB108" s="38"/>
      <c r="SC108" s="38"/>
      <c r="SD108" s="38"/>
      <c r="SE108" s="38"/>
      <c r="SF108" s="38"/>
      <c r="SG108" s="38"/>
      <c r="SH108" s="38"/>
      <c r="SI108" s="38"/>
      <c r="SJ108" s="38"/>
      <c r="SK108" s="38"/>
      <c r="SL108" s="38"/>
      <c r="SM108" s="38"/>
      <c r="SN108" s="38"/>
      <c r="SO108" s="38"/>
      <c r="SP108" s="38"/>
      <c r="SQ108" s="38"/>
      <c r="SR108" s="38"/>
      <c r="SS108" s="38"/>
      <c r="ST108" s="38"/>
      <c r="SU108" s="38"/>
      <c r="SV108" s="38"/>
      <c r="SW108" s="38"/>
      <c r="SX108" s="38"/>
      <c r="SY108" s="38"/>
      <c r="SZ108" s="38"/>
      <c r="TA108" s="38"/>
      <c r="TB108" s="38"/>
      <c r="TC108" s="38"/>
      <c r="TD108" s="38"/>
      <c r="TE108" s="38"/>
      <c r="TF108" s="38"/>
      <c r="TG108" s="38"/>
      <c r="TH108" s="38"/>
      <c r="TI108" s="38"/>
      <c r="TJ108" s="38"/>
      <c r="TK108" s="38"/>
      <c r="TL108" s="38"/>
      <c r="TM108" s="38"/>
      <c r="TN108" s="38"/>
      <c r="TO108" s="38"/>
      <c r="TP108" s="38"/>
      <c r="TQ108" s="38"/>
      <c r="TR108" s="38"/>
      <c r="TS108" s="38"/>
      <c r="TT108" s="38"/>
      <c r="TU108" s="38"/>
      <c r="TV108" s="38"/>
      <c r="TW108" s="38"/>
      <c r="TX108" s="38"/>
      <c r="TY108" s="38"/>
      <c r="TZ108" s="38"/>
      <c r="UA108" s="38"/>
      <c r="UB108" s="38"/>
      <c r="UC108" s="38"/>
      <c r="UD108" s="38"/>
      <c r="UE108" s="38"/>
      <c r="UF108" s="38"/>
      <c r="UG108" s="38"/>
      <c r="UH108" s="38"/>
      <c r="UI108" s="38"/>
      <c r="UJ108" s="38"/>
      <c r="UK108" s="38"/>
      <c r="UL108" s="38"/>
      <c r="UM108" s="38"/>
      <c r="UN108" s="38"/>
      <c r="UO108" s="38"/>
      <c r="UP108" s="38"/>
      <c r="UQ108" s="38"/>
      <c r="UR108" s="38"/>
      <c r="US108" s="38"/>
      <c r="UT108" s="38"/>
      <c r="UU108" s="38"/>
      <c r="UV108" s="38"/>
      <c r="UW108" s="38"/>
      <c r="UX108" s="38"/>
      <c r="UY108" s="38"/>
      <c r="UZ108" s="38"/>
      <c r="VA108" s="38"/>
      <c r="VB108" s="38"/>
      <c r="VC108" s="38"/>
      <c r="VD108" s="38"/>
      <c r="VE108" s="38"/>
      <c r="VF108" s="38"/>
      <c r="VG108" s="38"/>
      <c r="VH108" s="38"/>
      <c r="VI108" s="38"/>
      <c r="VJ108" s="38"/>
      <c r="VK108" s="38"/>
      <c r="VL108" s="38"/>
      <c r="VM108" s="38"/>
      <c r="VN108" s="38"/>
      <c r="VO108" s="38"/>
      <c r="VP108" s="38"/>
      <c r="VQ108" s="38"/>
      <c r="VR108" s="38"/>
      <c r="VS108" s="38"/>
      <c r="VT108" s="38"/>
      <c r="VU108" s="38"/>
      <c r="VV108" s="38"/>
      <c r="VW108" s="38"/>
      <c r="VX108" s="38"/>
      <c r="VY108" s="38"/>
      <c r="VZ108" s="38"/>
      <c r="WA108" s="38"/>
      <c r="WB108" s="38"/>
      <c r="WC108" s="38"/>
      <c r="WD108" s="38"/>
      <c r="WE108" s="38"/>
      <c r="WF108" s="38"/>
      <c r="WG108" s="38"/>
      <c r="WH108" s="38"/>
      <c r="WI108" s="38"/>
      <c r="WJ108" s="38"/>
      <c r="WK108" s="38"/>
      <c r="WL108" s="38"/>
      <c r="WM108" s="38"/>
      <c r="WN108" s="38"/>
      <c r="WO108" s="38"/>
      <c r="WP108" s="38"/>
      <c r="WQ108" s="38"/>
      <c r="WR108" s="38"/>
      <c r="WS108" s="38"/>
      <c r="WT108" s="38"/>
      <c r="WU108" s="38"/>
      <c r="WV108" s="38"/>
      <c r="WW108" s="38"/>
      <c r="WX108" s="38"/>
      <c r="WY108" s="38"/>
      <c r="WZ108" s="38"/>
      <c r="XA108" s="38"/>
      <c r="XB108" s="38"/>
      <c r="XC108" s="38"/>
      <c r="XD108" s="38"/>
      <c r="XE108" s="38"/>
      <c r="XF108" s="38"/>
      <c r="XG108" s="38"/>
      <c r="XH108" s="38"/>
      <c r="XI108" s="38"/>
      <c r="XJ108" s="38"/>
      <c r="XK108" s="38"/>
      <c r="XL108" s="38"/>
      <c r="XM108" s="38"/>
      <c r="XN108" s="38"/>
      <c r="XO108" s="38"/>
      <c r="XP108" s="38"/>
      <c r="XQ108" s="38"/>
      <c r="XR108" s="38"/>
      <c r="XS108" s="38"/>
      <c r="XT108" s="38"/>
      <c r="XU108" s="38"/>
      <c r="XV108" s="38"/>
      <c r="XW108" s="38"/>
      <c r="XX108" s="38"/>
      <c r="XY108" s="38"/>
      <c r="XZ108" s="38"/>
      <c r="YA108" s="38"/>
      <c r="YB108" s="38"/>
      <c r="YC108" s="38"/>
      <c r="YD108" s="38"/>
      <c r="YE108" s="38"/>
      <c r="YF108" s="38"/>
      <c r="YG108" s="38"/>
      <c r="YH108" s="38"/>
      <c r="YI108" s="38"/>
      <c r="YJ108" s="38"/>
      <c r="YK108" s="38"/>
      <c r="YL108" s="38"/>
      <c r="YM108" s="38"/>
      <c r="YN108" s="38"/>
      <c r="YO108" s="38"/>
      <c r="YP108" s="38"/>
      <c r="YQ108" s="38"/>
      <c r="YR108" s="38"/>
      <c r="YS108" s="38"/>
      <c r="YT108" s="38"/>
      <c r="YU108" s="38"/>
      <c r="YV108" s="38"/>
      <c r="YW108" s="38"/>
      <c r="YX108" s="38"/>
      <c r="YY108" s="38"/>
      <c r="YZ108" s="38"/>
      <c r="ZA108" s="38"/>
      <c r="ZB108" s="38"/>
      <c r="ZC108" s="38"/>
      <c r="ZD108" s="38"/>
      <c r="ZE108" s="38"/>
      <c r="ZF108" s="38"/>
      <c r="ZG108" s="38"/>
      <c r="ZH108" s="38"/>
      <c r="ZI108" s="38"/>
      <c r="ZJ108" s="38"/>
      <c r="ZK108" s="38"/>
      <c r="ZL108" s="38"/>
      <c r="ZM108" s="38"/>
      <c r="ZN108" s="38"/>
      <c r="ZO108" s="38"/>
      <c r="ZP108" s="38"/>
      <c r="ZQ108" s="38"/>
      <c r="ZR108" s="38"/>
      <c r="ZS108" s="38"/>
      <c r="ZT108" s="38"/>
      <c r="ZU108" s="38"/>
      <c r="ZV108" s="38"/>
      <c r="ZW108" s="38"/>
      <c r="ZX108" s="38"/>
      <c r="ZY108" s="38"/>
      <c r="ZZ108" s="38"/>
      <c r="AAA108" s="38"/>
      <c r="AAB108" s="38"/>
      <c r="AAC108" s="38"/>
      <c r="AAD108" s="38"/>
      <c r="AAE108" s="38"/>
      <c r="AAF108" s="38"/>
      <c r="AAG108" s="38"/>
      <c r="AAH108" s="38"/>
      <c r="AAI108" s="38"/>
      <c r="AAJ108" s="38"/>
      <c r="AAK108" s="38"/>
      <c r="AAL108" s="38"/>
      <c r="AAM108" s="38"/>
      <c r="AAN108" s="38"/>
      <c r="AAO108" s="38"/>
      <c r="AAP108" s="38"/>
      <c r="AAQ108" s="38"/>
      <c r="AAR108" s="38"/>
      <c r="AAS108" s="38"/>
      <c r="AAT108" s="38"/>
      <c r="AAU108" s="38"/>
      <c r="AAV108" s="38"/>
      <c r="AAW108" s="38"/>
      <c r="AAX108" s="38"/>
      <c r="AAY108" s="38"/>
      <c r="AAZ108" s="38"/>
      <c r="ABA108" s="38"/>
      <c r="ABB108" s="38"/>
      <c r="ABC108" s="38"/>
      <c r="ABD108" s="38"/>
      <c r="ABE108" s="38"/>
      <c r="ABF108" s="38"/>
      <c r="ABG108" s="38"/>
      <c r="ABH108" s="38"/>
      <c r="ABI108" s="38"/>
      <c r="ABJ108" s="38"/>
      <c r="ABK108" s="38"/>
      <c r="ABL108" s="38"/>
      <c r="ABM108" s="38"/>
      <c r="ABN108" s="38"/>
      <c r="ABO108" s="38"/>
      <c r="ABP108" s="38"/>
      <c r="ABQ108" s="38"/>
      <c r="ABR108" s="38"/>
      <c r="ABS108" s="38"/>
      <c r="ABT108" s="38"/>
      <c r="ABU108" s="38"/>
      <c r="ABV108" s="38"/>
      <c r="ABW108" s="38"/>
      <c r="ABX108" s="38"/>
      <c r="ABY108" s="38"/>
      <c r="ABZ108" s="38"/>
      <c r="ACA108" s="38"/>
      <c r="ACB108" s="38"/>
      <c r="ACC108" s="38"/>
      <c r="ACD108" s="38"/>
      <c r="ACE108" s="38"/>
      <c r="ACF108" s="38"/>
      <c r="ACG108" s="38"/>
      <c r="ACH108" s="38"/>
      <c r="ACI108" s="38"/>
      <c r="ACJ108" s="38"/>
      <c r="ACK108" s="38"/>
      <c r="ACL108" s="38"/>
      <c r="ACM108" s="38"/>
      <c r="ACN108" s="38"/>
      <c r="ACO108" s="38"/>
      <c r="ACP108" s="38"/>
      <c r="ACQ108" s="38"/>
      <c r="ACR108" s="38"/>
      <c r="ACS108" s="38"/>
      <c r="ACT108" s="38"/>
      <c r="ACU108" s="38"/>
      <c r="ACV108" s="38"/>
      <c r="ACW108" s="38"/>
      <c r="ACX108" s="38"/>
      <c r="ACY108" s="38"/>
      <c r="ACZ108" s="38"/>
      <c r="ADA108" s="38"/>
      <c r="ADB108" s="38"/>
      <c r="ADC108" s="38"/>
      <c r="ADD108" s="38"/>
      <c r="ADE108" s="38"/>
      <c r="ADF108" s="38"/>
      <c r="ADG108" s="38"/>
      <c r="ADH108" s="38"/>
      <c r="ADI108" s="38"/>
      <c r="ADJ108" s="38"/>
      <c r="ADK108" s="38"/>
      <c r="ADL108" s="38"/>
      <c r="ADM108" s="38"/>
      <c r="ADN108" s="38"/>
      <c r="ADO108" s="38"/>
      <c r="ADP108" s="38"/>
      <c r="ADQ108" s="38"/>
      <c r="ADR108" s="38"/>
      <c r="ADS108" s="38"/>
      <c r="ADT108" s="38"/>
      <c r="ADU108" s="38"/>
      <c r="ADV108" s="38"/>
      <c r="ADW108" s="38"/>
      <c r="ADX108" s="38"/>
      <c r="ADY108" s="38"/>
      <c r="ADZ108" s="38"/>
      <c r="AEA108" s="38"/>
      <c r="AEB108" s="38"/>
      <c r="AEC108" s="38"/>
      <c r="AED108" s="38"/>
      <c r="AEE108" s="38"/>
      <c r="AEF108" s="38"/>
      <c r="AEG108" s="38"/>
      <c r="AEH108" s="38"/>
      <c r="AEI108" s="38"/>
      <c r="AEJ108" s="38"/>
      <c r="AEK108" s="38"/>
      <c r="AEL108" s="38"/>
      <c r="AEM108" s="38"/>
      <c r="AEN108" s="38"/>
      <c r="AEO108" s="38"/>
      <c r="AEP108" s="38"/>
      <c r="AEQ108" s="38"/>
      <c r="AER108" s="38"/>
      <c r="AES108" s="38"/>
      <c r="AET108" s="38"/>
      <c r="AEU108" s="38"/>
      <c r="AEV108" s="38"/>
      <c r="AEW108" s="38"/>
      <c r="AEX108" s="38"/>
      <c r="AEY108" s="38"/>
      <c r="AEZ108" s="38"/>
      <c r="AFA108" s="38"/>
      <c r="AFB108" s="38"/>
      <c r="AFC108" s="38"/>
      <c r="AFD108" s="38"/>
      <c r="AFE108" s="38"/>
      <c r="AFF108" s="38"/>
      <c r="AFG108" s="38"/>
      <c r="AFH108" s="38"/>
      <c r="AFI108" s="38"/>
      <c r="AFJ108" s="38"/>
      <c r="AFK108" s="38"/>
      <c r="AFL108" s="38"/>
      <c r="AFM108" s="38"/>
      <c r="AFN108" s="38"/>
      <c r="AFO108" s="38"/>
      <c r="AFP108" s="38"/>
      <c r="AFQ108" s="38"/>
      <c r="AFR108" s="38"/>
      <c r="AFS108" s="38"/>
      <c r="AFT108" s="38"/>
      <c r="AFU108" s="38"/>
      <c r="AFV108" s="38"/>
      <c r="AFW108" s="38"/>
      <c r="AFX108" s="38"/>
      <c r="AFY108" s="38"/>
      <c r="AFZ108" s="38"/>
      <c r="AGA108" s="38"/>
      <c r="AGB108" s="38"/>
      <c r="AGC108" s="38"/>
      <c r="AGD108" s="38"/>
      <c r="AGE108" s="38"/>
      <c r="AGF108" s="38"/>
      <c r="AGG108" s="38"/>
      <c r="AGH108" s="38"/>
      <c r="AGI108" s="38"/>
      <c r="AGJ108" s="38"/>
      <c r="AGK108" s="38"/>
      <c r="AGL108" s="38"/>
      <c r="AGM108" s="38"/>
      <c r="AGN108" s="38"/>
      <c r="AGO108" s="38"/>
      <c r="AGP108" s="38"/>
      <c r="AGQ108" s="38"/>
      <c r="AGR108" s="38"/>
      <c r="AGS108" s="38"/>
      <c r="AGT108" s="38"/>
      <c r="AGU108" s="38"/>
      <c r="AGV108" s="38"/>
      <c r="AGW108" s="38"/>
      <c r="AGX108" s="38"/>
      <c r="AGY108" s="38"/>
      <c r="AGZ108" s="38"/>
      <c r="AHA108" s="38"/>
      <c r="AHB108" s="38"/>
      <c r="AHC108" s="38"/>
      <c r="AHD108" s="38"/>
      <c r="AHE108" s="38"/>
      <c r="AHF108" s="38"/>
      <c r="AHG108" s="38"/>
      <c r="AHH108" s="38"/>
      <c r="AHI108" s="38"/>
      <c r="AHJ108" s="38"/>
      <c r="AHK108" s="38"/>
      <c r="AHL108" s="38"/>
      <c r="AHM108" s="38"/>
      <c r="AHN108" s="38"/>
      <c r="AHO108" s="38"/>
      <c r="AHP108" s="38"/>
      <c r="AHQ108" s="38"/>
      <c r="AHR108" s="38"/>
      <c r="AHS108" s="38"/>
      <c r="AHT108" s="38"/>
      <c r="AHU108" s="38"/>
      <c r="AHV108" s="38"/>
    </row>
    <row r="109" spans="1:906" s="27" customFormat="1" x14ac:dyDescent="0.35">
      <c r="A109" s="83">
        <v>104</v>
      </c>
      <c r="B109" s="108" t="s">
        <v>184</v>
      </c>
      <c r="C109" s="109" t="s">
        <v>185</v>
      </c>
      <c r="D109" s="109" t="s">
        <v>51</v>
      </c>
      <c r="E109" s="125">
        <v>11.99</v>
      </c>
      <c r="F109" s="125">
        <v>11.95</v>
      </c>
      <c r="G109" s="125">
        <v>11.5</v>
      </c>
      <c r="H109" s="125">
        <v>12.5</v>
      </c>
      <c r="I109" s="37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C109" s="38"/>
      <c r="CD109" s="38"/>
      <c r="CE109" s="38"/>
      <c r="CF109" s="38"/>
      <c r="CG109" s="38"/>
      <c r="CH109" s="38"/>
      <c r="CI109" s="38"/>
      <c r="CJ109" s="38"/>
      <c r="CK109" s="38"/>
      <c r="CL109" s="38"/>
      <c r="CM109" s="38"/>
      <c r="CN109" s="38"/>
      <c r="CO109" s="38"/>
      <c r="CP109" s="38"/>
      <c r="CQ109" s="38"/>
      <c r="CR109" s="38"/>
      <c r="CS109" s="38"/>
      <c r="CT109" s="38"/>
      <c r="CU109" s="38"/>
      <c r="CV109" s="38"/>
      <c r="CW109" s="38"/>
      <c r="CX109" s="38"/>
      <c r="CY109" s="38"/>
      <c r="CZ109" s="38"/>
      <c r="DA109" s="38"/>
      <c r="DB109" s="38"/>
      <c r="DC109" s="38"/>
      <c r="DD109" s="38"/>
      <c r="DE109" s="38"/>
      <c r="DF109" s="38"/>
      <c r="DG109" s="38"/>
      <c r="DH109" s="38"/>
      <c r="DI109" s="38"/>
      <c r="DJ109" s="38"/>
      <c r="DK109" s="38"/>
      <c r="DL109" s="38"/>
      <c r="DM109" s="38"/>
      <c r="DN109" s="38"/>
      <c r="DO109" s="38"/>
      <c r="DP109" s="38"/>
      <c r="DQ109" s="38"/>
      <c r="DR109" s="38"/>
      <c r="DS109" s="38"/>
      <c r="DT109" s="38"/>
      <c r="DU109" s="38"/>
      <c r="DV109" s="38"/>
      <c r="DW109" s="38"/>
      <c r="DX109" s="38"/>
      <c r="DY109" s="38"/>
      <c r="DZ109" s="38"/>
      <c r="EA109" s="38"/>
      <c r="EB109" s="38"/>
      <c r="EC109" s="38"/>
      <c r="ED109" s="38"/>
      <c r="EE109" s="38"/>
      <c r="EF109" s="38"/>
      <c r="EG109" s="38"/>
      <c r="EH109" s="38"/>
      <c r="EI109" s="38"/>
      <c r="EJ109" s="38"/>
      <c r="EK109" s="38"/>
      <c r="EL109" s="38"/>
      <c r="EM109" s="38"/>
      <c r="EN109" s="38"/>
      <c r="EO109" s="38"/>
      <c r="EP109" s="38"/>
      <c r="EQ109" s="38"/>
      <c r="ER109" s="38"/>
      <c r="ES109" s="38"/>
      <c r="ET109" s="38"/>
      <c r="EU109" s="38"/>
      <c r="EV109" s="38"/>
      <c r="EW109" s="38"/>
      <c r="EX109" s="38"/>
      <c r="EY109" s="38"/>
      <c r="EZ109" s="38"/>
      <c r="FA109" s="38"/>
      <c r="FB109" s="38"/>
      <c r="FC109" s="38"/>
      <c r="FD109" s="38"/>
      <c r="FE109" s="38"/>
      <c r="FF109" s="38"/>
      <c r="FG109" s="38"/>
      <c r="FH109" s="38"/>
      <c r="FI109" s="38"/>
      <c r="FJ109" s="38"/>
      <c r="FK109" s="38"/>
      <c r="FL109" s="38"/>
      <c r="FM109" s="38"/>
      <c r="FN109" s="38"/>
      <c r="FO109" s="38"/>
      <c r="FP109" s="38"/>
      <c r="FQ109" s="38"/>
      <c r="FR109" s="38"/>
      <c r="FS109" s="38"/>
      <c r="FT109" s="38"/>
      <c r="FU109" s="38"/>
      <c r="FV109" s="38"/>
      <c r="FW109" s="38"/>
      <c r="FX109" s="38"/>
      <c r="FY109" s="38"/>
      <c r="FZ109" s="38"/>
      <c r="GA109" s="38"/>
      <c r="GB109" s="38"/>
      <c r="GC109" s="38"/>
      <c r="GD109" s="38"/>
      <c r="GE109" s="38"/>
      <c r="GF109" s="38"/>
      <c r="GG109" s="38"/>
      <c r="GH109" s="38"/>
      <c r="GI109" s="38"/>
      <c r="GJ109" s="38"/>
      <c r="GK109" s="38"/>
      <c r="GL109" s="38"/>
      <c r="GM109" s="38"/>
      <c r="GN109" s="38"/>
      <c r="GO109" s="38"/>
      <c r="GP109" s="38"/>
      <c r="GQ109" s="38"/>
      <c r="GR109" s="38"/>
      <c r="GS109" s="38"/>
      <c r="GT109" s="38"/>
      <c r="GU109" s="38"/>
      <c r="GV109" s="38"/>
      <c r="GW109" s="38"/>
      <c r="GX109" s="38"/>
      <c r="GY109" s="38"/>
      <c r="GZ109" s="38"/>
      <c r="HA109" s="38"/>
      <c r="HB109" s="38"/>
      <c r="HC109" s="38"/>
      <c r="HD109" s="38"/>
      <c r="HE109" s="38"/>
      <c r="HF109" s="38"/>
      <c r="HG109" s="38"/>
      <c r="HH109" s="38"/>
      <c r="HI109" s="38"/>
      <c r="HJ109" s="38"/>
      <c r="HK109" s="38"/>
      <c r="HL109" s="38"/>
      <c r="HM109" s="38"/>
      <c r="HN109" s="38"/>
      <c r="HO109" s="38"/>
      <c r="HP109" s="38"/>
      <c r="HQ109" s="38"/>
      <c r="HR109" s="38"/>
      <c r="HS109" s="38"/>
      <c r="HT109" s="38"/>
      <c r="HU109" s="38"/>
      <c r="HV109" s="38"/>
      <c r="HW109" s="38"/>
      <c r="HX109" s="38"/>
      <c r="HY109" s="38"/>
      <c r="HZ109" s="38"/>
      <c r="IA109" s="38"/>
      <c r="IB109" s="38"/>
      <c r="IC109" s="38"/>
      <c r="ID109" s="38"/>
      <c r="IE109" s="38"/>
      <c r="IF109" s="38"/>
      <c r="IG109" s="38"/>
      <c r="IH109" s="38"/>
      <c r="II109" s="38"/>
      <c r="IJ109" s="38"/>
      <c r="IK109" s="38"/>
      <c r="IL109" s="38"/>
      <c r="IM109" s="38"/>
      <c r="IN109" s="38"/>
      <c r="IO109" s="38"/>
      <c r="IP109" s="38"/>
      <c r="IQ109" s="38"/>
      <c r="IR109" s="38"/>
      <c r="IS109" s="38"/>
      <c r="IT109" s="38"/>
      <c r="IU109" s="38"/>
      <c r="IV109" s="38"/>
      <c r="IW109" s="38"/>
      <c r="IX109" s="38"/>
      <c r="IY109" s="38"/>
      <c r="IZ109" s="38"/>
      <c r="JA109" s="38"/>
      <c r="JB109" s="38"/>
      <c r="JC109" s="38"/>
      <c r="JD109" s="38"/>
      <c r="JE109" s="38"/>
      <c r="JF109" s="38"/>
      <c r="JG109" s="38"/>
      <c r="JH109" s="38"/>
      <c r="JI109" s="38"/>
      <c r="JJ109" s="38"/>
      <c r="JK109" s="38"/>
      <c r="JL109" s="38"/>
      <c r="JM109" s="38"/>
      <c r="JN109" s="38"/>
      <c r="JO109" s="38"/>
      <c r="JP109" s="38"/>
      <c r="JQ109" s="38"/>
      <c r="JR109" s="38"/>
      <c r="JS109" s="38"/>
      <c r="JT109" s="38"/>
      <c r="JU109" s="38"/>
      <c r="JV109" s="38"/>
      <c r="JW109" s="38"/>
      <c r="JX109" s="38"/>
      <c r="JY109" s="38"/>
      <c r="JZ109" s="38"/>
      <c r="KA109" s="38"/>
      <c r="KB109" s="38"/>
      <c r="KC109" s="38"/>
      <c r="KD109" s="38"/>
      <c r="KE109" s="38"/>
      <c r="KF109" s="38"/>
      <c r="KG109" s="38"/>
      <c r="KH109" s="38"/>
      <c r="KI109" s="38"/>
      <c r="KJ109" s="38"/>
      <c r="KK109" s="38"/>
      <c r="KL109" s="38"/>
      <c r="KM109" s="38"/>
      <c r="KN109" s="38"/>
      <c r="KO109" s="38"/>
      <c r="KP109" s="38"/>
      <c r="KQ109" s="38"/>
      <c r="KR109" s="38"/>
      <c r="KS109" s="38"/>
      <c r="KT109" s="38"/>
      <c r="KU109" s="38"/>
      <c r="KV109" s="38"/>
      <c r="KW109" s="38"/>
      <c r="KX109" s="38"/>
      <c r="KY109" s="38"/>
      <c r="KZ109" s="38"/>
      <c r="LA109" s="38"/>
      <c r="LB109" s="38"/>
      <c r="LC109" s="38"/>
      <c r="LD109" s="38"/>
      <c r="LE109" s="38"/>
      <c r="LF109" s="38"/>
      <c r="LG109" s="38"/>
      <c r="LH109" s="38"/>
      <c r="LI109" s="38"/>
      <c r="LJ109" s="38"/>
      <c r="LK109" s="38"/>
      <c r="LL109" s="38"/>
      <c r="LM109" s="38"/>
      <c r="LN109" s="38"/>
      <c r="LO109" s="38"/>
      <c r="LP109" s="38"/>
      <c r="LQ109" s="38"/>
      <c r="LR109" s="38"/>
      <c r="LS109" s="38"/>
      <c r="LT109" s="38"/>
      <c r="LU109" s="38"/>
      <c r="LV109" s="38"/>
      <c r="LW109" s="38"/>
      <c r="LX109" s="38"/>
      <c r="LY109" s="38"/>
      <c r="LZ109" s="38"/>
      <c r="MA109" s="38"/>
      <c r="MB109" s="38"/>
      <c r="MC109" s="38"/>
      <c r="MD109" s="38"/>
      <c r="ME109" s="38"/>
      <c r="MF109" s="38"/>
      <c r="MG109" s="38"/>
      <c r="MH109" s="38"/>
      <c r="MI109" s="38"/>
      <c r="MJ109" s="38"/>
      <c r="MK109" s="38"/>
      <c r="ML109" s="38"/>
      <c r="MM109" s="38"/>
      <c r="MN109" s="38"/>
      <c r="MO109" s="38"/>
      <c r="MP109" s="38"/>
      <c r="MQ109" s="38"/>
      <c r="MR109" s="38"/>
      <c r="MS109" s="38"/>
      <c r="MT109" s="38"/>
      <c r="MU109" s="38"/>
      <c r="MV109" s="38"/>
      <c r="MW109" s="38"/>
      <c r="MX109" s="38"/>
      <c r="MY109" s="38"/>
      <c r="MZ109" s="38"/>
      <c r="NA109" s="38"/>
      <c r="NB109" s="38"/>
      <c r="NC109" s="38"/>
      <c r="ND109" s="38"/>
      <c r="NE109" s="38"/>
      <c r="NF109" s="38"/>
      <c r="NG109" s="38"/>
      <c r="NH109" s="38"/>
      <c r="NI109" s="38"/>
      <c r="NJ109" s="38"/>
      <c r="NK109" s="38"/>
      <c r="NL109" s="38"/>
      <c r="NM109" s="38"/>
      <c r="NN109" s="38"/>
      <c r="NO109" s="38"/>
      <c r="NP109" s="38"/>
      <c r="NQ109" s="38"/>
      <c r="NR109" s="38"/>
      <c r="NS109" s="38"/>
      <c r="NT109" s="38"/>
      <c r="NU109" s="38"/>
      <c r="NV109" s="38"/>
      <c r="NW109" s="38"/>
      <c r="NX109" s="38"/>
      <c r="NY109" s="38"/>
      <c r="NZ109" s="38"/>
      <c r="OA109" s="38"/>
      <c r="OB109" s="38"/>
      <c r="OC109" s="38"/>
      <c r="OD109" s="38"/>
      <c r="OE109" s="38"/>
      <c r="OF109" s="38"/>
      <c r="OG109" s="38"/>
      <c r="OH109" s="38"/>
      <c r="OI109" s="38"/>
      <c r="OJ109" s="38"/>
      <c r="OK109" s="38"/>
      <c r="OL109" s="38"/>
      <c r="OM109" s="38"/>
      <c r="ON109" s="38"/>
      <c r="OO109" s="38"/>
      <c r="OP109" s="38"/>
      <c r="OQ109" s="38"/>
      <c r="OR109" s="38"/>
      <c r="OS109" s="38"/>
      <c r="OT109" s="38"/>
      <c r="OU109" s="38"/>
      <c r="OV109" s="38"/>
      <c r="OW109" s="38"/>
      <c r="OX109" s="38"/>
      <c r="OY109" s="38"/>
      <c r="OZ109" s="38"/>
      <c r="PA109" s="38"/>
      <c r="PB109" s="38"/>
      <c r="PC109" s="38"/>
      <c r="PD109" s="38"/>
      <c r="PE109" s="38"/>
      <c r="PF109" s="38"/>
      <c r="PG109" s="38"/>
      <c r="PH109" s="38"/>
      <c r="PI109" s="38"/>
      <c r="PJ109" s="38"/>
      <c r="PK109" s="38"/>
      <c r="PL109" s="38"/>
      <c r="PM109" s="38"/>
      <c r="PN109" s="38"/>
      <c r="PO109" s="38"/>
      <c r="PP109" s="38"/>
      <c r="PQ109" s="38"/>
      <c r="PR109" s="38"/>
      <c r="PS109" s="38"/>
      <c r="PT109" s="38"/>
      <c r="PU109" s="38"/>
      <c r="PV109" s="38"/>
      <c r="PW109" s="38"/>
      <c r="PX109" s="38"/>
      <c r="PY109" s="38"/>
      <c r="PZ109" s="38"/>
      <c r="QA109" s="38"/>
      <c r="QB109" s="38"/>
      <c r="QC109" s="38"/>
      <c r="QD109" s="38"/>
      <c r="QE109" s="38"/>
      <c r="QF109" s="38"/>
      <c r="QG109" s="38"/>
      <c r="QH109" s="38"/>
      <c r="QI109" s="38"/>
      <c r="QJ109" s="38"/>
      <c r="QK109" s="38"/>
      <c r="QL109" s="38"/>
      <c r="QM109" s="38"/>
      <c r="QN109" s="38"/>
      <c r="QO109" s="38"/>
      <c r="QP109" s="38"/>
      <c r="QQ109" s="38"/>
      <c r="QR109" s="38"/>
      <c r="QS109" s="38"/>
      <c r="QT109" s="38"/>
      <c r="QU109" s="38"/>
      <c r="QV109" s="38"/>
      <c r="QW109" s="38"/>
      <c r="QX109" s="38"/>
      <c r="QY109" s="38"/>
      <c r="QZ109" s="38"/>
      <c r="RA109" s="38"/>
      <c r="RB109" s="38"/>
      <c r="RC109" s="38"/>
      <c r="RD109" s="38"/>
      <c r="RE109" s="38"/>
      <c r="RF109" s="38"/>
      <c r="RG109" s="38"/>
      <c r="RH109" s="38"/>
      <c r="RI109" s="38"/>
      <c r="RJ109" s="38"/>
      <c r="RK109" s="38"/>
      <c r="RL109" s="38"/>
      <c r="RM109" s="38"/>
      <c r="RN109" s="38"/>
      <c r="RO109" s="38"/>
      <c r="RP109" s="38"/>
      <c r="RQ109" s="38"/>
      <c r="RR109" s="38"/>
      <c r="RS109" s="38"/>
      <c r="RT109" s="38"/>
      <c r="RU109" s="38"/>
      <c r="RV109" s="38"/>
      <c r="RW109" s="38"/>
      <c r="RX109" s="38"/>
      <c r="RY109" s="38"/>
      <c r="RZ109" s="38"/>
      <c r="SA109" s="38"/>
      <c r="SB109" s="38"/>
      <c r="SC109" s="38"/>
      <c r="SD109" s="38"/>
      <c r="SE109" s="38"/>
      <c r="SF109" s="38"/>
      <c r="SG109" s="38"/>
      <c r="SH109" s="38"/>
      <c r="SI109" s="38"/>
      <c r="SJ109" s="38"/>
      <c r="SK109" s="38"/>
      <c r="SL109" s="38"/>
      <c r="SM109" s="38"/>
      <c r="SN109" s="38"/>
      <c r="SO109" s="38"/>
      <c r="SP109" s="38"/>
      <c r="SQ109" s="38"/>
      <c r="SR109" s="38"/>
      <c r="SS109" s="38"/>
      <c r="ST109" s="38"/>
      <c r="SU109" s="38"/>
      <c r="SV109" s="38"/>
      <c r="SW109" s="38"/>
      <c r="SX109" s="38"/>
      <c r="SY109" s="38"/>
      <c r="SZ109" s="38"/>
      <c r="TA109" s="38"/>
      <c r="TB109" s="38"/>
      <c r="TC109" s="38"/>
      <c r="TD109" s="38"/>
      <c r="TE109" s="38"/>
      <c r="TF109" s="38"/>
      <c r="TG109" s="38"/>
      <c r="TH109" s="38"/>
      <c r="TI109" s="38"/>
      <c r="TJ109" s="38"/>
      <c r="TK109" s="38"/>
      <c r="TL109" s="38"/>
      <c r="TM109" s="38"/>
      <c r="TN109" s="38"/>
      <c r="TO109" s="38"/>
      <c r="TP109" s="38"/>
      <c r="TQ109" s="38"/>
      <c r="TR109" s="38"/>
      <c r="TS109" s="38"/>
      <c r="TT109" s="38"/>
      <c r="TU109" s="38"/>
      <c r="TV109" s="38"/>
      <c r="TW109" s="38"/>
      <c r="TX109" s="38"/>
      <c r="TY109" s="38"/>
      <c r="TZ109" s="38"/>
      <c r="UA109" s="38"/>
      <c r="UB109" s="38"/>
      <c r="UC109" s="38"/>
      <c r="UD109" s="38"/>
      <c r="UE109" s="38"/>
      <c r="UF109" s="38"/>
      <c r="UG109" s="38"/>
      <c r="UH109" s="38"/>
      <c r="UI109" s="38"/>
      <c r="UJ109" s="38"/>
      <c r="UK109" s="38"/>
      <c r="UL109" s="38"/>
      <c r="UM109" s="38"/>
      <c r="UN109" s="38"/>
      <c r="UO109" s="38"/>
      <c r="UP109" s="38"/>
      <c r="UQ109" s="38"/>
      <c r="UR109" s="38"/>
      <c r="US109" s="38"/>
      <c r="UT109" s="38"/>
      <c r="UU109" s="38"/>
      <c r="UV109" s="38"/>
      <c r="UW109" s="38"/>
      <c r="UX109" s="38"/>
      <c r="UY109" s="38"/>
      <c r="UZ109" s="38"/>
      <c r="VA109" s="38"/>
      <c r="VB109" s="38"/>
      <c r="VC109" s="38"/>
      <c r="VD109" s="38"/>
      <c r="VE109" s="38"/>
      <c r="VF109" s="38"/>
      <c r="VG109" s="38"/>
      <c r="VH109" s="38"/>
      <c r="VI109" s="38"/>
      <c r="VJ109" s="38"/>
      <c r="VK109" s="38"/>
      <c r="VL109" s="38"/>
      <c r="VM109" s="38"/>
      <c r="VN109" s="38"/>
      <c r="VO109" s="38"/>
      <c r="VP109" s="38"/>
      <c r="VQ109" s="38"/>
      <c r="VR109" s="38"/>
      <c r="VS109" s="38"/>
      <c r="VT109" s="38"/>
      <c r="VU109" s="38"/>
      <c r="VV109" s="38"/>
      <c r="VW109" s="38"/>
      <c r="VX109" s="38"/>
      <c r="VY109" s="38"/>
      <c r="VZ109" s="38"/>
      <c r="WA109" s="38"/>
      <c r="WB109" s="38"/>
      <c r="WC109" s="38"/>
      <c r="WD109" s="38"/>
      <c r="WE109" s="38"/>
      <c r="WF109" s="38"/>
      <c r="WG109" s="38"/>
      <c r="WH109" s="38"/>
      <c r="WI109" s="38"/>
      <c r="WJ109" s="38"/>
      <c r="WK109" s="38"/>
      <c r="WL109" s="38"/>
      <c r="WM109" s="38"/>
      <c r="WN109" s="38"/>
      <c r="WO109" s="38"/>
      <c r="WP109" s="38"/>
      <c r="WQ109" s="38"/>
      <c r="WR109" s="38"/>
      <c r="WS109" s="38"/>
      <c r="WT109" s="38"/>
      <c r="WU109" s="38"/>
      <c r="WV109" s="38"/>
      <c r="WW109" s="38"/>
      <c r="WX109" s="38"/>
      <c r="WY109" s="38"/>
      <c r="WZ109" s="38"/>
      <c r="XA109" s="38"/>
      <c r="XB109" s="38"/>
      <c r="XC109" s="38"/>
      <c r="XD109" s="38"/>
      <c r="XE109" s="38"/>
      <c r="XF109" s="38"/>
      <c r="XG109" s="38"/>
      <c r="XH109" s="38"/>
      <c r="XI109" s="38"/>
      <c r="XJ109" s="38"/>
      <c r="XK109" s="38"/>
      <c r="XL109" s="38"/>
      <c r="XM109" s="38"/>
      <c r="XN109" s="38"/>
      <c r="XO109" s="38"/>
      <c r="XP109" s="38"/>
      <c r="XQ109" s="38"/>
      <c r="XR109" s="38"/>
      <c r="XS109" s="38"/>
      <c r="XT109" s="38"/>
      <c r="XU109" s="38"/>
      <c r="XV109" s="38"/>
      <c r="XW109" s="38"/>
      <c r="XX109" s="38"/>
      <c r="XY109" s="38"/>
      <c r="XZ109" s="38"/>
      <c r="YA109" s="38"/>
      <c r="YB109" s="38"/>
      <c r="YC109" s="38"/>
      <c r="YD109" s="38"/>
      <c r="YE109" s="38"/>
      <c r="YF109" s="38"/>
      <c r="YG109" s="38"/>
      <c r="YH109" s="38"/>
      <c r="YI109" s="38"/>
      <c r="YJ109" s="38"/>
      <c r="YK109" s="38"/>
      <c r="YL109" s="38"/>
      <c r="YM109" s="38"/>
      <c r="YN109" s="38"/>
      <c r="YO109" s="38"/>
      <c r="YP109" s="38"/>
      <c r="YQ109" s="38"/>
      <c r="YR109" s="38"/>
      <c r="YS109" s="38"/>
      <c r="YT109" s="38"/>
      <c r="YU109" s="38"/>
      <c r="YV109" s="38"/>
      <c r="YW109" s="38"/>
      <c r="YX109" s="38"/>
      <c r="YY109" s="38"/>
      <c r="YZ109" s="38"/>
      <c r="ZA109" s="38"/>
      <c r="ZB109" s="38"/>
      <c r="ZC109" s="38"/>
      <c r="ZD109" s="38"/>
      <c r="ZE109" s="38"/>
      <c r="ZF109" s="38"/>
      <c r="ZG109" s="38"/>
      <c r="ZH109" s="38"/>
      <c r="ZI109" s="38"/>
      <c r="ZJ109" s="38"/>
      <c r="ZK109" s="38"/>
      <c r="ZL109" s="38"/>
      <c r="ZM109" s="38"/>
      <c r="ZN109" s="38"/>
      <c r="ZO109" s="38"/>
      <c r="ZP109" s="38"/>
      <c r="ZQ109" s="38"/>
      <c r="ZR109" s="38"/>
      <c r="ZS109" s="38"/>
      <c r="ZT109" s="38"/>
      <c r="ZU109" s="38"/>
      <c r="ZV109" s="38"/>
      <c r="ZW109" s="38"/>
      <c r="ZX109" s="38"/>
      <c r="ZY109" s="38"/>
      <c r="ZZ109" s="38"/>
      <c r="AAA109" s="38"/>
      <c r="AAB109" s="38"/>
      <c r="AAC109" s="38"/>
      <c r="AAD109" s="38"/>
      <c r="AAE109" s="38"/>
      <c r="AAF109" s="38"/>
      <c r="AAG109" s="38"/>
      <c r="AAH109" s="38"/>
      <c r="AAI109" s="38"/>
      <c r="AAJ109" s="38"/>
      <c r="AAK109" s="38"/>
      <c r="AAL109" s="38"/>
      <c r="AAM109" s="38"/>
      <c r="AAN109" s="38"/>
      <c r="AAO109" s="38"/>
      <c r="AAP109" s="38"/>
      <c r="AAQ109" s="38"/>
      <c r="AAR109" s="38"/>
      <c r="AAS109" s="38"/>
      <c r="AAT109" s="38"/>
      <c r="AAU109" s="38"/>
      <c r="AAV109" s="38"/>
      <c r="AAW109" s="38"/>
      <c r="AAX109" s="38"/>
      <c r="AAY109" s="38"/>
      <c r="AAZ109" s="38"/>
      <c r="ABA109" s="38"/>
      <c r="ABB109" s="38"/>
      <c r="ABC109" s="38"/>
      <c r="ABD109" s="38"/>
      <c r="ABE109" s="38"/>
      <c r="ABF109" s="38"/>
      <c r="ABG109" s="38"/>
      <c r="ABH109" s="38"/>
      <c r="ABI109" s="38"/>
      <c r="ABJ109" s="38"/>
      <c r="ABK109" s="38"/>
      <c r="ABL109" s="38"/>
      <c r="ABM109" s="38"/>
      <c r="ABN109" s="38"/>
      <c r="ABO109" s="38"/>
      <c r="ABP109" s="38"/>
      <c r="ABQ109" s="38"/>
      <c r="ABR109" s="38"/>
      <c r="ABS109" s="38"/>
      <c r="ABT109" s="38"/>
      <c r="ABU109" s="38"/>
      <c r="ABV109" s="38"/>
      <c r="ABW109" s="38"/>
      <c r="ABX109" s="38"/>
      <c r="ABY109" s="38"/>
      <c r="ABZ109" s="38"/>
      <c r="ACA109" s="38"/>
      <c r="ACB109" s="38"/>
      <c r="ACC109" s="38"/>
      <c r="ACD109" s="38"/>
      <c r="ACE109" s="38"/>
      <c r="ACF109" s="38"/>
      <c r="ACG109" s="38"/>
      <c r="ACH109" s="38"/>
      <c r="ACI109" s="38"/>
      <c r="ACJ109" s="38"/>
      <c r="ACK109" s="38"/>
      <c r="ACL109" s="38"/>
      <c r="ACM109" s="38"/>
      <c r="ACN109" s="38"/>
      <c r="ACO109" s="38"/>
      <c r="ACP109" s="38"/>
      <c r="ACQ109" s="38"/>
      <c r="ACR109" s="38"/>
      <c r="ACS109" s="38"/>
      <c r="ACT109" s="38"/>
      <c r="ACU109" s="38"/>
      <c r="ACV109" s="38"/>
      <c r="ACW109" s="38"/>
      <c r="ACX109" s="38"/>
      <c r="ACY109" s="38"/>
      <c r="ACZ109" s="38"/>
      <c r="ADA109" s="38"/>
      <c r="ADB109" s="38"/>
      <c r="ADC109" s="38"/>
      <c r="ADD109" s="38"/>
      <c r="ADE109" s="38"/>
      <c r="ADF109" s="38"/>
      <c r="ADG109" s="38"/>
      <c r="ADH109" s="38"/>
      <c r="ADI109" s="38"/>
      <c r="ADJ109" s="38"/>
      <c r="ADK109" s="38"/>
      <c r="ADL109" s="38"/>
      <c r="ADM109" s="38"/>
      <c r="ADN109" s="38"/>
      <c r="ADO109" s="38"/>
      <c r="ADP109" s="38"/>
      <c r="ADQ109" s="38"/>
      <c r="ADR109" s="38"/>
      <c r="ADS109" s="38"/>
      <c r="ADT109" s="38"/>
      <c r="ADU109" s="38"/>
      <c r="ADV109" s="38"/>
      <c r="ADW109" s="38"/>
      <c r="ADX109" s="38"/>
      <c r="ADY109" s="38"/>
      <c r="ADZ109" s="38"/>
      <c r="AEA109" s="38"/>
      <c r="AEB109" s="38"/>
      <c r="AEC109" s="38"/>
      <c r="AED109" s="38"/>
      <c r="AEE109" s="38"/>
      <c r="AEF109" s="38"/>
      <c r="AEG109" s="38"/>
      <c r="AEH109" s="38"/>
      <c r="AEI109" s="38"/>
      <c r="AEJ109" s="38"/>
      <c r="AEK109" s="38"/>
      <c r="AEL109" s="38"/>
      <c r="AEM109" s="38"/>
      <c r="AEN109" s="38"/>
      <c r="AEO109" s="38"/>
      <c r="AEP109" s="38"/>
      <c r="AEQ109" s="38"/>
      <c r="AER109" s="38"/>
      <c r="AES109" s="38"/>
      <c r="AET109" s="38"/>
      <c r="AEU109" s="38"/>
      <c r="AEV109" s="38"/>
      <c r="AEW109" s="38"/>
      <c r="AEX109" s="38"/>
      <c r="AEY109" s="38"/>
      <c r="AEZ109" s="38"/>
      <c r="AFA109" s="38"/>
      <c r="AFB109" s="38"/>
      <c r="AFC109" s="38"/>
      <c r="AFD109" s="38"/>
      <c r="AFE109" s="38"/>
      <c r="AFF109" s="38"/>
      <c r="AFG109" s="38"/>
      <c r="AFH109" s="38"/>
      <c r="AFI109" s="38"/>
      <c r="AFJ109" s="38"/>
      <c r="AFK109" s="38"/>
      <c r="AFL109" s="38"/>
      <c r="AFM109" s="38"/>
      <c r="AFN109" s="38"/>
      <c r="AFO109" s="38"/>
      <c r="AFP109" s="38"/>
      <c r="AFQ109" s="38"/>
      <c r="AFR109" s="38"/>
      <c r="AFS109" s="38"/>
      <c r="AFT109" s="38"/>
      <c r="AFU109" s="38"/>
      <c r="AFV109" s="38"/>
      <c r="AFW109" s="38"/>
      <c r="AFX109" s="38"/>
      <c r="AFY109" s="38"/>
      <c r="AFZ109" s="38"/>
      <c r="AGA109" s="38"/>
      <c r="AGB109" s="38"/>
      <c r="AGC109" s="38"/>
      <c r="AGD109" s="38"/>
      <c r="AGE109" s="38"/>
      <c r="AGF109" s="38"/>
      <c r="AGG109" s="38"/>
      <c r="AGH109" s="38"/>
      <c r="AGI109" s="38"/>
      <c r="AGJ109" s="38"/>
      <c r="AGK109" s="38"/>
      <c r="AGL109" s="38"/>
      <c r="AGM109" s="38"/>
      <c r="AGN109" s="38"/>
      <c r="AGO109" s="38"/>
      <c r="AGP109" s="38"/>
      <c r="AGQ109" s="38"/>
      <c r="AGR109" s="38"/>
      <c r="AGS109" s="38"/>
      <c r="AGT109" s="38"/>
      <c r="AGU109" s="38"/>
      <c r="AGV109" s="38"/>
      <c r="AGW109" s="38"/>
      <c r="AGX109" s="38"/>
      <c r="AGY109" s="38"/>
      <c r="AGZ109" s="38"/>
      <c r="AHA109" s="38"/>
      <c r="AHB109" s="38"/>
      <c r="AHC109" s="38"/>
      <c r="AHD109" s="38"/>
      <c r="AHE109" s="38"/>
      <c r="AHF109" s="38"/>
      <c r="AHG109" s="38"/>
      <c r="AHH109" s="38"/>
      <c r="AHI109" s="38"/>
      <c r="AHJ109" s="38"/>
      <c r="AHK109" s="38"/>
      <c r="AHL109" s="38"/>
      <c r="AHM109" s="38"/>
      <c r="AHN109" s="38"/>
      <c r="AHO109" s="38"/>
      <c r="AHP109" s="38"/>
      <c r="AHQ109" s="38"/>
      <c r="AHR109" s="38"/>
      <c r="AHS109" s="38"/>
      <c r="AHT109" s="38"/>
      <c r="AHU109" s="38"/>
      <c r="AHV109" s="38"/>
    </row>
    <row r="110" spans="1:906" s="27" customFormat="1" x14ac:dyDescent="0.35">
      <c r="A110" s="83">
        <v>105</v>
      </c>
      <c r="B110" s="108" t="s">
        <v>186</v>
      </c>
      <c r="C110" s="109" t="s">
        <v>185</v>
      </c>
      <c r="D110" s="109" t="s">
        <v>51</v>
      </c>
      <c r="E110" s="125">
        <v>11.99</v>
      </c>
      <c r="F110" s="125">
        <v>11.95</v>
      </c>
      <c r="G110" s="125">
        <v>12.75</v>
      </c>
      <c r="H110" s="125">
        <v>12.5</v>
      </c>
      <c r="I110" s="37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</row>
    <row r="111" spans="1:906" s="27" customFormat="1" x14ac:dyDescent="0.35">
      <c r="A111" s="83">
        <v>106</v>
      </c>
      <c r="B111" s="108" t="s">
        <v>187</v>
      </c>
      <c r="C111" s="109" t="s">
        <v>188</v>
      </c>
      <c r="D111" s="109" t="s">
        <v>189</v>
      </c>
      <c r="E111" s="125">
        <v>12.9</v>
      </c>
      <c r="F111" s="125">
        <v>11.95</v>
      </c>
      <c r="G111" s="125">
        <v>12.75</v>
      </c>
      <c r="H111" s="125">
        <v>11.75</v>
      </c>
      <c r="I111" s="37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</row>
    <row r="112" spans="1:906" s="27" customFormat="1" x14ac:dyDescent="0.35">
      <c r="A112" s="83">
        <v>107</v>
      </c>
      <c r="B112" s="108" t="s">
        <v>274</v>
      </c>
      <c r="C112" s="109" t="s">
        <v>190</v>
      </c>
      <c r="D112" s="109" t="s">
        <v>191</v>
      </c>
      <c r="E112" s="125">
        <v>14.65</v>
      </c>
      <c r="F112" s="125">
        <v>13.95</v>
      </c>
      <c r="G112" s="125">
        <v>13.5</v>
      </c>
      <c r="H112" s="125">
        <v>14.25</v>
      </c>
      <c r="I112" s="37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</row>
    <row r="113" spans="1:906" s="27" customFormat="1" x14ac:dyDescent="0.35">
      <c r="A113" s="83">
        <v>108</v>
      </c>
      <c r="B113" s="108" t="s">
        <v>192</v>
      </c>
      <c r="C113" s="109" t="s">
        <v>188</v>
      </c>
      <c r="D113" s="109" t="s">
        <v>189</v>
      </c>
      <c r="E113" s="125">
        <v>12.9</v>
      </c>
      <c r="F113" s="142">
        <v>12.95</v>
      </c>
      <c r="G113" s="125">
        <v>12.75</v>
      </c>
      <c r="H113" s="125">
        <v>12.75</v>
      </c>
      <c r="I113" s="37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  <c r="BP113" s="38"/>
      <c r="BQ113" s="38"/>
      <c r="BR113" s="38"/>
      <c r="BS113" s="38"/>
      <c r="BT113" s="38"/>
      <c r="BU113" s="38"/>
      <c r="BV113" s="38"/>
      <c r="BW113" s="38"/>
      <c r="BX113" s="38"/>
      <c r="BY113" s="38"/>
      <c r="BZ113" s="38"/>
      <c r="CA113" s="38"/>
      <c r="CB113" s="38"/>
      <c r="CC113" s="38"/>
      <c r="CD113" s="38"/>
      <c r="CE113" s="38"/>
      <c r="CF113" s="38"/>
      <c r="CG113" s="38"/>
      <c r="CH113" s="38"/>
      <c r="CI113" s="38"/>
      <c r="CJ113" s="38"/>
      <c r="CK113" s="38"/>
      <c r="CL113" s="38"/>
      <c r="CM113" s="38"/>
      <c r="CN113" s="38"/>
      <c r="CO113" s="38"/>
      <c r="CP113" s="38"/>
      <c r="CQ113" s="38"/>
      <c r="CR113" s="38"/>
      <c r="CS113" s="38"/>
      <c r="CT113" s="38"/>
      <c r="CU113" s="38"/>
      <c r="CV113" s="38"/>
      <c r="CW113" s="38"/>
      <c r="CX113" s="38"/>
      <c r="CY113" s="38"/>
      <c r="CZ113" s="38"/>
      <c r="DA113" s="38"/>
      <c r="DB113" s="38"/>
      <c r="DC113" s="38"/>
      <c r="DD113" s="38"/>
      <c r="DE113" s="38"/>
      <c r="DF113" s="38"/>
      <c r="DG113" s="38"/>
      <c r="DH113" s="38"/>
      <c r="DI113" s="38"/>
      <c r="DJ113" s="38"/>
      <c r="DK113" s="38"/>
      <c r="DL113" s="38"/>
      <c r="DM113" s="38"/>
      <c r="DN113" s="38"/>
      <c r="DO113" s="38"/>
      <c r="DP113" s="38"/>
      <c r="DQ113" s="38"/>
      <c r="DR113" s="38"/>
      <c r="DS113" s="38"/>
      <c r="DT113" s="38"/>
      <c r="DU113" s="38"/>
      <c r="DV113" s="38"/>
      <c r="DW113" s="38"/>
      <c r="DX113" s="38"/>
      <c r="DY113" s="38"/>
      <c r="DZ113" s="38"/>
      <c r="EA113" s="38"/>
      <c r="EB113" s="38"/>
      <c r="EC113" s="38"/>
      <c r="ED113" s="38"/>
      <c r="EE113" s="38"/>
      <c r="EF113" s="38"/>
      <c r="EG113" s="38"/>
      <c r="EH113" s="38"/>
      <c r="EI113" s="38"/>
      <c r="EJ113" s="38"/>
      <c r="EK113" s="38"/>
      <c r="EL113" s="38"/>
      <c r="EM113" s="38"/>
      <c r="EN113" s="38"/>
      <c r="EO113" s="38"/>
      <c r="EP113" s="38"/>
      <c r="EQ113" s="38"/>
      <c r="ER113" s="38"/>
      <c r="ES113" s="38"/>
      <c r="ET113" s="38"/>
      <c r="EU113" s="38"/>
      <c r="EV113" s="38"/>
      <c r="EW113" s="38"/>
      <c r="EX113" s="38"/>
      <c r="EY113" s="38"/>
      <c r="EZ113" s="38"/>
      <c r="FA113" s="38"/>
      <c r="FB113" s="38"/>
      <c r="FC113" s="38"/>
      <c r="FD113" s="38"/>
      <c r="FE113" s="38"/>
      <c r="FF113" s="38"/>
      <c r="FG113" s="38"/>
      <c r="FH113" s="38"/>
      <c r="FI113" s="38"/>
      <c r="FJ113" s="38"/>
      <c r="FK113" s="38"/>
      <c r="FL113" s="38"/>
      <c r="FM113" s="38"/>
      <c r="FN113" s="38"/>
      <c r="FO113" s="38"/>
      <c r="FP113" s="38"/>
      <c r="FQ113" s="38"/>
      <c r="FR113" s="38"/>
      <c r="FS113" s="38"/>
      <c r="FT113" s="38"/>
      <c r="FU113" s="38"/>
      <c r="FV113" s="38"/>
      <c r="FW113" s="38"/>
      <c r="FX113" s="38"/>
      <c r="FY113" s="38"/>
      <c r="FZ113" s="38"/>
      <c r="GA113" s="38"/>
      <c r="GB113" s="38"/>
      <c r="GC113" s="38"/>
      <c r="GD113" s="38"/>
      <c r="GE113" s="38"/>
      <c r="GF113" s="38"/>
      <c r="GG113" s="38"/>
      <c r="GH113" s="38"/>
      <c r="GI113" s="38"/>
      <c r="GJ113" s="38"/>
      <c r="GK113" s="38"/>
      <c r="GL113" s="38"/>
      <c r="GM113" s="38"/>
      <c r="GN113" s="38"/>
      <c r="GO113" s="38"/>
      <c r="GP113" s="38"/>
      <c r="GQ113" s="38"/>
      <c r="GR113" s="38"/>
      <c r="GS113" s="38"/>
      <c r="GT113" s="38"/>
      <c r="GU113" s="38"/>
      <c r="GV113" s="38"/>
      <c r="GW113" s="38"/>
      <c r="GX113" s="38"/>
      <c r="GY113" s="38"/>
      <c r="GZ113" s="38"/>
      <c r="HA113" s="38"/>
      <c r="HB113" s="38"/>
      <c r="HC113" s="38"/>
      <c r="HD113" s="38"/>
      <c r="HE113" s="38"/>
      <c r="HF113" s="38"/>
      <c r="HG113" s="38"/>
      <c r="HH113" s="38"/>
      <c r="HI113" s="38"/>
      <c r="HJ113" s="38"/>
      <c r="HK113" s="38"/>
      <c r="HL113" s="38"/>
      <c r="HM113" s="38"/>
      <c r="HN113" s="38"/>
      <c r="HO113" s="38"/>
      <c r="HP113" s="38"/>
      <c r="HQ113" s="38"/>
      <c r="HR113" s="38"/>
      <c r="HS113" s="38"/>
      <c r="HT113" s="38"/>
      <c r="HU113" s="38"/>
      <c r="HV113" s="38"/>
      <c r="HW113" s="38"/>
      <c r="HX113" s="38"/>
      <c r="HY113" s="38"/>
      <c r="HZ113" s="38"/>
      <c r="IA113" s="38"/>
      <c r="IB113" s="38"/>
      <c r="IC113" s="38"/>
      <c r="ID113" s="38"/>
      <c r="IE113" s="38"/>
      <c r="IF113" s="38"/>
      <c r="IG113" s="38"/>
      <c r="IH113" s="38"/>
      <c r="II113" s="38"/>
      <c r="IJ113" s="38"/>
      <c r="IK113" s="38"/>
      <c r="IL113" s="38"/>
      <c r="IM113" s="38"/>
      <c r="IN113" s="38"/>
      <c r="IO113" s="38"/>
      <c r="IP113" s="38"/>
      <c r="IQ113" s="38"/>
      <c r="IR113" s="38"/>
      <c r="IS113" s="38"/>
      <c r="IT113" s="38"/>
      <c r="IU113" s="38"/>
      <c r="IV113" s="38"/>
      <c r="IW113" s="38"/>
      <c r="IX113" s="38"/>
      <c r="IY113" s="38"/>
      <c r="IZ113" s="38"/>
      <c r="JA113" s="38"/>
      <c r="JB113" s="38"/>
      <c r="JC113" s="38"/>
      <c r="JD113" s="38"/>
      <c r="JE113" s="38"/>
      <c r="JF113" s="38"/>
      <c r="JG113" s="38"/>
      <c r="JH113" s="38"/>
      <c r="JI113" s="38"/>
      <c r="JJ113" s="38"/>
      <c r="JK113" s="38"/>
      <c r="JL113" s="38"/>
      <c r="JM113" s="38"/>
      <c r="JN113" s="38"/>
      <c r="JO113" s="38"/>
      <c r="JP113" s="38"/>
      <c r="JQ113" s="38"/>
      <c r="JR113" s="38"/>
      <c r="JS113" s="38"/>
      <c r="JT113" s="38"/>
      <c r="JU113" s="38"/>
      <c r="JV113" s="38"/>
      <c r="JW113" s="38"/>
      <c r="JX113" s="38"/>
      <c r="JY113" s="38"/>
      <c r="JZ113" s="38"/>
      <c r="KA113" s="38"/>
      <c r="KB113" s="38"/>
      <c r="KC113" s="38"/>
      <c r="KD113" s="38"/>
      <c r="KE113" s="38"/>
      <c r="KF113" s="38"/>
      <c r="KG113" s="38"/>
      <c r="KH113" s="38"/>
      <c r="KI113" s="38"/>
      <c r="KJ113" s="38"/>
      <c r="KK113" s="38"/>
      <c r="KL113" s="38"/>
      <c r="KM113" s="38"/>
      <c r="KN113" s="38"/>
      <c r="KO113" s="38"/>
      <c r="KP113" s="38"/>
      <c r="KQ113" s="38"/>
      <c r="KR113" s="38"/>
      <c r="KS113" s="38"/>
      <c r="KT113" s="38"/>
      <c r="KU113" s="38"/>
      <c r="KV113" s="38"/>
      <c r="KW113" s="38"/>
      <c r="KX113" s="38"/>
      <c r="KY113" s="38"/>
      <c r="KZ113" s="38"/>
      <c r="LA113" s="38"/>
      <c r="LB113" s="38"/>
      <c r="LC113" s="38"/>
      <c r="LD113" s="38"/>
      <c r="LE113" s="38"/>
      <c r="LF113" s="38"/>
      <c r="LG113" s="38"/>
      <c r="LH113" s="38"/>
      <c r="LI113" s="38"/>
      <c r="LJ113" s="38"/>
      <c r="LK113" s="38"/>
      <c r="LL113" s="38"/>
      <c r="LM113" s="38"/>
      <c r="LN113" s="38"/>
      <c r="LO113" s="38"/>
      <c r="LP113" s="38"/>
      <c r="LQ113" s="38"/>
      <c r="LR113" s="38"/>
      <c r="LS113" s="38"/>
      <c r="LT113" s="38"/>
      <c r="LU113" s="38"/>
      <c r="LV113" s="38"/>
      <c r="LW113" s="38"/>
      <c r="LX113" s="38"/>
      <c r="LY113" s="38"/>
      <c r="LZ113" s="38"/>
      <c r="MA113" s="38"/>
      <c r="MB113" s="38"/>
      <c r="MC113" s="38"/>
      <c r="MD113" s="38"/>
      <c r="ME113" s="38"/>
      <c r="MF113" s="38"/>
      <c r="MG113" s="38"/>
      <c r="MH113" s="38"/>
      <c r="MI113" s="38"/>
      <c r="MJ113" s="38"/>
      <c r="MK113" s="38"/>
      <c r="ML113" s="38"/>
      <c r="MM113" s="38"/>
      <c r="MN113" s="38"/>
      <c r="MO113" s="38"/>
      <c r="MP113" s="38"/>
      <c r="MQ113" s="38"/>
      <c r="MR113" s="38"/>
      <c r="MS113" s="38"/>
      <c r="MT113" s="38"/>
      <c r="MU113" s="38"/>
      <c r="MV113" s="38"/>
      <c r="MW113" s="38"/>
      <c r="MX113" s="38"/>
      <c r="MY113" s="38"/>
      <c r="MZ113" s="38"/>
      <c r="NA113" s="38"/>
      <c r="NB113" s="38"/>
      <c r="NC113" s="38"/>
      <c r="ND113" s="38"/>
      <c r="NE113" s="38"/>
      <c r="NF113" s="38"/>
      <c r="NG113" s="38"/>
      <c r="NH113" s="38"/>
      <c r="NI113" s="38"/>
      <c r="NJ113" s="38"/>
      <c r="NK113" s="38"/>
      <c r="NL113" s="38"/>
      <c r="NM113" s="38"/>
      <c r="NN113" s="38"/>
      <c r="NO113" s="38"/>
      <c r="NP113" s="38"/>
      <c r="NQ113" s="38"/>
      <c r="NR113" s="38"/>
      <c r="NS113" s="38"/>
      <c r="NT113" s="38"/>
      <c r="NU113" s="38"/>
      <c r="NV113" s="38"/>
      <c r="NW113" s="38"/>
      <c r="NX113" s="38"/>
      <c r="NY113" s="38"/>
      <c r="NZ113" s="38"/>
      <c r="OA113" s="38"/>
      <c r="OB113" s="38"/>
      <c r="OC113" s="38"/>
      <c r="OD113" s="38"/>
      <c r="OE113" s="38"/>
      <c r="OF113" s="38"/>
      <c r="OG113" s="38"/>
      <c r="OH113" s="38"/>
      <c r="OI113" s="38"/>
      <c r="OJ113" s="38"/>
      <c r="OK113" s="38"/>
      <c r="OL113" s="38"/>
      <c r="OM113" s="38"/>
      <c r="ON113" s="38"/>
      <c r="OO113" s="38"/>
      <c r="OP113" s="38"/>
      <c r="OQ113" s="38"/>
      <c r="OR113" s="38"/>
      <c r="OS113" s="38"/>
      <c r="OT113" s="38"/>
      <c r="OU113" s="38"/>
      <c r="OV113" s="38"/>
      <c r="OW113" s="38"/>
      <c r="OX113" s="38"/>
      <c r="OY113" s="38"/>
      <c r="OZ113" s="38"/>
      <c r="PA113" s="38"/>
      <c r="PB113" s="38"/>
      <c r="PC113" s="38"/>
      <c r="PD113" s="38"/>
      <c r="PE113" s="38"/>
      <c r="PF113" s="38"/>
      <c r="PG113" s="38"/>
      <c r="PH113" s="38"/>
      <c r="PI113" s="38"/>
      <c r="PJ113" s="38"/>
      <c r="PK113" s="38"/>
      <c r="PL113" s="38"/>
      <c r="PM113" s="38"/>
      <c r="PN113" s="38"/>
      <c r="PO113" s="38"/>
      <c r="PP113" s="38"/>
      <c r="PQ113" s="38"/>
      <c r="PR113" s="38"/>
      <c r="PS113" s="38"/>
      <c r="PT113" s="38"/>
      <c r="PU113" s="38"/>
      <c r="PV113" s="38"/>
      <c r="PW113" s="38"/>
      <c r="PX113" s="38"/>
      <c r="PY113" s="38"/>
      <c r="PZ113" s="38"/>
      <c r="QA113" s="38"/>
      <c r="QB113" s="38"/>
      <c r="QC113" s="38"/>
      <c r="QD113" s="38"/>
      <c r="QE113" s="38"/>
      <c r="QF113" s="38"/>
      <c r="QG113" s="38"/>
      <c r="QH113" s="38"/>
      <c r="QI113" s="38"/>
      <c r="QJ113" s="38"/>
      <c r="QK113" s="38"/>
      <c r="QL113" s="38"/>
      <c r="QM113" s="38"/>
      <c r="QN113" s="38"/>
      <c r="QO113" s="38"/>
      <c r="QP113" s="38"/>
      <c r="QQ113" s="38"/>
      <c r="QR113" s="38"/>
      <c r="QS113" s="38"/>
      <c r="QT113" s="38"/>
      <c r="QU113" s="38"/>
      <c r="QV113" s="38"/>
      <c r="QW113" s="38"/>
      <c r="QX113" s="38"/>
      <c r="QY113" s="38"/>
      <c r="QZ113" s="38"/>
      <c r="RA113" s="38"/>
      <c r="RB113" s="38"/>
      <c r="RC113" s="38"/>
      <c r="RD113" s="38"/>
      <c r="RE113" s="38"/>
      <c r="RF113" s="38"/>
      <c r="RG113" s="38"/>
      <c r="RH113" s="38"/>
      <c r="RI113" s="38"/>
      <c r="RJ113" s="38"/>
      <c r="RK113" s="38"/>
      <c r="RL113" s="38"/>
      <c r="RM113" s="38"/>
      <c r="RN113" s="38"/>
      <c r="RO113" s="38"/>
      <c r="RP113" s="38"/>
      <c r="RQ113" s="38"/>
      <c r="RR113" s="38"/>
      <c r="RS113" s="38"/>
      <c r="RT113" s="38"/>
      <c r="RU113" s="38"/>
      <c r="RV113" s="38"/>
      <c r="RW113" s="38"/>
      <c r="RX113" s="38"/>
      <c r="RY113" s="38"/>
      <c r="RZ113" s="38"/>
      <c r="SA113" s="38"/>
      <c r="SB113" s="38"/>
      <c r="SC113" s="38"/>
      <c r="SD113" s="38"/>
      <c r="SE113" s="38"/>
      <c r="SF113" s="38"/>
      <c r="SG113" s="38"/>
      <c r="SH113" s="38"/>
      <c r="SI113" s="38"/>
      <c r="SJ113" s="38"/>
      <c r="SK113" s="38"/>
      <c r="SL113" s="38"/>
      <c r="SM113" s="38"/>
      <c r="SN113" s="38"/>
      <c r="SO113" s="38"/>
      <c r="SP113" s="38"/>
      <c r="SQ113" s="38"/>
      <c r="SR113" s="38"/>
      <c r="SS113" s="38"/>
      <c r="ST113" s="38"/>
      <c r="SU113" s="38"/>
      <c r="SV113" s="38"/>
      <c r="SW113" s="38"/>
      <c r="SX113" s="38"/>
      <c r="SY113" s="38"/>
      <c r="SZ113" s="38"/>
      <c r="TA113" s="38"/>
      <c r="TB113" s="38"/>
      <c r="TC113" s="38"/>
      <c r="TD113" s="38"/>
      <c r="TE113" s="38"/>
      <c r="TF113" s="38"/>
      <c r="TG113" s="38"/>
      <c r="TH113" s="38"/>
      <c r="TI113" s="38"/>
      <c r="TJ113" s="38"/>
      <c r="TK113" s="38"/>
      <c r="TL113" s="38"/>
      <c r="TM113" s="38"/>
      <c r="TN113" s="38"/>
      <c r="TO113" s="38"/>
      <c r="TP113" s="38"/>
      <c r="TQ113" s="38"/>
      <c r="TR113" s="38"/>
      <c r="TS113" s="38"/>
      <c r="TT113" s="38"/>
      <c r="TU113" s="38"/>
      <c r="TV113" s="38"/>
      <c r="TW113" s="38"/>
      <c r="TX113" s="38"/>
      <c r="TY113" s="38"/>
      <c r="TZ113" s="38"/>
      <c r="UA113" s="38"/>
      <c r="UB113" s="38"/>
      <c r="UC113" s="38"/>
      <c r="UD113" s="38"/>
      <c r="UE113" s="38"/>
      <c r="UF113" s="38"/>
      <c r="UG113" s="38"/>
      <c r="UH113" s="38"/>
      <c r="UI113" s="38"/>
      <c r="UJ113" s="38"/>
      <c r="UK113" s="38"/>
      <c r="UL113" s="38"/>
      <c r="UM113" s="38"/>
      <c r="UN113" s="38"/>
      <c r="UO113" s="38"/>
      <c r="UP113" s="38"/>
      <c r="UQ113" s="38"/>
      <c r="UR113" s="38"/>
      <c r="US113" s="38"/>
      <c r="UT113" s="38"/>
      <c r="UU113" s="38"/>
      <c r="UV113" s="38"/>
      <c r="UW113" s="38"/>
      <c r="UX113" s="38"/>
      <c r="UY113" s="38"/>
      <c r="UZ113" s="38"/>
      <c r="VA113" s="38"/>
      <c r="VB113" s="38"/>
      <c r="VC113" s="38"/>
      <c r="VD113" s="38"/>
      <c r="VE113" s="38"/>
      <c r="VF113" s="38"/>
      <c r="VG113" s="38"/>
      <c r="VH113" s="38"/>
      <c r="VI113" s="38"/>
      <c r="VJ113" s="38"/>
      <c r="VK113" s="38"/>
      <c r="VL113" s="38"/>
      <c r="VM113" s="38"/>
      <c r="VN113" s="38"/>
      <c r="VO113" s="38"/>
      <c r="VP113" s="38"/>
      <c r="VQ113" s="38"/>
      <c r="VR113" s="38"/>
      <c r="VS113" s="38"/>
      <c r="VT113" s="38"/>
      <c r="VU113" s="38"/>
      <c r="VV113" s="38"/>
      <c r="VW113" s="38"/>
      <c r="VX113" s="38"/>
      <c r="VY113" s="38"/>
      <c r="VZ113" s="38"/>
      <c r="WA113" s="38"/>
      <c r="WB113" s="38"/>
      <c r="WC113" s="38"/>
      <c r="WD113" s="38"/>
      <c r="WE113" s="38"/>
      <c r="WF113" s="38"/>
      <c r="WG113" s="38"/>
      <c r="WH113" s="38"/>
      <c r="WI113" s="38"/>
      <c r="WJ113" s="38"/>
      <c r="WK113" s="38"/>
      <c r="WL113" s="38"/>
      <c r="WM113" s="38"/>
      <c r="WN113" s="38"/>
      <c r="WO113" s="38"/>
      <c r="WP113" s="38"/>
      <c r="WQ113" s="38"/>
      <c r="WR113" s="38"/>
      <c r="WS113" s="38"/>
      <c r="WT113" s="38"/>
      <c r="WU113" s="38"/>
      <c r="WV113" s="38"/>
      <c r="WW113" s="38"/>
      <c r="WX113" s="38"/>
      <c r="WY113" s="38"/>
      <c r="WZ113" s="38"/>
      <c r="XA113" s="38"/>
      <c r="XB113" s="38"/>
      <c r="XC113" s="38"/>
      <c r="XD113" s="38"/>
      <c r="XE113" s="38"/>
      <c r="XF113" s="38"/>
      <c r="XG113" s="38"/>
      <c r="XH113" s="38"/>
      <c r="XI113" s="38"/>
      <c r="XJ113" s="38"/>
      <c r="XK113" s="38"/>
      <c r="XL113" s="38"/>
      <c r="XM113" s="38"/>
      <c r="XN113" s="38"/>
      <c r="XO113" s="38"/>
      <c r="XP113" s="38"/>
      <c r="XQ113" s="38"/>
      <c r="XR113" s="38"/>
      <c r="XS113" s="38"/>
      <c r="XT113" s="38"/>
      <c r="XU113" s="38"/>
      <c r="XV113" s="38"/>
      <c r="XW113" s="38"/>
      <c r="XX113" s="38"/>
      <c r="XY113" s="38"/>
      <c r="XZ113" s="38"/>
      <c r="YA113" s="38"/>
      <c r="YB113" s="38"/>
      <c r="YC113" s="38"/>
      <c r="YD113" s="38"/>
      <c r="YE113" s="38"/>
      <c r="YF113" s="38"/>
      <c r="YG113" s="38"/>
      <c r="YH113" s="38"/>
      <c r="YI113" s="38"/>
      <c r="YJ113" s="38"/>
      <c r="YK113" s="38"/>
      <c r="YL113" s="38"/>
      <c r="YM113" s="38"/>
      <c r="YN113" s="38"/>
      <c r="YO113" s="38"/>
      <c r="YP113" s="38"/>
      <c r="YQ113" s="38"/>
      <c r="YR113" s="38"/>
      <c r="YS113" s="38"/>
      <c r="YT113" s="38"/>
      <c r="YU113" s="38"/>
      <c r="YV113" s="38"/>
      <c r="YW113" s="38"/>
      <c r="YX113" s="38"/>
      <c r="YY113" s="38"/>
      <c r="YZ113" s="38"/>
      <c r="ZA113" s="38"/>
      <c r="ZB113" s="38"/>
      <c r="ZC113" s="38"/>
      <c r="ZD113" s="38"/>
      <c r="ZE113" s="38"/>
      <c r="ZF113" s="38"/>
      <c r="ZG113" s="38"/>
      <c r="ZH113" s="38"/>
      <c r="ZI113" s="38"/>
      <c r="ZJ113" s="38"/>
      <c r="ZK113" s="38"/>
      <c r="ZL113" s="38"/>
      <c r="ZM113" s="38"/>
      <c r="ZN113" s="38"/>
      <c r="ZO113" s="38"/>
      <c r="ZP113" s="38"/>
      <c r="ZQ113" s="38"/>
      <c r="ZR113" s="38"/>
      <c r="ZS113" s="38"/>
      <c r="ZT113" s="38"/>
      <c r="ZU113" s="38"/>
      <c r="ZV113" s="38"/>
      <c r="ZW113" s="38"/>
      <c r="ZX113" s="38"/>
      <c r="ZY113" s="38"/>
      <c r="ZZ113" s="38"/>
      <c r="AAA113" s="38"/>
      <c r="AAB113" s="38"/>
      <c r="AAC113" s="38"/>
      <c r="AAD113" s="38"/>
      <c r="AAE113" s="38"/>
      <c r="AAF113" s="38"/>
      <c r="AAG113" s="38"/>
      <c r="AAH113" s="38"/>
      <c r="AAI113" s="38"/>
      <c r="AAJ113" s="38"/>
      <c r="AAK113" s="38"/>
      <c r="AAL113" s="38"/>
      <c r="AAM113" s="38"/>
      <c r="AAN113" s="38"/>
      <c r="AAO113" s="38"/>
      <c r="AAP113" s="38"/>
      <c r="AAQ113" s="38"/>
      <c r="AAR113" s="38"/>
      <c r="AAS113" s="38"/>
      <c r="AAT113" s="38"/>
      <c r="AAU113" s="38"/>
      <c r="AAV113" s="38"/>
      <c r="AAW113" s="38"/>
      <c r="AAX113" s="38"/>
      <c r="AAY113" s="38"/>
      <c r="AAZ113" s="38"/>
      <c r="ABA113" s="38"/>
      <c r="ABB113" s="38"/>
      <c r="ABC113" s="38"/>
      <c r="ABD113" s="38"/>
      <c r="ABE113" s="38"/>
      <c r="ABF113" s="38"/>
      <c r="ABG113" s="38"/>
      <c r="ABH113" s="38"/>
      <c r="ABI113" s="38"/>
      <c r="ABJ113" s="38"/>
      <c r="ABK113" s="38"/>
      <c r="ABL113" s="38"/>
      <c r="ABM113" s="38"/>
      <c r="ABN113" s="38"/>
      <c r="ABO113" s="38"/>
      <c r="ABP113" s="38"/>
      <c r="ABQ113" s="38"/>
      <c r="ABR113" s="38"/>
      <c r="ABS113" s="38"/>
      <c r="ABT113" s="38"/>
      <c r="ABU113" s="38"/>
      <c r="ABV113" s="38"/>
      <c r="ABW113" s="38"/>
      <c r="ABX113" s="38"/>
      <c r="ABY113" s="38"/>
      <c r="ABZ113" s="38"/>
      <c r="ACA113" s="38"/>
      <c r="ACB113" s="38"/>
      <c r="ACC113" s="38"/>
      <c r="ACD113" s="38"/>
      <c r="ACE113" s="38"/>
      <c r="ACF113" s="38"/>
      <c r="ACG113" s="38"/>
      <c r="ACH113" s="38"/>
      <c r="ACI113" s="38"/>
      <c r="ACJ113" s="38"/>
      <c r="ACK113" s="38"/>
      <c r="ACL113" s="38"/>
      <c r="ACM113" s="38"/>
      <c r="ACN113" s="38"/>
      <c r="ACO113" s="38"/>
      <c r="ACP113" s="38"/>
      <c r="ACQ113" s="38"/>
      <c r="ACR113" s="38"/>
      <c r="ACS113" s="38"/>
      <c r="ACT113" s="38"/>
      <c r="ACU113" s="38"/>
      <c r="ACV113" s="38"/>
      <c r="ACW113" s="38"/>
      <c r="ACX113" s="38"/>
      <c r="ACY113" s="38"/>
      <c r="ACZ113" s="38"/>
      <c r="ADA113" s="38"/>
      <c r="ADB113" s="38"/>
      <c r="ADC113" s="38"/>
      <c r="ADD113" s="38"/>
      <c r="ADE113" s="38"/>
      <c r="ADF113" s="38"/>
      <c r="ADG113" s="38"/>
      <c r="ADH113" s="38"/>
      <c r="ADI113" s="38"/>
      <c r="ADJ113" s="38"/>
      <c r="ADK113" s="38"/>
      <c r="ADL113" s="38"/>
      <c r="ADM113" s="38"/>
      <c r="ADN113" s="38"/>
      <c r="ADO113" s="38"/>
      <c r="ADP113" s="38"/>
      <c r="ADQ113" s="38"/>
      <c r="ADR113" s="38"/>
      <c r="ADS113" s="38"/>
      <c r="ADT113" s="38"/>
      <c r="ADU113" s="38"/>
      <c r="ADV113" s="38"/>
      <c r="ADW113" s="38"/>
      <c r="ADX113" s="38"/>
      <c r="ADY113" s="38"/>
      <c r="ADZ113" s="38"/>
      <c r="AEA113" s="38"/>
      <c r="AEB113" s="38"/>
      <c r="AEC113" s="38"/>
      <c r="AED113" s="38"/>
      <c r="AEE113" s="38"/>
      <c r="AEF113" s="38"/>
      <c r="AEG113" s="38"/>
      <c r="AEH113" s="38"/>
      <c r="AEI113" s="38"/>
      <c r="AEJ113" s="38"/>
      <c r="AEK113" s="38"/>
      <c r="AEL113" s="38"/>
      <c r="AEM113" s="38"/>
      <c r="AEN113" s="38"/>
      <c r="AEO113" s="38"/>
      <c r="AEP113" s="38"/>
      <c r="AEQ113" s="38"/>
      <c r="AER113" s="38"/>
      <c r="AES113" s="38"/>
      <c r="AET113" s="38"/>
      <c r="AEU113" s="38"/>
      <c r="AEV113" s="38"/>
      <c r="AEW113" s="38"/>
      <c r="AEX113" s="38"/>
      <c r="AEY113" s="38"/>
      <c r="AEZ113" s="38"/>
      <c r="AFA113" s="38"/>
      <c r="AFB113" s="38"/>
      <c r="AFC113" s="38"/>
      <c r="AFD113" s="38"/>
      <c r="AFE113" s="38"/>
      <c r="AFF113" s="38"/>
      <c r="AFG113" s="38"/>
      <c r="AFH113" s="38"/>
      <c r="AFI113" s="38"/>
      <c r="AFJ113" s="38"/>
      <c r="AFK113" s="38"/>
      <c r="AFL113" s="38"/>
      <c r="AFM113" s="38"/>
      <c r="AFN113" s="38"/>
      <c r="AFO113" s="38"/>
      <c r="AFP113" s="38"/>
      <c r="AFQ113" s="38"/>
      <c r="AFR113" s="38"/>
      <c r="AFS113" s="38"/>
      <c r="AFT113" s="38"/>
      <c r="AFU113" s="38"/>
      <c r="AFV113" s="38"/>
      <c r="AFW113" s="38"/>
      <c r="AFX113" s="38"/>
      <c r="AFY113" s="38"/>
      <c r="AFZ113" s="38"/>
      <c r="AGA113" s="38"/>
      <c r="AGB113" s="38"/>
      <c r="AGC113" s="38"/>
      <c r="AGD113" s="38"/>
      <c r="AGE113" s="38"/>
      <c r="AGF113" s="38"/>
      <c r="AGG113" s="38"/>
      <c r="AGH113" s="38"/>
      <c r="AGI113" s="38"/>
      <c r="AGJ113" s="38"/>
      <c r="AGK113" s="38"/>
      <c r="AGL113" s="38"/>
      <c r="AGM113" s="38"/>
      <c r="AGN113" s="38"/>
      <c r="AGO113" s="38"/>
      <c r="AGP113" s="38"/>
      <c r="AGQ113" s="38"/>
      <c r="AGR113" s="38"/>
      <c r="AGS113" s="38"/>
      <c r="AGT113" s="38"/>
      <c r="AGU113" s="38"/>
      <c r="AGV113" s="38"/>
      <c r="AGW113" s="38"/>
      <c r="AGX113" s="38"/>
      <c r="AGY113" s="38"/>
      <c r="AGZ113" s="38"/>
      <c r="AHA113" s="38"/>
      <c r="AHB113" s="38"/>
      <c r="AHC113" s="38"/>
      <c r="AHD113" s="38"/>
      <c r="AHE113" s="38"/>
      <c r="AHF113" s="38"/>
      <c r="AHG113" s="38"/>
      <c r="AHH113" s="38"/>
      <c r="AHI113" s="38"/>
      <c r="AHJ113" s="38"/>
      <c r="AHK113" s="38"/>
      <c r="AHL113" s="38"/>
      <c r="AHM113" s="38"/>
      <c r="AHN113" s="38"/>
      <c r="AHO113" s="38"/>
      <c r="AHP113" s="38"/>
      <c r="AHQ113" s="38"/>
      <c r="AHR113" s="38"/>
      <c r="AHS113" s="38"/>
      <c r="AHT113" s="38"/>
      <c r="AHU113" s="38"/>
      <c r="AHV113" s="38"/>
    </row>
    <row r="114" spans="1:906" s="27" customFormat="1" x14ac:dyDescent="0.35">
      <c r="A114" s="83">
        <v>109</v>
      </c>
      <c r="B114" s="108" t="s">
        <v>193</v>
      </c>
      <c r="C114" s="109" t="s">
        <v>182</v>
      </c>
      <c r="D114" s="109" t="s">
        <v>125</v>
      </c>
      <c r="E114" s="125">
        <v>22.95</v>
      </c>
      <c r="F114" s="125">
        <v>16.95</v>
      </c>
      <c r="G114" s="125">
        <v>16.5</v>
      </c>
      <c r="H114" s="125">
        <v>18.75</v>
      </c>
      <c r="I114" s="37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  <c r="SC114" s="38"/>
      <c r="SD114" s="38"/>
      <c r="SE114" s="38"/>
      <c r="SF114" s="38"/>
      <c r="SG114" s="38"/>
      <c r="SH114" s="38"/>
      <c r="SI114" s="38"/>
      <c r="SJ114" s="38"/>
      <c r="SK114" s="38"/>
      <c r="SL114" s="38"/>
      <c r="SM114" s="38"/>
      <c r="SN114" s="38"/>
      <c r="SO114" s="38"/>
      <c r="SP114" s="38"/>
      <c r="SQ114" s="38"/>
      <c r="SR114" s="38"/>
      <c r="SS114" s="38"/>
      <c r="ST114" s="38"/>
      <c r="SU114" s="38"/>
      <c r="SV114" s="38"/>
      <c r="SW114" s="38"/>
      <c r="SX114" s="38"/>
      <c r="SY114" s="38"/>
      <c r="SZ114" s="38"/>
      <c r="TA114" s="38"/>
      <c r="TB114" s="38"/>
      <c r="TC114" s="38"/>
      <c r="TD114" s="38"/>
      <c r="TE114" s="38"/>
      <c r="TF114" s="38"/>
      <c r="TG114" s="38"/>
      <c r="TH114" s="38"/>
      <c r="TI114" s="38"/>
      <c r="TJ114" s="38"/>
      <c r="TK114" s="38"/>
      <c r="TL114" s="38"/>
      <c r="TM114" s="38"/>
      <c r="TN114" s="38"/>
      <c r="TO114" s="38"/>
      <c r="TP114" s="38"/>
      <c r="TQ114" s="38"/>
      <c r="TR114" s="38"/>
      <c r="TS114" s="38"/>
      <c r="TT114" s="38"/>
      <c r="TU114" s="38"/>
      <c r="TV114" s="38"/>
      <c r="TW114" s="38"/>
      <c r="TX114" s="38"/>
      <c r="TY114" s="38"/>
      <c r="TZ114" s="38"/>
      <c r="UA114" s="38"/>
      <c r="UB114" s="38"/>
      <c r="UC114" s="38"/>
      <c r="UD114" s="38"/>
      <c r="UE114" s="38"/>
      <c r="UF114" s="38"/>
      <c r="UG114" s="38"/>
      <c r="UH114" s="38"/>
      <c r="UI114" s="38"/>
      <c r="UJ114" s="38"/>
      <c r="UK114" s="38"/>
      <c r="UL114" s="38"/>
      <c r="UM114" s="38"/>
      <c r="UN114" s="38"/>
      <c r="UO114" s="38"/>
      <c r="UP114" s="38"/>
      <c r="UQ114" s="38"/>
      <c r="UR114" s="38"/>
      <c r="US114" s="38"/>
      <c r="UT114" s="38"/>
      <c r="UU114" s="38"/>
      <c r="UV114" s="38"/>
      <c r="UW114" s="38"/>
      <c r="UX114" s="38"/>
      <c r="UY114" s="38"/>
      <c r="UZ114" s="38"/>
      <c r="VA114" s="38"/>
      <c r="VB114" s="38"/>
      <c r="VC114" s="38"/>
      <c r="VD114" s="38"/>
      <c r="VE114" s="38"/>
      <c r="VF114" s="38"/>
      <c r="VG114" s="38"/>
      <c r="VH114" s="38"/>
      <c r="VI114" s="38"/>
      <c r="VJ114" s="38"/>
      <c r="VK114" s="38"/>
      <c r="VL114" s="38"/>
      <c r="VM114" s="38"/>
      <c r="VN114" s="38"/>
      <c r="VO114" s="38"/>
      <c r="VP114" s="38"/>
      <c r="VQ114" s="38"/>
      <c r="VR114" s="38"/>
      <c r="VS114" s="38"/>
      <c r="VT114" s="38"/>
      <c r="VU114" s="38"/>
      <c r="VV114" s="38"/>
      <c r="VW114" s="38"/>
      <c r="VX114" s="38"/>
      <c r="VY114" s="38"/>
      <c r="VZ114" s="38"/>
      <c r="WA114" s="38"/>
      <c r="WB114" s="38"/>
      <c r="WC114" s="38"/>
      <c r="WD114" s="38"/>
      <c r="WE114" s="38"/>
      <c r="WF114" s="38"/>
      <c r="WG114" s="38"/>
      <c r="WH114" s="38"/>
      <c r="WI114" s="38"/>
      <c r="WJ114" s="38"/>
      <c r="WK114" s="38"/>
      <c r="WL114" s="38"/>
      <c r="WM114" s="38"/>
      <c r="WN114" s="38"/>
      <c r="WO114" s="38"/>
      <c r="WP114" s="38"/>
      <c r="WQ114" s="38"/>
      <c r="WR114" s="38"/>
      <c r="WS114" s="38"/>
      <c r="WT114" s="38"/>
      <c r="WU114" s="38"/>
      <c r="WV114" s="38"/>
      <c r="WW114" s="38"/>
      <c r="WX114" s="38"/>
      <c r="WY114" s="38"/>
      <c r="WZ114" s="38"/>
      <c r="XA114" s="38"/>
      <c r="XB114" s="38"/>
      <c r="XC114" s="38"/>
      <c r="XD114" s="38"/>
      <c r="XE114" s="38"/>
      <c r="XF114" s="38"/>
      <c r="XG114" s="38"/>
      <c r="XH114" s="38"/>
      <c r="XI114" s="38"/>
      <c r="XJ114" s="38"/>
      <c r="XK114" s="38"/>
      <c r="XL114" s="38"/>
      <c r="XM114" s="38"/>
      <c r="XN114" s="38"/>
      <c r="XO114" s="38"/>
      <c r="XP114" s="38"/>
      <c r="XQ114" s="38"/>
      <c r="XR114" s="38"/>
      <c r="XS114" s="38"/>
      <c r="XT114" s="38"/>
      <c r="XU114" s="38"/>
      <c r="XV114" s="38"/>
      <c r="XW114" s="38"/>
      <c r="XX114" s="38"/>
      <c r="XY114" s="38"/>
      <c r="XZ114" s="38"/>
      <c r="YA114" s="38"/>
      <c r="YB114" s="38"/>
      <c r="YC114" s="38"/>
      <c r="YD114" s="38"/>
      <c r="YE114" s="38"/>
      <c r="YF114" s="38"/>
      <c r="YG114" s="38"/>
      <c r="YH114" s="38"/>
      <c r="YI114" s="38"/>
      <c r="YJ114" s="38"/>
      <c r="YK114" s="38"/>
      <c r="YL114" s="38"/>
      <c r="YM114" s="38"/>
      <c r="YN114" s="38"/>
      <c r="YO114" s="38"/>
      <c r="YP114" s="38"/>
      <c r="YQ114" s="38"/>
      <c r="YR114" s="38"/>
      <c r="YS114" s="38"/>
      <c r="YT114" s="38"/>
      <c r="YU114" s="38"/>
      <c r="YV114" s="38"/>
      <c r="YW114" s="38"/>
      <c r="YX114" s="38"/>
      <c r="YY114" s="38"/>
      <c r="YZ114" s="38"/>
      <c r="ZA114" s="38"/>
      <c r="ZB114" s="38"/>
      <c r="ZC114" s="38"/>
      <c r="ZD114" s="38"/>
      <c r="ZE114" s="38"/>
      <c r="ZF114" s="38"/>
      <c r="ZG114" s="38"/>
      <c r="ZH114" s="38"/>
      <c r="ZI114" s="38"/>
      <c r="ZJ114" s="38"/>
      <c r="ZK114" s="38"/>
      <c r="ZL114" s="38"/>
      <c r="ZM114" s="38"/>
      <c r="ZN114" s="38"/>
      <c r="ZO114" s="38"/>
      <c r="ZP114" s="38"/>
      <c r="ZQ114" s="38"/>
      <c r="ZR114" s="38"/>
      <c r="ZS114" s="38"/>
      <c r="ZT114" s="38"/>
      <c r="ZU114" s="38"/>
      <c r="ZV114" s="38"/>
      <c r="ZW114" s="38"/>
      <c r="ZX114" s="38"/>
      <c r="ZY114" s="38"/>
      <c r="ZZ114" s="38"/>
      <c r="AAA114" s="38"/>
      <c r="AAB114" s="38"/>
      <c r="AAC114" s="38"/>
      <c r="AAD114" s="38"/>
      <c r="AAE114" s="38"/>
      <c r="AAF114" s="38"/>
      <c r="AAG114" s="38"/>
      <c r="AAH114" s="38"/>
      <c r="AAI114" s="38"/>
      <c r="AAJ114" s="38"/>
      <c r="AAK114" s="38"/>
      <c r="AAL114" s="38"/>
      <c r="AAM114" s="38"/>
      <c r="AAN114" s="38"/>
      <c r="AAO114" s="38"/>
      <c r="AAP114" s="38"/>
      <c r="AAQ114" s="38"/>
      <c r="AAR114" s="38"/>
      <c r="AAS114" s="38"/>
      <c r="AAT114" s="38"/>
      <c r="AAU114" s="38"/>
      <c r="AAV114" s="38"/>
      <c r="AAW114" s="38"/>
      <c r="AAX114" s="38"/>
      <c r="AAY114" s="38"/>
      <c r="AAZ114" s="38"/>
      <c r="ABA114" s="38"/>
      <c r="ABB114" s="38"/>
      <c r="ABC114" s="38"/>
      <c r="ABD114" s="38"/>
      <c r="ABE114" s="38"/>
      <c r="ABF114" s="38"/>
      <c r="ABG114" s="38"/>
      <c r="ABH114" s="38"/>
      <c r="ABI114" s="38"/>
      <c r="ABJ114" s="38"/>
      <c r="ABK114" s="38"/>
      <c r="ABL114" s="38"/>
      <c r="ABM114" s="38"/>
      <c r="ABN114" s="38"/>
      <c r="ABO114" s="38"/>
      <c r="ABP114" s="38"/>
      <c r="ABQ114" s="38"/>
      <c r="ABR114" s="38"/>
      <c r="ABS114" s="38"/>
      <c r="ABT114" s="38"/>
      <c r="ABU114" s="38"/>
      <c r="ABV114" s="38"/>
      <c r="ABW114" s="38"/>
      <c r="ABX114" s="38"/>
      <c r="ABY114" s="38"/>
      <c r="ABZ114" s="38"/>
      <c r="ACA114" s="38"/>
      <c r="ACB114" s="38"/>
      <c r="ACC114" s="38"/>
      <c r="ACD114" s="38"/>
      <c r="ACE114" s="38"/>
      <c r="ACF114" s="38"/>
      <c r="ACG114" s="38"/>
      <c r="ACH114" s="38"/>
      <c r="ACI114" s="38"/>
      <c r="ACJ114" s="38"/>
      <c r="ACK114" s="38"/>
      <c r="ACL114" s="38"/>
      <c r="ACM114" s="38"/>
      <c r="ACN114" s="38"/>
      <c r="ACO114" s="38"/>
      <c r="ACP114" s="38"/>
      <c r="ACQ114" s="38"/>
      <c r="ACR114" s="38"/>
      <c r="ACS114" s="38"/>
      <c r="ACT114" s="38"/>
      <c r="ACU114" s="38"/>
      <c r="ACV114" s="38"/>
      <c r="ACW114" s="38"/>
      <c r="ACX114" s="38"/>
      <c r="ACY114" s="38"/>
      <c r="ACZ114" s="38"/>
      <c r="ADA114" s="38"/>
      <c r="ADB114" s="38"/>
      <c r="ADC114" s="38"/>
      <c r="ADD114" s="38"/>
      <c r="ADE114" s="38"/>
      <c r="ADF114" s="38"/>
      <c r="ADG114" s="38"/>
      <c r="ADH114" s="38"/>
      <c r="ADI114" s="38"/>
      <c r="ADJ114" s="38"/>
      <c r="ADK114" s="38"/>
      <c r="ADL114" s="38"/>
      <c r="ADM114" s="38"/>
      <c r="ADN114" s="38"/>
      <c r="ADO114" s="38"/>
      <c r="ADP114" s="38"/>
      <c r="ADQ114" s="38"/>
      <c r="ADR114" s="38"/>
      <c r="ADS114" s="38"/>
      <c r="ADT114" s="38"/>
      <c r="ADU114" s="38"/>
      <c r="ADV114" s="38"/>
      <c r="ADW114" s="38"/>
      <c r="ADX114" s="38"/>
      <c r="ADY114" s="38"/>
      <c r="ADZ114" s="38"/>
      <c r="AEA114" s="38"/>
      <c r="AEB114" s="38"/>
      <c r="AEC114" s="38"/>
      <c r="AED114" s="38"/>
      <c r="AEE114" s="38"/>
      <c r="AEF114" s="38"/>
      <c r="AEG114" s="38"/>
      <c r="AEH114" s="38"/>
      <c r="AEI114" s="38"/>
      <c r="AEJ114" s="38"/>
      <c r="AEK114" s="38"/>
      <c r="AEL114" s="38"/>
      <c r="AEM114" s="38"/>
      <c r="AEN114" s="38"/>
      <c r="AEO114" s="38"/>
      <c r="AEP114" s="38"/>
      <c r="AEQ114" s="38"/>
      <c r="AER114" s="38"/>
      <c r="AES114" s="38"/>
      <c r="AET114" s="38"/>
      <c r="AEU114" s="38"/>
      <c r="AEV114" s="38"/>
      <c r="AEW114" s="38"/>
      <c r="AEX114" s="38"/>
      <c r="AEY114" s="38"/>
      <c r="AEZ114" s="38"/>
      <c r="AFA114" s="38"/>
      <c r="AFB114" s="38"/>
      <c r="AFC114" s="38"/>
      <c r="AFD114" s="38"/>
      <c r="AFE114" s="38"/>
      <c r="AFF114" s="38"/>
      <c r="AFG114" s="38"/>
      <c r="AFH114" s="38"/>
      <c r="AFI114" s="38"/>
      <c r="AFJ114" s="38"/>
      <c r="AFK114" s="38"/>
      <c r="AFL114" s="38"/>
      <c r="AFM114" s="38"/>
      <c r="AFN114" s="38"/>
      <c r="AFO114" s="38"/>
      <c r="AFP114" s="38"/>
      <c r="AFQ114" s="38"/>
      <c r="AFR114" s="38"/>
      <c r="AFS114" s="38"/>
      <c r="AFT114" s="38"/>
      <c r="AFU114" s="38"/>
      <c r="AFV114" s="38"/>
      <c r="AFW114" s="38"/>
      <c r="AFX114" s="38"/>
      <c r="AFY114" s="38"/>
      <c r="AFZ114" s="38"/>
      <c r="AGA114" s="38"/>
      <c r="AGB114" s="38"/>
      <c r="AGC114" s="38"/>
      <c r="AGD114" s="38"/>
      <c r="AGE114" s="38"/>
      <c r="AGF114" s="38"/>
      <c r="AGG114" s="38"/>
      <c r="AGH114" s="38"/>
      <c r="AGI114" s="38"/>
      <c r="AGJ114" s="38"/>
      <c r="AGK114" s="38"/>
      <c r="AGL114" s="38"/>
      <c r="AGM114" s="38"/>
      <c r="AGN114" s="38"/>
      <c r="AGO114" s="38"/>
      <c r="AGP114" s="38"/>
      <c r="AGQ114" s="38"/>
      <c r="AGR114" s="38"/>
      <c r="AGS114" s="38"/>
      <c r="AGT114" s="38"/>
      <c r="AGU114" s="38"/>
      <c r="AGV114" s="38"/>
      <c r="AGW114" s="38"/>
      <c r="AGX114" s="38"/>
      <c r="AGY114" s="38"/>
      <c r="AGZ114" s="38"/>
      <c r="AHA114" s="38"/>
      <c r="AHB114" s="38"/>
      <c r="AHC114" s="38"/>
      <c r="AHD114" s="38"/>
      <c r="AHE114" s="38"/>
      <c r="AHF114" s="38"/>
      <c r="AHG114" s="38"/>
      <c r="AHH114" s="38"/>
      <c r="AHI114" s="38"/>
      <c r="AHJ114" s="38"/>
      <c r="AHK114" s="38"/>
      <c r="AHL114" s="38"/>
      <c r="AHM114" s="38"/>
      <c r="AHN114" s="38"/>
      <c r="AHO114" s="38"/>
      <c r="AHP114" s="38"/>
      <c r="AHQ114" s="38"/>
      <c r="AHR114" s="38"/>
      <c r="AHS114" s="38"/>
      <c r="AHT114" s="38"/>
      <c r="AHU114" s="38"/>
      <c r="AHV114" s="38"/>
    </row>
    <row r="115" spans="1:906" s="27" customFormat="1" x14ac:dyDescent="0.35">
      <c r="A115" s="83">
        <v>110</v>
      </c>
      <c r="B115" s="108" t="s">
        <v>194</v>
      </c>
      <c r="C115" s="109" t="s">
        <v>195</v>
      </c>
      <c r="D115" s="109" t="s">
        <v>196</v>
      </c>
      <c r="E115" s="125"/>
      <c r="F115" s="142">
        <v>20.95</v>
      </c>
      <c r="G115" s="125"/>
      <c r="H115" s="125">
        <v>24</v>
      </c>
      <c r="I115" s="37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  <c r="SB115" s="38"/>
      <c r="SC115" s="38"/>
      <c r="SD115" s="38"/>
      <c r="SE115" s="38"/>
      <c r="SF115" s="38"/>
      <c r="SG115" s="38"/>
      <c r="SH115" s="38"/>
      <c r="SI115" s="38"/>
      <c r="SJ115" s="38"/>
      <c r="SK115" s="38"/>
      <c r="SL115" s="38"/>
      <c r="SM115" s="38"/>
      <c r="SN115" s="38"/>
      <c r="SO115" s="38"/>
      <c r="SP115" s="38"/>
      <c r="SQ115" s="38"/>
      <c r="SR115" s="38"/>
      <c r="SS115" s="38"/>
      <c r="ST115" s="38"/>
      <c r="SU115" s="38"/>
      <c r="SV115" s="38"/>
      <c r="SW115" s="38"/>
      <c r="SX115" s="38"/>
      <c r="SY115" s="38"/>
      <c r="SZ115" s="38"/>
      <c r="TA115" s="38"/>
      <c r="TB115" s="38"/>
      <c r="TC115" s="38"/>
      <c r="TD115" s="38"/>
      <c r="TE115" s="38"/>
      <c r="TF115" s="38"/>
      <c r="TG115" s="38"/>
      <c r="TH115" s="38"/>
      <c r="TI115" s="38"/>
      <c r="TJ115" s="38"/>
      <c r="TK115" s="38"/>
      <c r="TL115" s="38"/>
      <c r="TM115" s="38"/>
      <c r="TN115" s="38"/>
      <c r="TO115" s="38"/>
      <c r="TP115" s="38"/>
      <c r="TQ115" s="38"/>
      <c r="TR115" s="38"/>
      <c r="TS115" s="38"/>
      <c r="TT115" s="38"/>
      <c r="TU115" s="38"/>
      <c r="TV115" s="38"/>
      <c r="TW115" s="38"/>
      <c r="TX115" s="38"/>
      <c r="TY115" s="38"/>
      <c r="TZ115" s="38"/>
      <c r="UA115" s="38"/>
      <c r="UB115" s="38"/>
      <c r="UC115" s="38"/>
      <c r="UD115" s="38"/>
      <c r="UE115" s="38"/>
      <c r="UF115" s="38"/>
      <c r="UG115" s="38"/>
      <c r="UH115" s="38"/>
      <c r="UI115" s="38"/>
      <c r="UJ115" s="38"/>
      <c r="UK115" s="38"/>
      <c r="UL115" s="38"/>
      <c r="UM115" s="38"/>
      <c r="UN115" s="38"/>
      <c r="UO115" s="38"/>
      <c r="UP115" s="38"/>
      <c r="UQ115" s="38"/>
      <c r="UR115" s="38"/>
      <c r="US115" s="38"/>
      <c r="UT115" s="38"/>
      <c r="UU115" s="38"/>
      <c r="UV115" s="38"/>
      <c r="UW115" s="38"/>
      <c r="UX115" s="38"/>
      <c r="UY115" s="38"/>
      <c r="UZ115" s="38"/>
      <c r="VA115" s="38"/>
      <c r="VB115" s="38"/>
      <c r="VC115" s="38"/>
      <c r="VD115" s="38"/>
      <c r="VE115" s="38"/>
      <c r="VF115" s="38"/>
      <c r="VG115" s="38"/>
      <c r="VH115" s="38"/>
      <c r="VI115" s="38"/>
      <c r="VJ115" s="38"/>
      <c r="VK115" s="38"/>
      <c r="VL115" s="38"/>
      <c r="VM115" s="38"/>
      <c r="VN115" s="38"/>
      <c r="VO115" s="38"/>
      <c r="VP115" s="38"/>
      <c r="VQ115" s="38"/>
      <c r="VR115" s="38"/>
      <c r="VS115" s="38"/>
      <c r="VT115" s="38"/>
      <c r="VU115" s="38"/>
      <c r="VV115" s="38"/>
      <c r="VW115" s="38"/>
      <c r="VX115" s="38"/>
      <c r="VY115" s="38"/>
      <c r="VZ115" s="38"/>
      <c r="WA115" s="38"/>
      <c r="WB115" s="38"/>
      <c r="WC115" s="38"/>
      <c r="WD115" s="38"/>
      <c r="WE115" s="38"/>
      <c r="WF115" s="38"/>
      <c r="WG115" s="38"/>
      <c r="WH115" s="38"/>
      <c r="WI115" s="38"/>
      <c r="WJ115" s="38"/>
      <c r="WK115" s="38"/>
      <c r="WL115" s="38"/>
      <c r="WM115" s="38"/>
      <c r="WN115" s="38"/>
      <c r="WO115" s="38"/>
      <c r="WP115" s="38"/>
      <c r="WQ115" s="38"/>
      <c r="WR115" s="38"/>
      <c r="WS115" s="38"/>
      <c r="WT115" s="38"/>
      <c r="WU115" s="38"/>
      <c r="WV115" s="38"/>
      <c r="WW115" s="38"/>
      <c r="WX115" s="38"/>
      <c r="WY115" s="38"/>
      <c r="WZ115" s="38"/>
      <c r="XA115" s="38"/>
      <c r="XB115" s="38"/>
      <c r="XC115" s="38"/>
      <c r="XD115" s="38"/>
      <c r="XE115" s="38"/>
      <c r="XF115" s="38"/>
      <c r="XG115" s="38"/>
      <c r="XH115" s="38"/>
      <c r="XI115" s="38"/>
      <c r="XJ115" s="38"/>
      <c r="XK115" s="38"/>
      <c r="XL115" s="38"/>
      <c r="XM115" s="38"/>
      <c r="XN115" s="38"/>
      <c r="XO115" s="38"/>
      <c r="XP115" s="38"/>
      <c r="XQ115" s="38"/>
      <c r="XR115" s="38"/>
      <c r="XS115" s="38"/>
      <c r="XT115" s="38"/>
      <c r="XU115" s="38"/>
      <c r="XV115" s="38"/>
      <c r="XW115" s="38"/>
      <c r="XX115" s="38"/>
      <c r="XY115" s="38"/>
      <c r="XZ115" s="38"/>
      <c r="YA115" s="38"/>
      <c r="YB115" s="38"/>
      <c r="YC115" s="38"/>
      <c r="YD115" s="38"/>
      <c r="YE115" s="38"/>
      <c r="YF115" s="38"/>
      <c r="YG115" s="38"/>
      <c r="YH115" s="38"/>
      <c r="YI115" s="38"/>
      <c r="YJ115" s="38"/>
      <c r="YK115" s="38"/>
      <c r="YL115" s="38"/>
      <c r="YM115" s="38"/>
      <c r="YN115" s="38"/>
      <c r="YO115" s="38"/>
      <c r="YP115" s="38"/>
      <c r="YQ115" s="38"/>
      <c r="YR115" s="38"/>
      <c r="YS115" s="38"/>
      <c r="YT115" s="38"/>
      <c r="YU115" s="38"/>
      <c r="YV115" s="38"/>
      <c r="YW115" s="38"/>
      <c r="YX115" s="38"/>
      <c r="YY115" s="38"/>
      <c r="YZ115" s="38"/>
      <c r="ZA115" s="38"/>
      <c r="ZB115" s="38"/>
      <c r="ZC115" s="38"/>
      <c r="ZD115" s="38"/>
      <c r="ZE115" s="38"/>
      <c r="ZF115" s="38"/>
      <c r="ZG115" s="38"/>
      <c r="ZH115" s="38"/>
      <c r="ZI115" s="38"/>
      <c r="ZJ115" s="38"/>
      <c r="ZK115" s="38"/>
      <c r="ZL115" s="38"/>
      <c r="ZM115" s="38"/>
      <c r="ZN115" s="38"/>
      <c r="ZO115" s="38"/>
      <c r="ZP115" s="38"/>
      <c r="ZQ115" s="38"/>
      <c r="ZR115" s="38"/>
      <c r="ZS115" s="38"/>
      <c r="ZT115" s="38"/>
      <c r="ZU115" s="38"/>
      <c r="ZV115" s="38"/>
      <c r="ZW115" s="38"/>
      <c r="ZX115" s="38"/>
      <c r="ZY115" s="38"/>
      <c r="ZZ115" s="38"/>
      <c r="AAA115" s="38"/>
      <c r="AAB115" s="38"/>
      <c r="AAC115" s="38"/>
      <c r="AAD115" s="38"/>
      <c r="AAE115" s="38"/>
      <c r="AAF115" s="38"/>
      <c r="AAG115" s="38"/>
      <c r="AAH115" s="38"/>
      <c r="AAI115" s="38"/>
      <c r="AAJ115" s="38"/>
      <c r="AAK115" s="38"/>
      <c r="AAL115" s="38"/>
      <c r="AAM115" s="38"/>
      <c r="AAN115" s="38"/>
      <c r="AAO115" s="38"/>
      <c r="AAP115" s="38"/>
      <c r="AAQ115" s="38"/>
      <c r="AAR115" s="38"/>
      <c r="AAS115" s="38"/>
      <c r="AAT115" s="38"/>
      <c r="AAU115" s="38"/>
      <c r="AAV115" s="38"/>
      <c r="AAW115" s="38"/>
      <c r="AAX115" s="38"/>
      <c r="AAY115" s="38"/>
      <c r="AAZ115" s="38"/>
      <c r="ABA115" s="38"/>
      <c r="ABB115" s="38"/>
      <c r="ABC115" s="38"/>
      <c r="ABD115" s="38"/>
      <c r="ABE115" s="38"/>
      <c r="ABF115" s="38"/>
      <c r="ABG115" s="38"/>
      <c r="ABH115" s="38"/>
      <c r="ABI115" s="38"/>
      <c r="ABJ115" s="38"/>
      <c r="ABK115" s="38"/>
      <c r="ABL115" s="38"/>
      <c r="ABM115" s="38"/>
      <c r="ABN115" s="38"/>
      <c r="ABO115" s="38"/>
      <c r="ABP115" s="38"/>
      <c r="ABQ115" s="38"/>
      <c r="ABR115" s="38"/>
      <c r="ABS115" s="38"/>
      <c r="ABT115" s="38"/>
      <c r="ABU115" s="38"/>
      <c r="ABV115" s="38"/>
      <c r="ABW115" s="38"/>
      <c r="ABX115" s="38"/>
      <c r="ABY115" s="38"/>
      <c r="ABZ115" s="38"/>
      <c r="ACA115" s="38"/>
      <c r="ACB115" s="38"/>
      <c r="ACC115" s="38"/>
      <c r="ACD115" s="38"/>
      <c r="ACE115" s="38"/>
      <c r="ACF115" s="38"/>
      <c r="ACG115" s="38"/>
      <c r="ACH115" s="38"/>
      <c r="ACI115" s="38"/>
      <c r="ACJ115" s="38"/>
      <c r="ACK115" s="38"/>
      <c r="ACL115" s="38"/>
      <c r="ACM115" s="38"/>
      <c r="ACN115" s="38"/>
      <c r="ACO115" s="38"/>
      <c r="ACP115" s="38"/>
      <c r="ACQ115" s="38"/>
      <c r="ACR115" s="38"/>
      <c r="ACS115" s="38"/>
      <c r="ACT115" s="38"/>
      <c r="ACU115" s="38"/>
      <c r="ACV115" s="38"/>
      <c r="ACW115" s="38"/>
      <c r="ACX115" s="38"/>
      <c r="ACY115" s="38"/>
      <c r="ACZ115" s="38"/>
      <c r="ADA115" s="38"/>
      <c r="ADB115" s="38"/>
      <c r="ADC115" s="38"/>
      <c r="ADD115" s="38"/>
      <c r="ADE115" s="38"/>
      <c r="ADF115" s="38"/>
      <c r="ADG115" s="38"/>
      <c r="ADH115" s="38"/>
      <c r="ADI115" s="38"/>
      <c r="ADJ115" s="38"/>
      <c r="ADK115" s="38"/>
      <c r="ADL115" s="38"/>
      <c r="ADM115" s="38"/>
      <c r="ADN115" s="38"/>
      <c r="ADO115" s="38"/>
      <c r="ADP115" s="38"/>
      <c r="ADQ115" s="38"/>
      <c r="ADR115" s="38"/>
      <c r="ADS115" s="38"/>
      <c r="ADT115" s="38"/>
      <c r="ADU115" s="38"/>
      <c r="ADV115" s="38"/>
      <c r="ADW115" s="38"/>
      <c r="ADX115" s="38"/>
      <c r="ADY115" s="38"/>
      <c r="ADZ115" s="38"/>
      <c r="AEA115" s="38"/>
      <c r="AEB115" s="38"/>
      <c r="AEC115" s="38"/>
      <c r="AED115" s="38"/>
      <c r="AEE115" s="38"/>
      <c r="AEF115" s="38"/>
      <c r="AEG115" s="38"/>
      <c r="AEH115" s="38"/>
      <c r="AEI115" s="38"/>
      <c r="AEJ115" s="38"/>
      <c r="AEK115" s="38"/>
      <c r="AEL115" s="38"/>
      <c r="AEM115" s="38"/>
      <c r="AEN115" s="38"/>
      <c r="AEO115" s="38"/>
      <c r="AEP115" s="38"/>
      <c r="AEQ115" s="38"/>
      <c r="AER115" s="38"/>
      <c r="AES115" s="38"/>
      <c r="AET115" s="38"/>
      <c r="AEU115" s="38"/>
      <c r="AEV115" s="38"/>
      <c r="AEW115" s="38"/>
      <c r="AEX115" s="38"/>
      <c r="AEY115" s="38"/>
      <c r="AEZ115" s="38"/>
      <c r="AFA115" s="38"/>
      <c r="AFB115" s="38"/>
      <c r="AFC115" s="38"/>
      <c r="AFD115" s="38"/>
      <c r="AFE115" s="38"/>
      <c r="AFF115" s="38"/>
      <c r="AFG115" s="38"/>
      <c r="AFH115" s="38"/>
      <c r="AFI115" s="38"/>
      <c r="AFJ115" s="38"/>
      <c r="AFK115" s="38"/>
      <c r="AFL115" s="38"/>
      <c r="AFM115" s="38"/>
      <c r="AFN115" s="38"/>
      <c r="AFO115" s="38"/>
      <c r="AFP115" s="38"/>
      <c r="AFQ115" s="38"/>
      <c r="AFR115" s="38"/>
      <c r="AFS115" s="38"/>
      <c r="AFT115" s="38"/>
      <c r="AFU115" s="38"/>
      <c r="AFV115" s="38"/>
      <c r="AFW115" s="38"/>
      <c r="AFX115" s="38"/>
      <c r="AFY115" s="38"/>
      <c r="AFZ115" s="38"/>
      <c r="AGA115" s="38"/>
      <c r="AGB115" s="38"/>
      <c r="AGC115" s="38"/>
      <c r="AGD115" s="38"/>
      <c r="AGE115" s="38"/>
      <c r="AGF115" s="38"/>
      <c r="AGG115" s="38"/>
      <c r="AGH115" s="38"/>
      <c r="AGI115" s="38"/>
      <c r="AGJ115" s="38"/>
      <c r="AGK115" s="38"/>
      <c r="AGL115" s="38"/>
      <c r="AGM115" s="38"/>
      <c r="AGN115" s="38"/>
      <c r="AGO115" s="38"/>
      <c r="AGP115" s="38"/>
      <c r="AGQ115" s="38"/>
      <c r="AGR115" s="38"/>
      <c r="AGS115" s="38"/>
      <c r="AGT115" s="38"/>
      <c r="AGU115" s="38"/>
      <c r="AGV115" s="38"/>
      <c r="AGW115" s="38"/>
      <c r="AGX115" s="38"/>
      <c r="AGY115" s="38"/>
      <c r="AGZ115" s="38"/>
      <c r="AHA115" s="38"/>
      <c r="AHB115" s="38"/>
      <c r="AHC115" s="38"/>
      <c r="AHD115" s="38"/>
      <c r="AHE115" s="38"/>
      <c r="AHF115" s="38"/>
      <c r="AHG115" s="38"/>
      <c r="AHH115" s="38"/>
      <c r="AHI115" s="38"/>
      <c r="AHJ115" s="38"/>
      <c r="AHK115" s="38"/>
      <c r="AHL115" s="38"/>
      <c r="AHM115" s="38"/>
      <c r="AHN115" s="38"/>
      <c r="AHO115" s="38"/>
      <c r="AHP115" s="38"/>
      <c r="AHQ115" s="38"/>
      <c r="AHR115" s="38"/>
      <c r="AHS115" s="38"/>
      <c r="AHT115" s="38"/>
      <c r="AHU115" s="38"/>
      <c r="AHV115" s="38"/>
    </row>
    <row r="116" spans="1:906" s="27" customFormat="1" x14ac:dyDescent="0.35">
      <c r="A116" s="83">
        <v>111</v>
      </c>
      <c r="B116" s="108" t="s">
        <v>197</v>
      </c>
      <c r="C116" s="109" t="s">
        <v>68</v>
      </c>
      <c r="D116" s="109" t="s">
        <v>196</v>
      </c>
      <c r="E116" s="125">
        <v>27.99</v>
      </c>
      <c r="F116" s="125">
        <v>21.25</v>
      </c>
      <c r="G116" s="125">
        <v>24.95</v>
      </c>
      <c r="H116" s="125">
        <v>27</v>
      </c>
      <c r="I116" s="37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</row>
    <row r="117" spans="1:906" s="27" customFormat="1" x14ac:dyDescent="0.35">
      <c r="A117" s="83">
        <v>112</v>
      </c>
      <c r="B117" s="108" t="s">
        <v>197</v>
      </c>
      <c r="C117" s="109" t="s">
        <v>80</v>
      </c>
      <c r="D117" s="109" t="s">
        <v>198</v>
      </c>
      <c r="E117" s="125"/>
      <c r="F117" s="125"/>
      <c r="G117" s="125"/>
      <c r="H117" s="125"/>
      <c r="I117" s="37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  <c r="CP117" s="38"/>
      <c r="CQ117" s="38"/>
      <c r="CR117" s="38"/>
      <c r="CS117" s="38"/>
      <c r="CT117" s="38"/>
      <c r="CU117" s="38"/>
      <c r="CV117" s="38"/>
      <c r="CW117" s="38"/>
      <c r="CX117" s="38"/>
      <c r="CY117" s="38"/>
      <c r="CZ117" s="38"/>
      <c r="DA117" s="38"/>
      <c r="DB117" s="38"/>
      <c r="DC117" s="38"/>
      <c r="DD117" s="38"/>
      <c r="DE117" s="38"/>
      <c r="DF117" s="38"/>
      <c r="DG117" s="38"/>
      <c r="DH117" s="38"/>
      <c r="DI117" s="38"/>
      <c r="DJ117" s="38"/>
      <c r="DK117" s="38"/>
      <c r="DL117" s="38"/>
      <c r="DM117" s="38"/>
      <c r="DN117" s="38"/>
      <c r="DO117" s="38"/>
      <c r="DP117" s="38"/>
      <c r="DQ117" s="38"/>
      <c r="DR117" s="38"/>
      <c r="DS117" s="38"/>
      <c r="DT117" s="38"/>
      <c r="DU117" s="38"/>
      <c r="DV117" s="38"/>
      <c r="DW117" s="38"/>
      <c r="DX117" s="38"/>
      <c r="DY117" s="38"/>
      <c r="DZ117" s="38"/>
      <c r="EA117" s="38"/>
      <c r="EB117" s="38"/>
      <c r="EC117" s="38"/>
      <c r="ED117" s="38"/>
      <c r="EE117" s="38"/>
      <c r="EF117" s="38"/>
      <c r="EG117" s="38"/>
      <c r="EH117" s="38"/>
      <c r="EI117" s="38"/>
      <c r="EJ117" s="38"/>
      <c r="EK117" s="38"/>
      <c r="EL117" s="38"/>
      <c r="EM117" s="38"/>
      <c r="EN117" s="38"/>
      <c r="EO117" s="38"/>
      <c r="EP117" s="38"/>
      <c r="EQ117" s="38"/>
      <c r="ER117" s="38"/>
      <c r="ES117" s="38"/>
      <c r="ET117" s="38"/>
      <c r="EU117" s="38"/>
      <c r="EV117" s="38"/>
      <c r="EW117" s="38"/>
      <c r="EX117" s="38"/>
      <c r="EY117" s="38"/>
      <c r="EZ117" s="38"/>
      <c r="FA117" s="38"/>
      <c r="FB117" s="38"/>
      <c r="FC117" s="38"/>
      <c r="FD117" s="38"/>
      <c r="FE117" s="38"/>
      <c r="FF117" s="38"/>
      <c r="FG117" s="38"/>
      <c r="FH117" s="38"/>
      <c r="FI117" s="38"/>
      <c r="FJ117" s="38"/>
      <c r="FK117" s="38"/>
      <c r="FL117" s="38"/>
      <c r="FM117" s="38"/>
      <c r="FN117" s="38"/>
      <c r="FO117" s="38"/>
      <c r="FP117" s="38"/>
      <c r="FQ117" s="38"/>
      <c r="FR117" s="38"/>
      <c r="FS117" s="38"/>
      <c r="FT117" s="38"/>
      <c r="FU117" s="38"/>
      <c r="FV117" s="38"/>
      <c r="FW117" s="38"/>
      <c r="FX117" s="38"/>
      <c r="FY117" s="38"/>
      <c r="FZ117" s="38"/>
      <c r="GA117" s="38"/>
      <c r="GB117" s="38"/>
      <c r="GC117" s="38"/>
      <c r="GD117" s="38"/>
      <c r="GE117" s="38"/>
      <c r="GF117" s="38"/>
      <c r="GG117" s="38"/>
      <c r="GH117" s="38"/>
      <c r="GI117" s="38"/>
      <c r="GJ117" s="38"/>
      <c r="GK117" s="38"/>
      <c r="GL117" s="38"/>
      <c r="GM117" s="38"/>
      <c r="GN117" s="38"/>
      <c r="GO117" s="38"/>
      <c r="GP117" s="38"/>
      <c r="GQ117" s="38"/>
      <c r="GR117" s="38"/>
      <c r="GS117" s="38"/>
      <c r="GT117" s="38"/>
      <c r="GU117" s="38"/>
      <c r="GV117" s="38"/>
      <c r="GW117" s="38"/>
      <c r="GX117" s="38"/>
      <c r="GY117" s="38"/>
      <c r="GZ117" s="38"/>
      <c r="HA117" s="38"/>
      <c r="HB117" s="38"/>
      <c r="HC117" s="38"/>
      <c r="HD117" s="38"/>
      <c r="HE117" s="38"/>
      <c r="HF117" s="38"/>
      <c r="HG117" s="38"/>
      <c r="HH117" s="38"/>
      <c r="HI117" s="38"/>
      <c r="HJ117" s="38"/>
      <c r="HK117" s="38"/>
      <c r="HL117" s="38"/>
      <c r="HM117" s="38"/>
      <c r="HN117" s="38"/>
      <c r="HO117" s="38"/>
      <c r="HP117" s="38"/>
      <c r="HQ117" s="38"/>
      <c r="HR117" s="38"/>
      <c r="HS117" s="38"/>
      <c r="HT117" s="38"/>
      <c r="HU117" s="38"/>
      <c r="HV117" s="38"/>
      <c r="HW117" s="38"/>
      <c r="HX117" s="38"/>
      <c r="HY117" s="38"/>
      <c r="HZ117" s="38"/>
      <c r="IA117" s="38"/>
      <c r="IB117" s="38"/>
      <c r="IC117" s="38"/>
      <c r="ID117" s="38"/>
      <c r="IE117" s="38"/>
      <c r="IF117" s="38"/>
      <c r="IG117" s="38"/>
      <c r="IH117" s="38"/>
      <c r="II117" s="38"/>
      <c r="IJ117" s="38"/>
      <c r="IK117" s="38"/>
      <c r="IL117" s="38"/>
      <c r="IM117" s="38"/>
      <c r="IN117" s="38"/>
      <c r="IO117" s="38"/>
      <c r="IP117" s="38"/>
      <c r="IQ117" s="38"/>
      <c r="IR117" s="38"/>
      <c r="IS117" s="38"/>
      <c r="IT117" s="38"/>
      <c r="IU117" s="38"/>
      <c r="IV117" s="38"/>
      <c r="IW117" s="38"/>
      <c r="IX117" s="38"/>
      <c r="IY117" s="38"/>
      <c r="IZ117" s="38"/>
      <c r="JA117" s="38"/>
      <c r="JB117" s="38"/>
      <c r="JC117" s="38"/>
      <c r="JD117" s="38"/>
      <c r="JE117" s="38"/>
      <c r="JF117" s="38"/>
      <c r="JG117" s="38"/>
      <c r="JH117" s="38"/>
      <c r="JI117" s="38"/>
      <c r="JJ117" s="38"/>
      <c r="JK117" s="38"/>
      <c r="JL117" s="38"/>
      <c r="JM117" s="38"/>
      <c r="JN117" s="38"/>
      <c r="JO117" s="38"/>
      <c r="JP117" s="38"/>
      <c r="JQ117" s="38"/>
      <c r="JR117" s="38"/>
      <c r="JS117" s="38"/>
      <c r="JT117" s="38"/>
      <c r="JU117" s="38"/>
      <c r="JV117" s="38"/>
      <c r="JW117" s="38"/>
      <c r="JX117" s="38"/>
      <c r="JY117" s="38"/>
      <c r="JZ117" s="38"/>
      <c r="KA117" s="38"/>
      <c r="KB117" s="38"/>
      <c r="KC117" s="38"/>
      <c r="KD117" s="38"/>
      <c r="KE117" s="38"/>
      <c r="KF117" s="38"/>
      <c r="KG117" s="38"/>
      <c r="KH117" s="38"/>
      <c r="KI117" s="38"/>
      <c r="KJ117" s="38"/>
      <c r="KK117" s="38"/>
      <c r="KL117" s="38"/>
      <c r="KM117" s="38"/>
      <c r="KN117" s="38"/>
      <c r="KO117" s="38"/>
      <c r="KP117" s="38"/>
      <c r="KQ117" s="38"/>
      <c r="KR117" s="38"/>
      <c r="KS117" s="38"/>
      <c r="KT117" s="38"/>
      <c r="KU117" s="38"/>
      <c r="KV117" s="38"/>
      <c r="KW117" s="38"/>
      <c r="KX117" s="38"/>
      <c r="KY117" s="38"/>
      <c r="KZ117" s="38"/>
      <c r="LA117" s="38"/>
      <c r="LB117" s="38"/>
      <c r="LC117" s="38"/>
      <c r="LD117" s="38"/>
      <c r="LE117" s="38"/>
      <c r="LF117" s="38"/>
      <c r="LG117" s="38"/>
      <c r="LH117" s="38"/>
      <c r="LI117" s="38"/>
      <c r="LJ117" s="38"/>
      <c r="LK117" s="38"/>
      <c r="LL117" s="38"/>
      <c r="LM117" s="38"/>
      <c r="LN117" s="38"/>
      <c r="LO117" s="38"/>
      <c r="LP117" s="38"/>
      <c r="LQ117" s="38"/>
      <c r="LR117" s="38"/>
      <c r="LS117" s="38"/>
      <c r="LT117" s="38"/>
      <c r="LU117" s="38"/>
      <c r="LV117" s="38"/>
      <c r="LW117" s="38"/>
      <c r="LX117" s="38"/>
      <c r="LY117" s="38"/>
      <c r="LZ117" s="38"/>
      <c r="MA117" s="38"/>
      <c r="MB117" s="38"/>
      <c r="MC117" s="38"/>
      <c r="MD117" s="38"/>
      <c r="ME117" s="38"/>
      <c r="MF117" s="38"/>
      <c r="MG117" s="38"/>
      <c r="MH117" s="38"/>
      <c r="MI117" s="38"/>
      <c r="MJ117" s="38"/>
      <c r="MK117" s="38"/>
      <c r="ML117" s="38"/>
      <c r="MM117" s="38"/>
      <c r="MN117" s="38"/>
      <c r="MO117" s="38"/>
      <c r="MP117" s="38"/>
      <c r="MQ117" s="38"/>
      <c r="MR117" s="38"/>
      <c r="MS117" s="38"/>
      <c r="MT117" s="38"/>
      <c r="MU117" s="38"/>
      <c r="MV117" s="38"/>
      <c r="MW117" s="38"/>
      <c r="MX117" s="38"/>
      <c r="MY117" s="38"/>
      <c r="MZ117" s="38"/>
      <c r="NA117" s="38"/>
      <c r="NB117" s="38"/>
      <c r="NC117" s="38"/>
      <c r="ND117" s="38"/>
      <c r="NE117" s="38"/>
      <c r="NF117" s="38"/>
      <c r="NG117" s="38"/>
      <c r="NH117" s="38"/>
      <c r="NI117" s="38"/>
      <c r="NJ117" s="38"/>
      <c r="NK117" s="38"/>
      <c r="NL117" s="38"/>
      <c r="NM117" s="38"/>
      <c r="NN117" s="38"/>
      <c r="NO117" s="38"/>
      <c r="NP117" s="38"/>
      <c r="NQ117" s="38"/>
      <c r="NR117" s="38"/>
      <c r="NS117" s="38"/>
      <c r="NT117" s="38"/>
      <c r="NU117" s="38"/>
      <c r="NV117" s="38"/>
      <c r="NW117" s="38"/>
      <c r="NX117" s="38"/>
      <c r="NY117" s="38"/>
      <c r="NZ117" s="38"/>
      <c r="OA117" s="38"/>
      <c r="OB117" s="38"/>
      <c r="OC117" s="38"/>
      <c r="OD117" s="38"/>
      <c r="OE117" s="38"/>
      <c r="OF117" s="38"/>
      <c r="OG117" s="38"/>
      <c r="OH117" s="38"/>
      <c r="OI117" s="38"/>
      <c r="OJ117" s="38"/>
      <c r="OK117" s="38"/>
      <c r="OL117" s="38"/>
      <c r="OM117" s="38"/>
      <c r="ON117" s="38"/>
      <c r="OO117" s="38"/>
      <c r="OP117" s="38"/>
      <c r="OQ117" s="38"/>
      <c r="OR117" s="38"/>
      <c r="OS117" s="38"/>
      <c r="OT117" s="38"/>
      <c r="OU117" s="38"/>
      <c r="OV117" s="38"/>
      <c r="OW117" s="38"/>
      <c r="OX117" s="38"/>
      <c r="OY117" s="38"/>
      <c r="OZ117" s="38"/>
      <c r="PA117" s="38"/>
      <c r="PB117" s="38"/>
      <c r="PC117" s="38"/>
      <c r="PD117" s="38"/>
      <c r="PE117" s="38"/>
      <c r="PF117" s="38"/>
      <c r="PG117" s="38"/>
      <c r="PH117" s="38"/>
      <c r="PI117" s="38"/>
      <c r="PJ117" s="38"/>
      <c r="PK117" s="38"/>
      <c r="PL117" s="38"/>
      <c r="PM117" s="38"/>
      <c r="PN117" s="38"/>
      <c r="PO117" s="38"/>
      <c r="PP117" s="38"/>
      <c r="PQ117" s="38"/>
      <c r="PR117" s="38"/>
      <c r="PS117" s="38"/>
      <c r="PT117" s="38"/>
      <c r="PU117" s="38"/>
      <c r="PV117" s="38"/>
      <c r="PW117" s="38"/>
      <c r="PX117" s="38"/>
      <c r="PY117" s="38"/>
      <c r="PZ117" s="38"/>
      <c r="QA117" s="38"/>
      <c r="QB117" s="38"/>
      <c r="QC117" s="38"/>
      <c r="QD117" s="38"/>
      <c r="QE117" s="38"/>
      <c r="QF117" s="38"/>
      <c r="QG117" s="38"/>
      <c r="QH117" s="38"/>
      <c r="QI117" s="38"/>
      <c r="QJ117" s="38"/>
      <c r="QK117" s="38"/>
      <c r="QL117" s="38"/>
      <c r="QM117" s="38"/>
      <c r="QN117" s="38"/>
      <c r="QO117" s="38"/>
      <c r="QP117" s="38"/>
      <c r="QQ117" s="38"/>
      <c r="QR117" s="38"/>
      <c r="QS117" s="38"/>
      <c r="QT117" s="38"/>
      <c r="QU117" s="38"/>
      <c r="QV117" s="38"/>
      <c r="QW117" s="38"/>
      <c r="QX117" s="38"/>
      <c r="QY117" s="38"/>
      <c r="QZ117" s="38"/>
      <c r="RA117" s="38"/>
      <c r="RB117" s="38"/>
      <c r="RC117" s="38"/>
      <c r="RD117" s="38"/>
      <c r="RE117" s="38"/>
      <c r="RF117" s="38"/>
      <c r="RG117" s="38"/>
      <c r="RH117" s="38"/>
      <c r="RI117" s="38"/>
      <c r="RJ117" s="38"/>
      <c r="RK117" s="38"/>
      <c r="RL117" s="38"/>
      <c r="RM117" s="38"/>
      <c r="RN117" s="38"/>
      <c r="RO117" s="38"/>
      <c r="RP117" s="38"/>
      <c r="RQ117" s="38"/>
      <c r="RR117" s="38"/>
      <c r="RS117" s="38"/>
      <c r="RT117" s="38"/>
      <c r="RU117" s="38"/>
      <c r="RV117" s="38"/>
      <c r="RW117" s="38"/>
      <c r="RX117" s="38"/>
      <c r="RY117" s="38"/>
      <c r="RZ117" s="38"/>
      <c r="SA117" s="38"/>
      <c r="SB117" s="38"/>
      <c r="SC117" s="38"/>
      <c r="SD117" s="38"/>
      <c r="SE117" s="38"/>
      <c r="SF117" s="38"/>
      <c r="SG117" s="38"/>
      <c r="SH117" s="38"/>
      <c r="SI117" s="38"/>
      <c r="SJ117" s="38"/>
      <c r="SK117" s="38"/>
      <c r="SL117" s="38"/>
      <c r="SM117" s="38"/>
      <c r="SN117" s="38"/>
      <c r="SO117" s="38"/>
      <c r="SP117" s="38"/>
      <c r="SQ117" s="38"/>
      <c r="SR117" s="38"/>
      <c r="SS117" s="38"/>
      <c r="ST117" s="38"/>
      <c r="SU117" s="38"/>
      <c r="SV117" s="38"/>
      <c r="SW117" s="38"/>
      <c r="SX117" s="38"/>
      <c r="SY117" s="38"/>
      <c r="SZ117" s="38"/>
      <c r="TA117" s="38"/>
      <c r="TB117" s="38"/>
      <c r="TC117" s="38"/>
      <c r="TD117" s="38"/>
      <c r="TE117" s="38"/>
      <c r="TF117" s="38"/>
      <c r="TG117" s="38"/>
      <c r="TH117" s="38"/>
      <c r="TI117" s="38"/>
      <c r="TJ117" s="38"/>
      <c r="TK117" s="38"/>
      <c r="TL117" s="38"/>
      <c r="TM117" s="38"/>
      <c r="TN117" s="38"/>
      <c r="TO117" s="38"/>
      <c r="TP117" s="38"/>
      <c r="TQ117" s="38"/>
      <c r="TR117" s="38"/>
      <c r="TS117" s="38"/>
      <c r="TT117" s="38"/>
      <c r="TU117" s="38"/>
      <c r="TV117" s="38"/>
      <c r="TW117" s="38"/>
      <c r="TX117" s="38"/>
      <c r="TY117" s="38"/>
      <c r="TZ117" s="38"/>
      <c r="UA117" s="38"/>
      <c r="UB117" s="38"/>
      <c r="UC117" s="38"/>
      <c r="UD117" s="38"/>
      <c r="UE117" s="38"/>
      <c r="UF117" s="38"/>
      <c r="UG117" s="38"/>
      <c r="UH117" s="38"/>
      <c r="UI117" s="38"/>
      <c r="UJ117" s="38"/>
      <c r="UK117" s="38"/>
      <c r="UL117" s="38"/>
      <c r="UM117" s="38"/>
      <c r="UN117" s="38"/>
      <c r="UO117" s="38"/>
      <c r="UP117" s="38"/>
      <c r="UQ117" s="38"/>
      <c r="UR117" s="38"/>
      <c r="US117" s="38"/>
      <c r="UT117" s="38"/>
      <c r="UU117" s="38"/>
      <c r="UV117" s="38"/>
      <c r="UW117" s="38"/>
      <c r="UX117" s="38"/>
      <c r="UY117" s="38"/>
      <c r="UZ117" s="38"/>
      <c r="VA117" s="38"/>
      <c r="VB117" s="38"/>
      <c r="VC117" s="38"/>
      <c r="VD117" s="38"/>
      <c r="VE117" s="38"/>
      <c r="VF117" s="38"/>
      <c r="VG117" s="38"/>
      <c r="VH117" s="38"/>
      <c r="VI117" s="38"/>
      <c r="VJ117" s="38"/>
      <c r="VK117" s="38"/>
      <c r="VL117" s="38"/>
      <c r="VM117" s="38"/>
      <c r="VN117" s="38"/>
      <c r="VO117" s="38"/>
      <c r="VP117" s="38"/>
      <c r="VQ117" s="38"/>
      <c r="VR117" s="38"/>
      <c r="VS117" s="38"/>
      <c r="VT117" s="38"/>
      <c r="VU117" s="38"/>
      <c r="VV117" s="38"/>
      <c r="VW117" s="38"/>
      <c r="VX117" s="38"/>
      <c r="VY117" s="38"/>
      <c r="VZ117" s="38"/>
      <c r="WA117" s="38"/>
      <c r="WB117" s="38"/>
      <c r="WC117" s="38"/>
      <c r="WD117" s="38"/>
      <c r="WE117" s="38"/>
      <c r="WF117" s="38"/>
      <c r="WG117" s="38"/>
      <c r="WH117" s="38"/>
      <c r="WI117" s="38"/>
      <c r="WJ117" s="38"/>
      <c r="WK117" s="38"/>
      <c r="WL117" s="38"/>
      <c r="WM117" s="38"/>
      <c r="WN117" s="38"/>
      <c r="WO117" s="38"/>
      <c r="WP117" s="38"/>
      <c r="WQ117" s="38"/>
      <c r="WR117" s="38"/>
      <c r="WS117" s="38"/>
      <c r="WT117" s="38"/>
      <c r="WU117" s="38"/>
      <c r="WV117" s="38"/>
      <c r="WW117" s="38"/>
      <c r="WX117" s="38"/>
      <c r="WY117" s="38"/>
      <c r="WZ117" s="38"/>
      <c r="XA117" s="38"/>
      <c r="XB117" s="38"/>
      <c r="XC117" s="38"/>
      <c r="XD117" s="38"/>
      <c r="XE117" s="38"/>
      <c r="XF117" s="38"/>
      <c r="XG117" s="38"/>
      <c r="XH117" s="38"/>
      <c r="XI117" s="38"/>
      <c r="XJ117" s="38"/>
      <c r="XK117" s="38"/>
      <c r="XL117" s="38"/>
      <c r="XM117" s="38"/>
      <c r="XN117" s="38"/>
      <c r="XO117" s="38"/>
      <c r="XP117" s="38"/>
      <c r="XQ117" s="38"/>
      <c r="XR117" s="38"/>
      <c r="XS117" s="38"/>
      <c r="XT117" s="38"/>
      <c r="XU117" s="38"/>
      <c r="XV117" s="38"/>
      <c r="XW117" s="38"/>
      <c r="XX117" s="38"/>
      <c r="XY117" s="38"/>
      <c r="XZ117" s="38"/>
      <c r="YA117" s="38"/>
      <c r="YB117" s="38"/>
      <c r="YC117" s="38"/>
      <c r="YD117" s="38"/>
      <c r="YE117" s="38"/>
      <c r="YF117" s="38"/>
      <c r="YG117" s="38"/>
      <c r="YH117" s="38"/>
      <c r="YI117" s="38"/>
      <c r="YJ117" s="38"/>
      <c r="YK117" s="38"/>
      <c r="YL117" s="38"/>
      <c r="YM117" s="38"/>
      <c r="YN117" s="38"/>
      <c r="YO117" s="38"/>
      <c r="YP117" s="38"/>
      <c r="YQ117" s="38"/>
      <c r="YR117" s="38"/>
      <c r="YS117" s="38"/>
      <c r="YT117" s="38"/>
      <c r="YU117" s="38"/>
      <c r="YV117" s="38"/>
      <c r="YW117" s="38"/>
      <c r="YX117" s="38"/>
      <c r="YY117" s="38"/>
      <c r="YZ117" s="38"/>
      <c r="ZA117" s="38"/>
      <c r="ZB117" s="38"/>
      <c r="ZC117" s="38"/>
      <c r="ZD117" s="38"/>
      <c r="ZE117" s="38"/>
      <c r="ZF117" s="38"/>
      <c r="ZG117" s="38"/>
      <c r="ZH117" s="38"/>
      <c r="ZI117" s="38"/>
      <c r="ZJ117" s="38"/>
      <c r="ZK117" s="38"/>
      <c r="ZL117" s="38"/>
      <c r="ZM117" s="38"/>
      <c r="ZN117" s="38"/>
      <c r="ZO117" s="38"/>
      <c r="ZP117" s="38"/>
      <c r="ZQ117" s="38"/>
      <c r="ZR117" s="38"/>
      <c r="ZS117" s="38"/>
      <c r="ZT117" s="38"/>
      <c r="ZU117" s="38"/>
      <c r="ZV117" s="38"/>
      <c r="ZW117" s="38"/>
      <c r="ZX117" s="38"/>
      <c r="ZY117" s="38"/>
      <c r="ZZ117" s="38"/>
      <c r="AAA117" s="38"/>
      <c r="AAB117" s="38"/>
      <c r="AAC117" s="38"/>
      <c r="AAD117" s="38"/>
      <c r="AAE117" s="38"/>
      <c r="AAF117" s="38"/>
      <c r="AAG117" s="38"/>
      <c r="AAH117" s="38"/>
      <c r="AAI117" s="38"/>
      <c r="AAJ117" s="38"/>
      <c r="AAK117" s="38"/>
      <c r="AAL117" s="38"/>
      <c r="AAM117" s="38"/>
      <c r="AAN117" s="38"/>
      <c r="AAO117" s="38"/>
      <c r="AAP117" s="38"/>
      <c r="AAQ117" s="38"/>
      <c r="AAR117" s="38"/>
      <c r="AAS117" s="38"/>
      <c r="AAT117" s="38"/>
      <c r="AAU117" s="38"/>
      <c r="AAV117" s="38"/>
      <c r="AAW117" s="38"/>
      <c r="AAX117" s="38"/>
      <c r="AAY117" s="38"/>
      <c r="AAZ117" s="38"/>
      <c r="ABA117" s="38"/>
      <c r="ABB117" s="38"/>
      <c r="ABC117" s="38"/>
      <c r="ABD117" s="38"/>
      <c r="ABE117" s="38"/>
      <c r="ABF117" s="38"/>
      <c r="ABG117" s="38"/>
      <c r="ABH117" s="38"/>
      <c r="ABI117" s="38"/>
      <c r="ABJ117" s="38"/>
      <c r="ABK117" s="38"/>
      <c r="ABL117" s="38"/>
      <c r="ABM117" s="38"/>
      <c r="ABN117" s="38"/>
      <c r="ABO117" s="38"/>
      <c r="ABP117" s="38"/>
      <c r="ABQ117" s="38"/>
      <c r="ABR117" s="38"/>
      <c r="ABS117" s="38"/>
      <c r="ABT117" s="38"/>
      <c r="ABU117" s="38"/>
      <c r="ABV117" s="38"/>
      <c r="ABW117" s="38"/>
      <c r="ABX117" s="38"/>
      <c r="ABY117" s="38"/>
      <c r="ABZ117" s="38"/>
      <c r="ACA117" s="38"/>
      <c r="ACB117" s="38"/>
      <c r="ACC117" s="38"/>
      <c r="ACD117" s="38"/>
      <c r="ACE117" s="38"/>
      <c r="ACF117" s="38"/>
      <c r="ACG117" s="38"/>
      <c r="ACH117" s="38"/>
      <c r="ACI117" s="38"/>
      <c r="ACJ117" s="38"/>
      <c r="ACK117" s="38"/>
      <c r="ACL117" s="38"/>
      <c r="ACM117" s="38"/>
      <c r="ACN117" s="38"/>
      <c r="ACO117" s="38"/>
      <c r="ACP117" s="38"/>
      <c r="ACQ117" s="38"/>
      <c r="ACR117" s="38"/>
      <c r="ACS117" s="38"/>
      <c r="ACT117" s="38"/>
      <c r="ACU117" s="38"/>
      <c r="ACV117" s="38"/>
      <c r="ACW117" s="38"/>
      <c r="ACX117" s="38"/>
      <c r="ACY117" s="38"/>
      <c r="ACZ117" s="38"/>
      <c r="ADA117" s="38"/>
      <c r="ADB117" s="38"/>
      <c r="ADC117" s="38"/>
      <c r="ADD117" s="38"/>
      <c r="ADE117" s="38"/>
      <c r="ADF117" s="38"/>
      <c r="ADG117" s="38"/>
      <c r="ADH117" s="38"/>
      <c r="ADI117" s="38"/>
      <c r="ADJ117" s="38"/>
      <c r="ADK117" s="38"/>
      <c r="ADL117" s="38"/>
      <c r="ADM117" s="38"/>
      <c r="ADN117" s="38"/>
      <c r="ADO117" s="38"/>
      <c r="ADP117" s="38"/>
      <c r="ADQ117" s="38"/>
      <c r="ADR117" s="38"/>
      <c r="ADS117" s="38"/>
      <c r="ADT117" s="38"/>
      <c r="ADU117" s="38"/>
      <c r="ADV117" s="38"/>
      <c r="ADW117" s="38"/>
      <c r="ADX117" s="38"/>
      <c r="ADY117" s="38"/>
      <c r="ADZ117" s="38"/>
      <c r="AEA117" s="38"/>
      <c r="AEB117" s="38"/>
      <c r="AEC117" s="38"/>
      <c r="AED117" s="38"/>
      <c r="AEE117" s="38"/>
      <c r="AEF117" s="38"/>
      <c r="AEG117" s="38"/>
      <c r="AEH117" s="38"/>
      <c r="AEI117" s="38"/>
      <c r="AEJ117" s="38"/>
      <c r="AEK117" s="38"/>
      <c r="AEL117" s="38"/>
      <c r="AEM117" s="38"/>
      <c r="AEN117" s="38"/>
      <c r="AEO117" s="38"/>
      <c r="AEP117" s="38"/>
      <c r="AEQ117" s="38"/>
      <c r="AER117" s="38"/>
      <c r="AES117" s="38"/>
      <c r="AET117" s="38"/>
      <c r="AEU117" s="38"/>
      <c r="AEV117" s="38"/>
      <c r="AEW117" s="38"/>
      <c r="AEX117" s="38"/>
      <c r="AEY117" s="38"/>
      <c r="AEZ117" s="38"/>
      <c r="AFA117" s="38"/>
      <c r="AFB117" s="38"/>
      <c r="AFC117" s="38"/>
      <c r="AFD117" s="38"/>
      <c r="AFE117" s="38"/>
      <c r="AFF117" s="38"/>
      <c r="AFG117" s="38"/>
      <c r="AFH117" s="38"/>
      <c r="AFI117" s="38"/>
      <c r="AFJ117" s="38"/>
      <c r="AFK117" s="38"/>
      <c r="AFL117" s="38"/>
      <c r="AFM117" s="38"/>
      <c r="AFN117" s="38"/>
      <c r="AFO117" s="38"/>
      <c r="AFP117" s="38"/>
      <c r="AFQ117" s="38"/>
      <c r="AFR117" s="38"/>
      <c r="AFS117" s="38"/>
      <c r="AFT117" s="38"/>
      <c r="AFU117" s="38"/>
      <c r="AFV117" s="38"/>
      <c r="AFW117" s="38"/>
      <c r="AFX117" s="38"/>
      <c r="AFY117" s="38"/>
      <c r="AFZ117" s="38"/>
      <c r="AGA117" s="38"/>
      <c r="AGB117" s="38"/>
      <c r="AGC117" s="38"/>
      <c r="AGD117" s="38"/>
      <c r="AGE117" s="38"/>
      <c r="AGF117" s="38"/>
      <c r="AGG117" s="38"/>
      <c r="AGH117" s="38"/>
      <c r="AGI117" s="38"/>
      <c r="AGJ117" s="38"/>
      <c r="AGK117" s="38"/>
      <c r="AGL117" s="38"/>
      <c r="AGM117" s="38"/>
      <c r="AGN117" s="38"/>
      <c r="AGO117" s="38"/>
      <c r="AGP117" s="38"/>
      <c r="AGQ117" s="38"/>
      <c r="AGR117" s="38"/>
      <c r="AGS117" s="38"/>
      <c r="AGT117" s="38"/>
      <c r="AGU117" s="38"/>
      <c r="AGV117" s="38"/>
      <c r="AGW117" s="38"/>
      <c r="AGX117" s="38"/>
      <c r="AGY117" s="38"/>
      <c r="AGZ117" s="38"/>
      <c r="AHA117" s="38"/>
      <c r="AHB117" s="38"/>
      <c r="AHC117" s="38"/>
      <c r="AHD117" s="38"/>
      <c r="AHE117" s="38"/>
      <c r="AHF117" s="38"/>
      <c r="AHG117" s="38"/>
      <c r="AHH117" s="38"/>
      <c r="AHI117" s="38"/>
      <c r="AHJ117" s="38"/>
      <c r="AHK117" s="38"/>
      <c r="AHL117" s="38"/>
      <c r="AHM117" s="38"/>
      <c r="AHN117" s="38"/>
      <c r="AHO117" s="38"/>
      <c r="AHP117" s="38"/>
      <c r="AHQ117" s="38"/>
      <c r="AHR117" s="38"/>
      <c r="AHS117" s="38"/>
      <c r="AHT117" s="38"/>
      <c r="AHU117" s="38"/>
      <c r="AHV117" s="38"/>
    </row>
    <row r="118" spans="1:906" s="27" customFormat="1" x14ac:dyDescent="0.35">
      <c r="A118" s="83">
        <v>113</v>
      </c>
      <c r="B118" s="108" t="s">
        <v>199</v>
      </c>
      <c r="C118" s="109" t="s">
        <v>200</v>
      </c>
      <c r="D118" s="109" t="s">
        <v>196</v>
      </c>
      <c r="E118" s="125">
        <v>47.99</v>
      </c>
      <c r="F118" s="125">
        <v>45.95</v>
      </c>
      <c r="G118" s="125">
        <v>43.95</v>
      </c>
      <c r="H118" s="125"/>
      <c r="I118" s="37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  <c r="EB118" s="38"/>
      <c r="EC118" s="38"/>
      <c r="ED118" s="38"/>
      <c r="EE118" s="38"/>
      <c r="EF118" s="38"/>
      <c r="EG118" s="38"/>
      <c r="EH118" s="38"/>
      <c r="EI118" s="38"/>
      <c r="EJ118" s="38"/>
      <c r="EK118" s="38"/>
      <c r="EL118" s="38"/>
      <c r="EM118" s="38"/>
      <c r="EN118" s="38"/>
      <c r="EO118" s="38"/>
      <c r="EP118" s="38"/>
      <c r="EQ118" s="38"/>
      <c r="ER118" s="38"/>
      <c r="ES118" s="38"/>
      <c r="ET118" s="38"/>
      <c r="EU118" s="38"/>
      <c r="EV118" s="38"/>
      <c r="EW118" s="38"/>
      <c r="EX118" s="38"/>
      <c r="EY118" s="38"/>
      <c r="EZ118" s="38"/>
      <c r="FA118" s="38"/>
      <c r="FB118" s="38"/>
      <c r="FC118" s="38"/>
      <c r="FD118" s="38"/>
      <c r="FE118" s="38"/>
      <c r="FF118" s="38"/>
      <c r="FG118" s="38"/>
      <c r="FH118" s="38"/>
      <c r="FI118" s="38"/>
      <c r="FJ118" s="38"/>
      <c r="FK118" s="38"/>
      <c r="FL118" s="38"/>
      <c r="FM118" s="38"/>
      <c r="FN118" s="38"/>
      <c r="FO118" s="38"/>
      <c r="FP118" s="38"/>
      <c r="FQ118" s="38"/>
      <c r="FR118" s="38"/>
      <c r="FS118" s="38"/>
      <c r="FT118" s="38"/>
      <c r="FU118" s="38"/>
      <c r="FV118" s="38"/>
      <c r="FW118" s="38"/>
      <c r="FX118" s="38"/>
      <c r="FY118" s="38"/>
      <c r="FZ118" s="38"/>
      <c r="GA118" s="38"/>
      <c r="GB118" s="38"/>
      <c r="GC118" s="38"/>
      <c r="GD118" s="38"/>
      <c r="GE118" s="38"/>
      <c r="GF118" s="38"/>
      <c r="GG118" s="38"/>
      <c r="GH118" s="38"/>
      <c r="GI118" s="38"/>
      <c r="GJ118" s="38"/>
      <c r="GK118" s="38"/>
      <c r="GL118" s="38"/>
      <c r="GM118" s="38"/>
      <c r="GN118" s="38"/>
      <c r="GO118" s="38"/>
      <c r="GP118" s="38"/>
      <c r="GQ118" s="38"/>
      <c r="GR118" s="38"/>
      <c r="GS118" s="38"/>
      <c r="GT118" s="38"/>
      <c r="GU118" s="38"/>
      <c r="GV118" s="38"/>
      <c r="GW118" s="38"/>
      <c r="GX118" s="38"/>
      <c r="GY118" s="38"/>
      <c r="GZ118" s="38"/>
      <c r="HA118" s="38"/>
      <c r="HB118" s="38"/>
      <c r="HC118" s="38"/>
      <c r="HD118" s="38"/>
      <c r="HE118" s="38"/>
      <c r="HF118" s="38"/>
      <c r="HG118" s="38"/>
      <c r="HH118" s="38"/>
      <c r="HI118" s="38"/>
      <c r="HJ118" s="38"/>
      <c r="HK118" s="38"/>
      <c r="HL118" s="38"/>
      <c r="HM118" s="38"/>
      <c r="HN118" s="38"/>
      <c r="HO118" s="38"/>
      <c r="HP118" s="38"/>
      <c r="HQ118" s="38"/>
      <c r="HR118" s="38"/>
      <c r="HS118" s="38"/>
      <c r="HT118" s="38"/>
      <c r="HU118" s="38"/>
      <c r="HV118" s="38"/>
      <c r="HW118" s="38"/>
      <c r="HX118" s="38"/>
      <c r="HY118" s="38"/>
      <c r="HZ118" s="38"/>
      <c r="IA118" s="38"/>
      <c r="IB118" s="38"/>
      <c r="IC118" s="38"/>
      <c r="ID118" s="38"/>
      <c r="IE118" s="38"/>
      <c r="IF118" s="38"/>
      <c r="IG118" s="38"/>
      <c r="IH118" s="38"/>
      <c r="II118" s="38"/>
      <c r="IJ118" s="38"/>
      <c r="IK118" s="38"/>
      <c r="IL118" s="38"/>
      <c r="IM118" s="38"/>
      <c r="IN118" s="38"/>
      <c r="IO118" s="38"/>
      <c r="IP118" s="38"/>
      <c r="IQ118" s="38"/>
      <c r="IR118" s="38"/>
      <c r="IS118" s="38"/>
      <c r="IT118" s="38"/>
      <c r="IU118" s="38"/>
      <c r="IV118" s="38"/>
      <c r="IW118" s="38"/>
      <c r="IX118" s="38"/>
      <c r="IY118" s="38"/>
      <c r="IZ118" s="38"/>
      <c r="JA118" s="38"/>
      <c r="JB118" s="38"/>
      <c r="JC118" s="38"/>
      <c r="JD118" s="38"/>
      <c r="JE118" s="38"/>
      <c r="JF118" s="38"/>
      <c r="JG118" s="38"/>
      <c r="JH118" s="38"/>
      <c r="JI118" s="38"/>
      <c r="JJ118" s="38"/>
      <c r="JK118" s="38"/>
      <c r="JL118" s="38"/>
      <c r="JM118" s="38"/>
      <c r="JN118" s="38"/>
      <c r="JO118" s="38"/>
      <c r="JP118" s="38"/>
      <c r="JQ118" s="38"/>
      <c r="JR118" s="38"/>
      <c r="JS118" s="38"/>
      <c r="JT118" s="38"/>
      <c r="JU118" s="38"/>
      <c r="JV118" s="38"/>
      <c r="JW118" s="38"/>
      <c r="JX118" s="38"/>
      <c r="JY118" s="38"/>
      <c r="JZ118" s="38"/>
      <c r="KA118" s="38"/>
      <c r="KB118" s="38"/>
      <c r="KC118" s="38"/>
      <c r="KD118" s="38"/>
      <c r="KE118" s="38"/>
      <c r="KF118" s="38"/>
      <c r="KG118" s="38"/>
      <c r="KH118" s="38"/>
      <c r="KI118" s="38"/>
      <c r="KJ118" s="38"/>
      <c r="KK118" s="38"/>
      <c r="KL118" s="38"/>
      <c r="KM118" s="38"/>
      <c r="KN118" s="38"/>
      <c r="KO118" s="38"/>
      <c r="KP118" s="38"/>
      <c r="KQ118" s="38"/>
      <c r="KR118" s="38"/>
      <c r="KS118" s="38"/>
      <c r="KT118" s="38"/>
      <c r="KU118" s="38"/>
      <c r="KV118" s="38"/>
      <c r="KW118" s="38"/>
      <c r="KX118" s="38"/>
      <c r="KY118" s="38"/>
      <c r="KZ118" s="38"/>
      <c r="LA118" s="38"/>
      <c r="LB118" s="38"/>
      <c r="LC118" s="38"/>
      <c r="LD118" s="38"/>
      <c r="LE118" s="38"/>
      <c r="LF118" s="38"/>
      <c r="LG118" s="38"/>
      <c r="LH118" s="38"/>
      <c r="LI118" s="38"/>
      <c r="LJ118" s="38"/>
      <c r="LK118" s="38"/>
      <c r="LL118" s="38"/>
      <c r="LM118" s="38"/>
      <c r="LN118" s="38"/>
      <c r="LO118" s="38"/>
      <c r="LP118" s="38"/>
      <c r="LQ118" s="38"/>
      <c r="LR118" s="38"/>
      <c r="LS118" s="38"/>
      <c r="LT118" s="38"/>
      <c r="LU118" s="38"/>
      <c r="LV118" s="38"/>
      <c r="LW118" s="38"/>
      <c r="LX118" s="38"/>
      <c r="LY118" s="38"/>
      <c r="LZ118" s="38"/>
      <c r="MA118" s="38"/>
      <c r="MB118" s="38"/>
      <c r="MC118" s="38"/>
      <c r="MD118" s="38"/>
      <c r="ME118" s="38"/>
      <c r="MF118" s="38"/>
      <c r="MG118" s="38"/>
      <c r="MH118" s="38"/>
      <c r="MI118" s="38"/>
      <c r="MJ118" s="38"/>
      <c r="MK118" s="38"/>
      <c r="ML118" s="38"/>
      <c r="MM118" s="38"/>
      <c r="MN118" s="38"/>
      <c r="MO118" s="38"/>
      <c r="MP118" s="38"/>
      <c r="MQ118" s="38"/>
      <c r="MR118" s="38"/>
      <c r="MS118" s="38"/>
      <c r="MT118" s="38"/>
      <c r="MU118" s="38"/>
      <c r="MV118" s="38"/>
      <c r="MW118" s="38"/>
      <c r="MX118" s="38"/>
      <c r="MY118" s="38"/>
      <c r="MZ118" s="38"/>
      <c r="NA118" s="38"/>
      <c r="NB118" s="38"/>
      <c r="NC118" s="38"/>
      <c r="ND118" s="38"/>
      <c r="NE118" s="38"/>
      <c r="NF118" s="38"/>
      <c r="NG118" s="38"/>
      <c r="NH118" s="38"/>
      <c r="NI118" s="38"/>
      <c r="NJ118" s="38"/>
      <c r="NK118" s="38"/>
      <c r="NL118" s="38"/>
      <c r="NM118" s="38"/>
      <c r="NN118" s="38"/>
      <c r="NO118" s="38"/>
      <c r="NP118" s="38"/>
      <c r="NQ118" s="38"/>
      <c r="NR118" s="38"/>
      <c r="NS118" s="38"/>
      <c r="NT118" s="38"/>
      <c r="NU118" s="38"/>
      <c r="NV118" s="38"/>
      <c r="NW118" s="38"/>
      <c r="NX118" s="38"/>
      <c r="NY118" s="38"/>
      <c r="NZ118" s="38"/>
      <c r="OA118" s="38"/>
      <c r="OB118" s="38"/>
      <c r="OC118" s="38"/>
      <c r="OD118" s="38"/>
      <c r="OE118" s="38"/>
      <c r="OF118" s="38"/>
      <c r="OG118" s="38"/>
      <c r="OH118" s="38"/>
      <c r="OI118" s="38"/>
      <c r="OJ118" s="38"/>
      <c r="OK118" s="38"/>
      <c r="OL118" s="38"/>
      <c r="OM118" s="38"/>
      <c r="ON118" s="38"/>
      <c r="OO118" s="38"/>
      <c r="OP118" s="38"/>
      <c r="OQ118" s="38"/>
      <c r="OR118" s="38"/>
      <c r="OS118" s="38"/>
      <c r="OT118" s="38"/>
      <c r="OU118" s="38"/>
      <c r="OV118" s="38"/>
      <c r="OW118" s="38"/>
      <c r="OX118" s="38"/>
      <c r="OY118" s="38"/>
      <c r="OZ118" s="38"/>
      <c r="PA118" s="38"/>
      <c r="PB118" s="38"/>
      <c r="PC118" s="38"/>
      <c r="PD118" s="38"/>
      <c r="PE118" s="38"/>
      <c r="PF118" s="38"/>
      <c r="PG118" s="38"/>
      <c r="PH118" s="38"/>
      <c r="PI118" s="38"/>
      <c r="PJ118" s="38"/>
      <c r="PK118" s="38"/>
      <c r="PL118" s="38"/>
      <c r="PM118" s="38"/>
      <c r="PN118" s="38"/>
      <c r="PO118" s="38"/>
      <c r="PP118" s="38"/>
      <c r="PQ118" s="38"/>
      <c r="PR118" s="38"/>
      <c r="PS118" s="38"/>
      <c r="PT118" s="38"/>
      <c r="PU118" s="38"/>
      <c r="PV118" s="38"/>
      <c r="PW118" s="38"/>
      <c r="PX118" s="38"/>
      <c r="PY118" s="38"/>
      <c r="PZ118" s="38"/>
      <c r="QA118" s="38"/>
      <c r="QB118" s="38"/>
      <c r="QC118" s="38"/>
      <c r="QD118" s="38"/>
      <c r="QE118" s="38"/>
      <c r="QF118" s="38"/>
      <c r="QG118" s="38"/>
      <c r="QH118" s="38"/>
      <c r="QI118" s="38"/>
      <c r="QJ118" s="38"/>
      <c r="QK118" s="38"/>
      <c r="QL118" s="38"/>
      <c r="QM118" s="38"/>
      <c r="QN118" s="38"/>
      <c r="QO118" s="38"/>
      <c r="QP118" s="38"/>
      <c r="QQ118" s="38"/>
      <c r="QR118" s="38"/>
      <c r="QS118" s="38"/>
      <c r="QT118" s="38"/>
      <c r="QU118" s="38"/>
      <c r="QV118" s="38"/>
      <c r="QW118" s="38"/>
      <c r="QX118" s="38"/>
      <c r="QY118" s="38"/>
      <c r="QZ118" s="38"/>
      <c r="RA118" s="38"/>
      <c r="RB118" s="38"/>
      <c r="RC118" s="38"/>
      <c r="RD118" s="38"/>
      <c r="RE118" s="38"/>
      <c r="RF118" s="38"/>
      <c r="RG118" s="38"/>
      <c r="RH118" s="38"/>
      <c r="RI118" s="38"/>
      <c r="RJ118" s="38"/>
      <c r="RK118" s="38"/>
      <c r="RL118" s="38"/>
      <c r="RM118" s="38"/>
      <c r="RN118" s="38"/>
      <c r="RO118" s="38"/>
      <c r="RP118" s="38"/>
      <c r="RQ118" s="38"/>
      <c r="RR118" s="38"/>
      <c r="RS118" s="38"/>
      <c r="RT118" s="38"/>
      <c r="RU118" s="38"/>
      <c r="RV118" s="38"/>
      <c r="RW118" s="38"/>
      <c r="RX118" s="38"/>
      <c r="RY118" s="38"/>
      <c r="RZ118" s="38"/>
      <c r="SA118" s="38"/>
      <c r="SB118" s="38"/>
      <c r="SC118" s="38"/>
      <c r="SD118" s="38"/>
      <c r="SE118" s="38"/>
      <c r="SF118" s="38"/>
      <c r="SG118" s="38"/>
      <c r="SH118" s="38"/>
      <c r="SI118" s="38"/>
      <c r="SJ118" s="38"/>
      <c r="SK118" s="38"/>
      <c r="SL118" s="38"/>
      <c r="SM118" s="38"/>
      <c r="SN118" s="38"/>
      <c r="SO118" s="38"/>
      <c r="SP118" s="38"/>
      <c r="SQ118" s="38"/>
      <c r="SR118" s="38"/>
      <c r="SS118" s="38"/>
      <c r="ST118" s="38"/>
      <c r="SU118" s="38"/>
      <c r="SV118" s="38"/>
      <c r="SW118" s="38"/>
      <c r="SX118" s="38"/>
      <c r="SY118" s="38"/>
      <c r="SZ118" s="38"/>
      <c r="TA118" s="38"/>
      <c r="TB118" s="38"/>
      <c r="TC118" s="38"/>
      <c r="TD118" s="38"/>
      <c r="TE118" s="38"/>
      <c r="TF118" s="38"/>
      <c r="TG118" s="38"/>
      <c r="TH118" s="38"/>
      <c r="TI118" s="38"/>
      <c r="TJ118" s="38"/>
      <c r="TK118" s="38"/>
      <c r="TL118" s="38"/>
      <c r="TM118" s="38"/>
      <c r="TN118" s="38"/>
      <c r="TO118" s="38"/>
      <c r="TP118" s="38"/>
      <c r="TQ118" s="38"/>
      <c r="TR118" s="38"/>
      <c r="TS118" s="38"/>
      <c r="TT118" s="38"/>
      <c r="TU118" s="38"/>
      <c r="TV118" s="38"/>
      <c r="TW118" s="38"/>
      <c r="TX118" s="38"/>
      <c r="TY118" s="38"/>
      <c r="TZ118" s="38"/>
      <c r="UA118" s="38"/>
      <c r="UB118" s="38"/>
      <c r="UC118" s="38"/>
      <c r="UD118" s="38"/>
      <c r="UE118" s="38"/>
      <c r="UF118" s="38"/>
      <c r="UG118" s="38"/>
      <c r="UH118" s="38"/>
      <c r="UI118" s="38"/>
      <c r="UJ118" s="38"/>
      <c r="UK118" s="38"/>
      <c r="UL118" s="38"/>
      <c r="UM118" s="38"/>
      <c r="UN118" s="38"/>
      <c r="UO118" s="38"/>
      <c r="UP118" s="38"/>
      <c r="UQ118" s="38"/>
      <c r="UR118" s="38"/>
      <c r="US118" s="38"/>
      <c r="UT118" s="38"/>
      <c r="UU118" s="38"/>
      <c r="UV118" s="38"/>
      <c r="UW118" s="38"/>
      <c r="UX118" s="38"/>
      <c r="UY118" s="38"/>
      <c r="UZ118" s="38"/>
      <c r="VA118" s="38"/>
      <c r="VB118" s="38"/>
      <c r="VC118" s="38"/>
      <c r="VD118" s="38"/>
      <c r="VE118" s="38"/>
      <c r="VF118" s="38"/>
      <c r="VG118" s="38"/>
      <c r="VH118" s="38"/>
      <c r="VI118" s="38"/>
      <c r="VJ118" s="38"/>
      <c r="VK118" s="38"/>
      <c r="VL118" s="38"/>
      <c r="VM118" s="38"/>
      <c r="VN118" s="38"/>
      <c r="VO118" s="38"/>
      <c r="VP118" s="38"/>
      <c r="VQ118" s="38"/>
      <c r="VR118" s="38"/>
      <c r="VS118" s="38"/>
      <c r="VT118" s="38"/>
      <c r="VU118" s="38"/>
      <c r="VV118" s="38"/>
      <c r="VW118" s="38"/>
      <c r="VX118" s="38"/>
      <c r="VY118" s="38"/>
      <c r="VZ118" s="38"/>
      <c r="WA118" s="38"/>
      <c r="WB118" s="38"/>
      <c r="WC118" s="38"/>
      <c r="WD118" s="38"/>
      <c r="WE118" s="38"/>
      <c r="WF118" s="38"/>
      <c r="WG118" s="38"/>
      <c r="WH118" s="38"/>
      <c r="WI118" s="38"/>
      <c r="WJ118" s="38"/>
      <c r="WK118" s="38"/>
      <c r="WL118" s="38"/>
      <c r="WM118" s="38"/>
      <c r="WN118" s="38"/>
      <c r="WO118" s="38"/>
      <c r="WP118" s="38"/>
      <c r="WQ118" s="38"/>
      <c r="WR118" s="38"/>
      <c r="WS118" s="38"/>
      <c r="WT118" s="38"/>
      <c r="WU118" s="38"/>
      <c r="WV118" s="38"/>
      <c r="WW118" s="38"/>
      <c r="WX118" s="38"/>
      <c r="WY118" s="38"/>
      <c r="WZ118" s="38"/>
      <c r="XA118" s="38"/>
      <c r="XB118" s="38"/>
      <c r="XC118" s="38"/>
      <c r="XD118" s="38"/>
      <c r="XE118" s="38"/>
      <c r="XF118" s="38"/>
      <c r="XG118" s="38"/>
      <c r="XH118" s="38"/>
      <c r="XI118" s="38"/>
      <c r="XJ118" s="38"/>
      <c r="XK118" s="38"/>
      <c r="XL118" s="38"/>
      <c r="XM118" s="38"/>
      <c r="XN118" s="38"/>
      <c r="XO118" s="38"/>
      <c r="XP118" s="38"/>
      <c r="XQ118" s="38"/>
      <c r="XR118" s="38"/>
      <c r="XS118" s="38"/>
      <c r="XT118" s="38"/>
      <c r="XU118" s="38"/>
      <c r="XV118" s="38"/>
      <c r="XW118" s="38"/>
      <c r="XX118" s="38"/>
      <c r="XY118" s="38"/>
      <c r="XZ118" s="38"/>
      <c r="YA118" s="38"/>
      <c r="YB118" s="38"/>
      <c r="YC118" s="38"/>
      <c r="YD118" s="38"/>
      <c r="YE118" s="38"/>
      <c r="YF118" s="38"/>
      <c r="YG118" s="38"/>
      <c r="YH118" s="38"/>
      <c r="YI118" s="38"/>
      <c r="YJ118" s="38"/>
      <c r="YK118" s="38"/>
      <c r="YL118" s="38"/>
      <c r="YM118" s="38"/>
      <c r="YN118" s="38"/>
      <c r="YO118" s="38"/>
      <c r="YP118" s="38"/>
      <c r="YQ118" s="38"/>
      <c r="YR118" s="38"/>
      <c r="YS118" s="38"/>
      <c r="YT118" s="38"/>
      <c r="YU118" s="38"/>
      <c r="YV118" s="38"/>
      <c r="YW118" s="38"/>
      <c r="YX118" s="38"/>
      <c r="YY118" s="38"/>
      <c r="YZ118" s="38"/>
      <c r="ZA118" s="38"/>
      <c r="ZB118" s="38"/>
      <c r="ZC118" s="38"/>
      <c r="ZD118" s="38"/>
      <c r="ZE118" s="38"/>
      <c r="ZF118" s="38"/>
      <c r="ZG118" s="38"/>
      <c r="ZH118" s="38"/>
      <c r="ZI118" s="38"/>
      <c r="ZJ118" s="38"/>
      <c r="ZK118" s="38"/>
      <c r="ZL118" s="38"/>
      <c r="ZM118" s="38"/>
      <c r="ZN118" s="38"/>
      <c r="ZO118" s="38"/>
      <c r="ZP118" s="38"/>
      <c r="ZQ118" s="38"/>
      <c r="ZR118" s="38"/>
      <c r="ZS118" s="38"/>
      <c r="ZT118" s="38"/>
      <c r="ZU118" s="38"/>
      <c r="ZV118" s="38"/>
      <c r="ZW118" s="38"/>
      <c r="ZX118" s="38"/>
      <c r="ZY118" s="38"/>
      <c r="ZZ118" s="38"/>
      <c r="AAA118" s="38"/>
      <c r="AAB118" s="38"/>
      <c r="AAC118" s="38"/>
      <c r="AAD118" s="38"/>
      <c r="AAE118" s="38"/>
      <c r="AAF118" s="38"/>
      <c r="AAG118" s="38"/>
      <c r="AAH118" s="38"/>
      <c r="AAI118" s="38"/>
      <c r="AAJ118" s="38"/>
      <c r="AAK118" s="38"/>
      <c r="AAL118" s="38"/>
      <c r="AAM118" s="38"/>
      <c r="AAN118" s="38"/>
      <c r="AAO118" s="38"/>
      <c r="AAP118" s="38"/>
      <c r="AAQ118" s="38"/>
      <c r="AAR118" s="38"/>
      <c r="AAS118" s="38"/>
      <c r="AAT118" s="38"/>
      <c r="AAU118" s="38"/>
      <c r="AAV118" s="38"/>
      <c r="AAW118" s="38"/>
      <c r="AAX118" s="38"/>
      <c r="AAY118" s="38"/>
      <c r="AAZ118" s="38"/>
      <c r="ABA118" s="38"/>
      <c r="ABB118" s="38"/>
      <c r="ABC118" s="38"/>
      <c r="ABD118" s="38"/>
      <c r="ABE118" s="38"/>
      <c r="ABF118" s="38"/>
      <c r="ABG118" s="38"/>
      <c r="ABH118" s="38"/>
      <c r="ABI118" s="38"/>
      <c r="ABJ118" s="38"/>
      <c r="ABK118" s="38"/>
      <c r="ABL118" s="38"/>
      <c r="ABM118" s="38"/>
      <c r="ABN118" s="38"/>
      <c r="ABO118" s="38"/>
      <c r="ABP118" s="38"/>
      <c r="ABQ118" s="38"/>
      <c r="ABR118" s="38"/>
      <c r="ABS118" s="38"/>
      <c r="ABT118" s="38"/>
      <c r="ABU118" s="38"/>
      <c r="ABV118" s="38"/>
      <c r="ABW118" s="38"/>
      <c r="ABX118" s="38"/>
      <c r="ABY118" s="38"/>
      <c r="ABZ118" s="38"/>
      <c r="ACA118" s="38"/>
      <c r="ACB118" s="38"/>
      <c r="ACC118" s="38"/>
      <c r="ACD118" s="38"/>
      <c r="ACE118" s="38"/>
      <c r="ACF118" s="38"/>
      <c r="ACG118" s="38"/>
      <c r="ACH118" s="38"/>
      <c r="ACI118" s="38"/>
      <c r="ACJ118" s="38"/>
      <c r="ACK118" s="38"/>
      <c r="ACL118" s="38"/>
      <c r="ACM118" s="38"/>
      <c r="ACN118" s="38"/>
      <c r="ACO118" s="38"/>
      <c r="ACP118" s="38"/>
      <c r="ACQ118" s="38"/>
      <c r="ACR118" s="38"/>
      <c r="ACS118" s="38"/>
      <c r="ACT118" s="38"/>
      <c r="ACU118" s="38"/>
      <c r="ACV118" s="38"/>
      <c r="ACW118" s="38"/>
      <c r="ACX118" s="38"/>
      <c r="ACY118" s="38"/>
      <c r="ACZ118" s="38"/>
      <c r="ADA118" s="38"/>
      <c r="ADB118" s="38"/>
      <c r="ADC118" s="38"/>
      <c r="ADD118" s="38"/>
      <c r="ADE118" s="38"/>
      <c r="ADF118" s="38"/>
      <c r="ADG118" s="38"/>
      <c r="ADH118" s="38"/>
      <c r="ADI118" s="38"/>
      <c r="ADJ118" s="38"/>
      <c r="ADK118" s="38"/>
      <c r="ADL118" s="38"/>
      <c r="ADM118" s="38"/>
      <c r="ADN118" s="38"/>
      <c r="ADO118" s="38"/>
      <c r="ADP118" s="38"/>
      <c r="ADQ118" s="38"/>
      <c r="ADR118" s="38"/>
      <c r="ADS118" s="38"/>
      <c r="ADT118" s="38"/>
      <c r="ADU118" s="38"/>
      <c r="ADV118" s="38"/>
      <c r="ADW118" s="38"/>
      <c r="ADX118" s="38"/>
      <c r="ADY118" s="38"/>
      <c r="ADZ118" s="38"/>
      <c r="AEA118" s="38"/>
      <c r="AEB118" s="38"/>
      <c r="AEC118" s="38"/>
      <c r="AED118" s="38"/>
      <c r="AEE118" s="38"/>
      <c r="AEF118" s="38"/>
      <c r="AEG118" s="38"/>
      <c r="AEH118" s="38"/>
      <c r="AEI118" s="38"/>
      <c r="AEJ118" s="38"/>
      <c r="AEK118" s="38"/>
      <c r="AEL118" s="38"/>
      <c r="AEM118" s="38"/>
      <c r="AEN118" s="38"/>
      <c r="AEO118" s="38"/>
      <c r="AEP118" s="38"/>
      <c r="AEQ118" s="38"/>
      <c r="AER118" s="38"/>
      <c r="AES118" s="38"/>
      <c r="AET118" s="38"/>
      <c r="AEU118" s="38"/>
      <c r="AEV118" s="38"/>
      <c r="AEW118" s="38"/>
      <c r="AEX118" s="38"/>
      <c r="AEY118" s="38"/>
      <c r="AEZ118" s="38"/>
      <c r="AFA118" s="38"/>
      <c r="AFB118" s="38"/>
      <c r="AFC118" s="38"/>
      <c r="AFD118" s="38"/>
      <c r="AFE118" s="38"/>
      <c r="AFF118" s="38"/>
      <c r="AFG118" s="38"/>
      <c r="AFH118" s="38"/>
      <c r="AFI118" s="38"/>
      <c r="AFJ118" s="38"/>
      <c r="AFK118" s="38"/>
      <c r="AFL118" s="38"/>
      <c r="AFM118" s="38"/>
      <c r="AFN118" s="38"/>
      <c r="AFO118" s="38"/>
      <c r="AFP118" s="38"/>
      <c r="AFQ118" s="38"/>
      <c r="AFR118" s="38"/>
      <c r="AFS118" s="38"/>
      <c r="AFT118" s="38"/>
      <c r="AFU118" s="38"/>
      <c r="AFV118" s="38"/>
      <c r="AFW118" s="38"/>
      <c r="AFX118" s="38"/>
      <c r="AFY118" s="38"/>
      <c r="AFZ118" s="38"/>
      <c r="AGA118" s="38"/>
      <c r="AGB118" s="38"/>
      <c r="AGC118" s="38"/>
      <c r="AGD118" s="38"/>
      <c r="AGE118" s="38"/>
      <c r="AGF118" s="38"/>
      <c r="AGG118" s="38"/>
      <c r="AGH118" s="38"/>
      <c r="AGI118" s="38"/>
      <c r="AGJ118" s="38"/>
      <c r="AGK118" s="38"/>
      <c r="AGL118" s="38"/>
      <c r="AGM118" s="38"/>
      <c r="AGN118" s="38"/>
      <c r="AGO118" s="38"/>
      <c r="AGP118" s="38"/>
      <c r="AGQ118" s="38"/>
      <c r="AGR118" s="38"/>
      <c r="AGS118" s="38"/>
      <c r="AGT118" s="38"/>
      <c r="AGU118" s="38"/>
      <c r="AGV118" s="38"/>
      <c r="AGW118" s="38"/>
      <c r="AGX118" s="38"/>
      <c r="AGY118" s="38"/>
      <c r="AGZ118" s="38"/>
      <c r="AHA118" s="38"/>
      <c r="AHB118" s="38"/>
      <c r="AHC118" s="38"/>
      <c r="AHD118" s="38"/>
      <c r="AHE118" s="38"/>
      <c r="AHF118" s="38"/>
      <c r="AHG118" s="38"/>
      <c r="AHH118" s="38"/>
      <c r="AHI118" s="38"/>
      <c r="AHJ118" s="38"/>
      <c r="AHK118" s="38"/>
      <c r="AHL118" s="38"/>
      <c r="AHM118" s="38"/>
      <c r="AHN118" s="38"/>
      <c r="AHO118" s="38"/>
      <c r="AHP118" s="38"/>
      <c r="AHQ118" s="38"/>
      <c r="AHR118" s="38"/>
      <c r="AHS118" s="38"/>
      <c r="AHT118" s="38"/>
      <c r="AHU118" s="38"/>
      <c r="AHV118" s="38"/>
    </row>
    <row r="119" spans="1:906" s="27" customFormat="1" x14ac:dyDescent="0.35">
      <c r="A119" s="83">
        <v>114</v>
      </c>
      <c r="B119" s="108" t="s">
        <v>201</v>
      </c>
      <c r="C119" s="109" t="s">
        <v>202</v>
      </c>
      <c r="D119" s="109" t="s">
        <v>51</v>
      </c>
      <c r="E119" s="125"/>
      <c r="F119" s="125">
        <v>106.62</v>
      </c>
      <c r="G119" s="125"/>
      <c r="H119" s="125">
        <v>116.95</v>
      </c>
      <c r="I119" s="37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  <c r="BP119" s="38"/>
      <c r="BQ119" s="38"/>
      <c r="BR119" s="38"/>
      <c r="BS119" s="38"/>
      <c r="BT119" s="38"/>
      <c r="BU119" s="38"/>
      <c r="BV119" s="38"/>
      <c r="BW119" s="38"/>
      <c r="BX119" s="38"/>
      <c r="BY119" s="38"/>
      <c r="BZ119" s="38"/>
      <c r="CA119" s="38"/>
      <c r="CB119" s="38"/>
      <c r="CC119" s="38"/>
      <c r="CD119" s="38"/>
      <c r="CE119" s="38"/>
      <c r="CF119" s="38"/>
      <c r="CG119" s="38"/>
      <c r="CH119" s="38"/>
      <c r="CI119" s="38"/>
      <c r="CJ119" s="38"/>
      <c r="CK119" s="38"/>
      <c r="CL119" s="38"/>
      <c r="CM119" s="38"/>
      <c r="CN119" s="38"/>
      <c r="CO119" s="38"/>
      <c r="CP119" s="38"/>
      <c r="CQ119" s="38"/>
      <c r="CR119" s="38"/>
      <c r="CS119" s="38"/>
      <c r="CT119" s="38"/>
      <c r="CU119" s="38"/>
      <c r="CV119" s="38"/>
      <c r="CW119" s="38"/>
      <c r="CX119" s="38"/>
      <c r="CY119" s="38"/>
      <c r="CZ119" s="38"/>
      <c r="DA119" s="38"/>
      <c r="DB119" s="38"/>
      <c r="DC119" s="38"/>
      <c r="DD119" s="38"/>
      <c r="DE119" s="38"/>
      <c r="DF119" s="38"/>
      <c r="DG119" s="38"/>
      <c r="DH119" s="38"/>
      <c r="DI119" s="38"/>
      <c r="DJ119" s="38"/>
      <c r="DK119" s="38"/>
      <c r="DL119" s="38"/>
      <c r="DM119" s="38"/>
      <c r="DN119" s="38"/>
      <c r="DO119" s="38"/>
      <c r="DP119" s="38"/>
      <c r="DQ119" s="38"/>
      <c r="DR119" s="38"/>
      <c r="DS119" s="38"/>
      <c r="DT119" s="38"/>
      <c r="DU119" s="38"/>
      <c r="DV119" s="38"/>
      <c r="DW119" s="38"/>
      <c r="DX119" s="38"/>
      <c r="DY119" s="38"/>
      <c r="DZ119" s="38"/>
      <c r="EA119" s="38"/>
      <c r="EB119" s="38"/>
      <c r="EC119" s="38"/>
      <c r="ED119" s="38"/>
      <c r="EE119" s="38"/>
      <c r="EF119" s="38"/>
      <c r="EG119" s="38"/>
      <c r="EH119" s="38"/>
      <c r="EI119" s="38"/>
      <c r="EJ119" s="38"/>
      <c r="EK119" s="38"/>
      <c r="EL119" s="38"/>
      <c r="EM119" s="38"/>
      <c r="EN119" s="38"/>
      <c r="EO119" s="38"/>
      <c r="EP119" s="38"/>
      <c r="EQ119" s="38"/>
      <c r="ER119" s="38"/>
      <c r="ES119" s="38"/>
      <c r="ET119" s="38"/>
      <c r="EU119" s="38"/>
      <c r="EV119" s="38"/>
      <c r="EW119" s="38"/>
      <c r="EX119" s="38"/>
      <c r="EY119" s="38"/>
      <c r="EZ119" s="38"/>
      <c r="FA119" s="38"/>
      <c r="FB119" s="38"/>
      <c r="FC119" s="38"/>
      <c r="FD119" s="38"/>
      <c r="FE119" s="38"/>
      <c r="FF119" s="38"/>
      <c r="FG119" s="38"/>
      <c r="FH119" s="38"/>
      <c r="FI119" s="38"/>
      <c r="FJ119" s="38"/>
      <c r="FK119" s="38"/>
      <c r="FL119" s="38"/>
      <c r="FM119" s="38"/>
      <c r="FN119" s="38"/>
      <c r="FO119" s="38"/>
      <c r="FP119" s="38"/>
      <c r="FQ119" s="38"/>
      <c r="FR119" s="38"/>
      <c r="FS119" s="38"/>
      <c r="FT119" s="38"/>
      <c r="FU119" s="38"/>
      <c r="FV119" s="38"/>
      <c r="FW119" s="38"/>
      <c r="FX119" s="38"/>
      <c r="FY119" s="38"/>
      <c r="FZ119" s="38"/>
      <c r="GA119" s="38"/>
      <c r="GB119" s="38"/>
      <c r="GC119" s="38"/>
      <c r="GD119" s="38"/>
      <c r="GE119" s="38"/>
      <c r="GF119" s="38"/>
      <c r="GG119" s="38"/>
      <c r="GH119" s="38"/>
      <c r="GI119" s="38"/>
      <c r="GJ119" s="38"/>
      <c r="GK119" s="38"/>
      <c r="GL119" s="38"/>
      <c r="GM119" s="38"/>
      <c r="GN119" s="38"/>
      <c r="GO119" s="38"/>
      <c r="GP119" s="38"/>
      <c r="GQ119" s="38"/>
      <c r="GR119" s="38"/>
      <c r="GS119" s="38"/>
      <c r="GT119" s="38"/>
      <c r="GU119" s="38"/>
      <c r="GV119" s="38"/>
      <c r="GW119" s="38"/>
      <c r="GX119" s="38"/>
      <c r="GY119" s="38"/>
      <c r="GZ119" s="38"/>
      <c r="HA119" s="38"/>
      <c r="HB119" s="38"/>
      <c r="HC119" s="38"/>
      <c r="HD119" s="38"/>
      <c r="HE119" s="38"/>
      <c r="HF119" s="38"/>
      <c r="HG119" s="38"/>
      <c r="HH119" s="38"/>
      <c r="HI119" s="38"/>
      <c r="HJ119" s="38"/>
      <c r="HK119" s="38"/>
      <c r="HL119" s="38"/>
      <c r="HM119" s="38"/>
      <c r="HN119" s="38"/>
      <c r="HO119" s="38"/>
      <c r="HP119" s="38"/>
      <c r="HQ119" s="38"/>
      <c r="HR119" s="38"/>
      <c r="HS119" s="38"/>
      <c r="HT119" s="38"/>
      <c r="HU119" s="38"/>
      <c r="HV119" s="38"/>
      <c r="HW119" s="38"/>
      <c r="HX119" s="38"/>
      <c r="HY119" s="38"/>
      <c r="HZ119" s="38"/>
      <c r="IA119" s="38"/>
      <c r="IB119" s="38"/>
      <c r="IC119" s="38"/>
      <c r="ID119" s="38"/>
      <c r="IE119" s="38"/>
      <c r="IF119" s="38"/>
      <c r="IG119" s="38"/>
      <c r="IH119" s="38"/>
      <c r="II119" s="38"/>
      <c r="IJ119" s="38"/>
      <c r="IK119" s="38"/>
      <c r="IL119" s="38"/>
      <c r="IM119" s="38"/>
      <c r="IN119" s="38"/>
      <c r="IO119" s="38"/>
      <c r="IP119" s="38"/>
      <c r="IQ119" s="38"/>
      <c r="IR119" s="38"/>
      <c r="IS119" s="38"/>
      <c r="IT119" s="38"/>
      <c r="IU119" s="38"/>
      <c r="IV119" s="38"/>
      <c r="IW119" s="38"/>
      <c r="IX119" s="38"/>
      <c r="IY119" s="38"/>
      <c r="IZ119" s="38"/>
      <c r="JA119" s="38"/>
      <c r="JB119" s="38"/>
      <c r="JC119" s="38"/>
      <c r="JD119" s="38"/>
      <c r="JE119" s="38"/>
      <c r="JF119" s="38"/>
      <c r="JG119" s="38"/>
      <c r="JH119" s="38"/>
      <c r="JI119" s="38"/>
      <c r="JJ119" s="38"/>
      <c r="JK119" s="38"/>
      <c r="JL119" s="38"/>
      <c r="JM119" s="38"/>
      <c r="JN119" s="38"/>
      <c r="JO119" s="38"/>
      <c r="JP119" s="38"/>
      <c r="JQ119" s="38"/>
      <c r="JR119" s="38"/>
      <c r="JS119" s="38"/>
      <c r="JT119" s="38"/>
      <c r="JU119" s="38"/>
      <c r="JV119" s="38"/>
      <c r="JW119" s="38"/>
      <c r="JX119" s="38"/>
      <c r="JY119" s="38"/>
      <c r="JZ119" s="38"/>
      <c r="KA119" s="38"/>
      <c r="KB119" s="38"/>
      <c r="KC119" s="38"/>
      <c r="KD119" s="38"/>
      <c r="KE119" s="38"/>
      <c r="KF119" s="38"/>
      <c r="KG119" s="38"/>
      <c r="KH119" s="38"/>
      <c r="KI119" s="38"/>
      <c r="KJ119" s="38"/>
      <c r="KK119" s="38"/>
      <c r="KL119" s="38"/>
      <c r="KM119" s="38"/>
      <c r="KN119" s="38"/>
      <c r="KO119" s="38"/>
      <c r="KP119" s="38"/>
      <c r="KQ119" s="38"/>
      <c r="KR119" s="38"/>
      <c r="KS119" s="38"/>
      <c r="KT119" s="38"/>
      <c r="KU119" s="38"/>
      <c r="KV119" s="38"/>
      <c r="KW119" s="38"/>
      <c r="KX119" s="38"/>
      <c r="KY119" s="38"/>
      <c r="KZ119" s="38"/>
      <c r="LA119" s="38"/>
      <c r="LB119" s="38"/>
      <c r="LC119" s="38"/>
      <c r="LD119" s="38"/>
      <c r="LE119" s="38"/>
      <c r="LF119" s="38"/>
      <c r="LG119" s="38"/>
      <c r="LH119" s="38"/>
      <c r="LI119" s="38"/>
      <c r="LJ119" s="38"/>
      <c r="LK119" s="38"/>
      <c r="LL119" s="38"/>
      <c r="LM119" s="38"/>
      <c r="LN119" s="38"/>
      <c r="LO119" s="38"/>
      <c r="LP119" s="38"/>
      <c r="LQ119" s="38"/>
      <c r="LR119" s="38"/>
      <c r="LS119" s="38"/>
      <c r="LT119" s="38"/>
      <c r="LU119" s="38"/>
      <c r="LV119" s="38"/>
      <c r="LW119" s="38"/>
      <c r="LX119" s="38"/>
      <c r="LY119" s="38"/>
      <c r="LZ119" s="38"/>
      <c r="MA119" s="38"/>
      <c r="MB119" s="38"/>
      <c r="MC119" s="38"/>
      <c r="MD119" s="38"/>
      <c r="ME119" s="38"/>
      <c r="MF119" s="38"/>
      <c r="MG119" s="38"/>
      <c r="MH119" s="38"/>
      <c r="MI119" s="38"/>
      <c r="MJ119" s="38"/>
      <c r="MK119" s="38"/>
      <c r="ML119" s="38"/>
      <c r="MM119" s="38"/>
      <c r="MN119" s="38"/>
      <c r="MO119" s="38"/>
      <c r="MP119" s="38"/>
      <c r="MQ119" s="38"/>
      <c r="MR119" s="38"/>
      <c r="MS119" s="38"/>
      <c r="MT119" s="38"/>
      <c r="MU119" s="38"/>
      <c r="MV119" s="38"/>
      <c r="MW119" s="38"/>
      <c r="MX119" s="38"/>
      <c r="MY119" s="38"/>
      <c r="MZ119" s="38"/>
      <c r="NA119" s="38"/>
      <c r="NB119" s="38"/>
      <c r="NC119" s="38"/>
      <c r="ND119" s="38"/>
      <c r="NE119" s="38"/>
      <c r="NF119" s="38"/>
      <c r="NG119" s="38"/>
      <c r="NH119" s="38"/>
      <c r="NI119" s="38"/>
      <c r="NJ119" s="38"/>
      <c r="NK119" s="38"/>
      <c r="NL119" s="38"/>
      <c r="NM119" s="38"/>
      <c r="NN119" s="38"/>
      <c r="NO119" s="38"/>
      <c r="NP119" s="38"/>
      <c r="NQ119" s="38"/>
      <c r="NR119" s="38"/>
      <c r="NS119" s="38"/>
      <c r="NT119" s="38"/>
      <c r="NU119" s="38"/>
      <c r="NV119" s="38"/>
      <c r="NW119" s="38"/>
      <c r="NX119" s="38"/>
      <c r="NY119" s="38"/>
      <c r="NZ119" s="38"/>
      <c r="OA119" s="38"/>
      <c r="OB119" s="38"/>
      <c r="OC119" s="38"/>
      <c r="OD119" s="38"/>
      <c r="OE119" s="38"/>
      <c r="OF119" s="38"/>
      <c r="OG119" s="38"/>
      <c r="OH119" s="38"/>
      <c r="OI119" s="38"/>
      <c r="OJ119" s="38"/>
      <c r="OK119" s="38"/>
      <c r="OL119" s="38"/>
      <c r="OM119" s="38"/>
      <c r="ON119" s="38"/>
      <c r="OO119" s="38"/>
      <c r="OP119" s="38"/>
      <c r="OQ119" s="38"/>
      <c r="OR119" s="38"/>
      <c r="OS119" s="38"/>
      <c r="OT119" s="38"/>
      <c r="OU119" s="38"/>
      <c r="OV119" s="38"/>
      <c r="OW119" s="38"/>
      <c r="OX119" s="38"/>
      <c r="OY119" s="38"/>
      <c r="OZ119" s="38"/>
      <c r="PA119" s="38"/>
      <c r="PB119" s="38"/>
      <c r="PC119" s="38"/>
      <c r="PD119" s="38"/>
      <c r="PE119" s="38"/>
      <c r="PF119" s="38"/>
      <c r="PG119" s="38"/>
      <c r="PH119" s="38"/>
      <c r="PI119" s="38"/>
      <c r="PJ119" s="38"/>
      <c r="PK119" s="38"/>
      <c r="PL119" s="38"/>
      <c r="PM119" s="38"/>
      <c r="PN119" s="38"/>
      <c r="PO119" s="38"/>
      <c r="PP119" s="38"/>
      <c r="PQ119" s="38"/>
      <c r="PR119" s="38"/>
      <c r="PS119" s="38"/>
      <c r="PT119" s="38"/>
      <c r="PU119" s="38"/>
      <c r="PV119" s="38"/>
      <c r="PW119" s="38"/>
      <c r="PX119" s="38"/>
      <c r="PY119" s="38"/>
      <c r="PZ119" s="38"/>
      <c r="QA119" s="38"/>
      <c r="QB119" s="38"/>
      <c r="QC119" s="38"/>
      <c r="QD119" s="38"/>
      <c r="QE119" s="38"/>
      <c r="QF119" s="38"/>
      <c r="QG119" s="38"/>
      <c r="QH119" s="38"/>
      <c r="QI119" s="38"/>
      <c r="QJ119" s="38"/>
      <c r="QK119" s="38"/>
      <c r="QL119" s="38"/>
      <c r="QM119" s="38"/>
      <c r="QN119" s="38"/>
      <c r="QO119" s="38"/>
      <c r="QP119" s="38"/>
      <c r="QQ119" s="38"/>
      <c r="QR119" s="38"/>
      <c r="QS119" s="38"/>
      <c r="QT119" s="38"/>
      <c r="QU119" s="38"/>
      <c r="QV119" s="38"/>
      <c r="QW119" s="38"/>
      <c r="QX119" s="38"/>
      <c r="QY119" s="38"/>
      <c r="QZ119" s="38"/>
      <c r="RA119" s="38"/>
      <c r="RB119" s="38"/>
      <c r="RC119" s="38"/>
      <c r="RD119" s="38"/>
      <c r="RE119" s="38"/>
      <c r="RF119" s="38"/>
      <c r="RG119" s="38"/>
      <c r="RH119" s="38"/>
      <c r="RI119" s="38"/>
      <c r="RJ119" s="38"/>
      <c r="RK119" s="38"/>
      <c r="RL119" s="38"/>
      <c r="RM119" s="38"/>
      <c r="RN119" s="38"/>
      <c r="RO119" s="38"/>
      <c r="RP119" s="38"/>
      <c r="RQ119" s="38"/>
      <c r="RR119" s="38"/>
      <c r="RS119" s="38"/>
      <c r="RT119" s="38"/>
      <c r="RU119" s="38"/>
      <c r="RV119" s="38"/>
      <c r="RW119" s="38"/>
      <c r="RX119" s="38"/>
      <c r="RY119" s="38"/>
      <c r="RZ119" s="38"/>
      <c r="SA119" s="38"/>
      <c r="SB119" s="38"/>
      <c r="SC119" s="38"/>
      <c r="SD119" s="38"/>
      <c r="SE119" s="38"/>
      <c r="SF119" s="38"/>
      <c r="SG119" s="38"/>
      <c r="SH119" s="38"/>
      <c r="SI119" s="38"/>
      <c r="SJ119" s="38"/>
      <c r="SK119" s="38"/>
      <c r="SL119" s="38"/>
      <c r="SM119" s="38"/>
      <c r="SN119" s="38"/>
      <c r="SO119" s="38"/>
      <c r="SP119" s="38"/>
      <c r="SQ119" s="38"/>
      <c r="SR119" s="38"/>
      <c r="SS119" s="38"/>
      <c r="ST119" s="38"/>
      <c r="SU119" s="38"/>
      <c r="SV119" s="38"/>
      <c r="SW119" s="38"/>
      <c r="SX119" s="38"/>
      <c r="SY119" s="38"/>
      <c r="SZ119" s="38"/>
      <c r="TA119" s="38"/>
      <c r="TB119" s="38"/>
      <c r="TC119" s="38"/>
      <c r="TD119" s="38"/>
      <c r="TE119" s="38"/>
      <c r="TF119" s="38"/>
      <c r="TG119" s="38"/>
      <c r="TH119" s="38"/>
      <c r="TI119" s="38"/>
      <c r="TJ119" s="38"/>
      <c r="TK119" s="38"/>
      <c r="TL119" s="38"/>
      <c r="TM119" s="38"/>
      <c r="TN119" s="38"/>
      <c r="TO119" s="38"/>
      <c r="TP119" s="38"/>
      <c r="TQ119" s="38"/>
      <c r="TR119" s="38"/>
      <c r="TS119" s="38"/>
      <c r="TT119" s="38"/>
      <c r="TU119" s="38"/>
      <c r="TV119" s="38"/>
      <c r="TW119" s="38"/>
      <c r="TX119" s="38"/>
      <c r="TY119" s="38"/>
      <c r="TZ119" s="38"/>
      <c r="UA119" s="38"/>
      <c r="UB119" s="38"/>
      <c r="UC119" s="38"/>
      <c r="UD119" s="38"/>
      <c r="UE119" s="38"/>
      <c r="UF119" s="38"/>
      <c r="UG119" s="38"/>
      <c r="UH119" s="38"/>
      <c r="UI119" s="38"/>
      <c r="UJ119" s="38"/>
      <c r="UK119" s="38"/>
      <c r="UL119" s="38"/>
      <c r="UM119" s="38"/>
      <c r="UN119" s="38"/>
      <c r="UO119" s="38"/>
      <c r="UP119" s="38"/>
      <c r="UQ119" s="38"/>
      <c r="UR119" s="38"/>
      <c r="US119" s="38"/>
      <c r="UT119" s="38"/>
      <c r="UU119" s="38"/>
      <c r="UV119" s="38"/>
      <c r="UW119" s="38"/>
      <c r="UX119" s="38"/>
      <c r="UY119" s="38"/>
      <c r="UZ119" s="38"/>
      <c r="VA119" s="38"/>
      <c r="VB119" s="38"/>
      <c r="VC119" s="38"/>
      <c r="VD119" s="38"/>
      <c r="VE119" s="38"/>
      <c r="VF119" s="38"/>
      <c r="VG119" s="38"/>
      <c r="VH119" s="38"/>
      <c r="VI119" s="38"/>
      <c r="VJ119" s="38"/>
      <c r="VK119" s="38"/>
      <c r="VL119" s="38"/>
      <c r="VM119" s="38"/>
      <c r="VN119" s="38"/>
      <c r="VO119" s="38"/>
      <c r="VP119" s="38"/>
      <c r="VQ119" s="38"/>
      <c r="VR119" s="38"/>
      <c r="VS119" s="38"/>
      <c r="VT119" s="38"/>
      <c r="VU119" s="38"/>
      <c r="VV119" s="38"/>
      <c r="VW119" s="38"/>
      <c r="VX119" s="38"/>
      <c r="VY119" s="38"/>
      <c r="VZ119" s="38"/>
      <c r="WA119" s="38"/>
      <c r="WB119" s="38"/>
      <c r="WC119" s="38"/>
      <c r="WD119" s="38"/>
      <c r="WE119" s="38"/>
      <c r="WF119" s="38"/>
      <c r="WG119" s="38"/>
      <c r="WH119" s="38"/>
      <c r="WI119" s="38"/>
      <c r="WJ119" s="38"/>
      <c r="WK119" s="38"/>
      <c r="WL119" s="38"/>
      <c r="WM119" s="38"/>
      <c r="WN119" s="38"/>
      <c r="WO119" s="38"/>
      <c r="WP119" s="38"/>
      <c r="WQ119" s="38"/>
      <c r="WR119" s="38"/>
      <c r="WS119" s="38"/>
      <c r="WT119" s="38"/>
      <c r="WU119" s="38"/>
      <c r="WV119" s="38"/>
      <c r="WW119" s="38"/>
      <c r="WX119" s="38"/>
      <c r="WY119" s="38"/>
      <c r="WZ119" s="38"/>
      <c r="XA119" s="38"/>
      <c r="XB119" s="38"/>
      <c r="XC119" s="38"/>
      <c r="XD119" s="38"/>
      <c r="XE119" s="38"/>
      <c r="XF119" s="38"/>
      <c r="XG119" s="38"/>
      <c r="XH119" s="38"/>
      <c r="XI119" s="38"/>
      <c r="XJ119" s="38"/>
      <c r="XK119" s="38"/>
      <c r="XL119" s="38"/>
      <c r="XM119" s="38"/>
      <c r="XN119" s="38"/>
      <c r="XO119" s="38"/>
      <c r="XP119" s="38"/>
      <c r="XQ119" s="38"/>
      <c r="XR119" s="38"/>
      <c r="XS119" s="38"/>
      <c r="XT119" s="38"/>
      <c r="XU119" s="38"/>
      <c r="XV119" s="38"/>
      <c r="XW119" s="38"/>
      <c r="XX119" s="38"/>
      <c r="XY119" s="38"/>
      <c r="XZ119" s="38"/>
      <c r="YA119" s="38"/>
      <c r="YB119" s="38"/>
      <c r="YC119" s="38"/>
      <c r="YD119" s="38"/>
      <c r="YE119" s="38"/>
      <c r="YF119" s="38"/>
      <c r="YG119" s="38"/>
      <c r="YH119" s="38"/>
      <c r="YI119" s="38"/>
      <c r="YJ119" s="38"/>
      <c r="YK119" s="38"/>
      <c r="YL119" s="38"/>
      <c r="YM119" s="38"/>
      <c r="YN119" s="38"/>
      <c r="YO119" s="38"/>
      <c r="YP119" s="38"/>
      <c r="YQ119" s="38"/>
      <c r="YR119" s="38"/>
      <c r="YS119" s="38"/>
      <c r="YT119" s="38"/>
      <c r="YU119" s="38"/>
      <c r="YV119" s="38"/>
      <c r="YW119" s="38"/>
      <c r="YX119" s="38"/>
      <c r="YY119" s="38"/>
      <c r="YZ119" s="38"/>
      <c r="ZA119" s="38"/>
      <c r="ZB119" s="38"/>
      <c r="ZC119" s="38"/>
      <c r="ZD119" s="38"/>
      <c r="ZE119" s="38"/>
      <c r="ZF119" s="38"/>
      <c r="ZG119" s="38"/>
      <c r="ZH119" s="38"/>
      <c r="ZI119" s="38"/>
      <c r="ZJ119" s="38"/>
      <c r="ZK119" s="38"/>
      <c r="ZL119" s="38"/>
      <c r="ZM119" s="38"/>
      <c r="ZN119" s="38"/>
      <c r="ZO119" s="38"/>
      <c r="ZP119" s="38"/>
      <c r="ZQ119" s="38"/>
      <c r="ZR119" s="38"/>
      <c r="ZS119" s="38"/>
      <c r="ZT119" s="38"/>
      <c r="ZU119" s="38"/>
      <c r="ZV119" s="38"/>
      <c r="ZW119" s="38"/>
      <c r="ZX119" s="38"/>
      <c r="ZY119" s="38"/>
      <c r="ZZ119" s="38"/>
      <c r="AAA119" s="38"/>
      <c r="AAB119" s="38"/>
      <c r="AAC119" s="38"/>
      <c r="AAD119" s="38"/>
      <c r="AAE119" s="38"/>
      <c r="AAF119" s="38"/>
      <c r="AAG119" s="38"/>
      <c r="AAH119" s="38"/>
      <c r="AAI119" s="38"/>
      <c r="AAJ119" s="38"/>
      <c r="AAK119" s="38"/>
      <c r="AAL119" s="38"/>
      <c r="AAM119" s="38"/>
      <c r="AAN119" s="38"/>
      <c r="AAO119" s="38"/>
      <c r="AAP119" s="38"/>
      <c r="AAQ119" s="38"/>
      <c r="AAR119" s="38"/>
      <c r="AAS119" s="38"/>
      <c r="AAT119" s="38"/>
      <c r="AAU119" s="38"/>
      <c r="AAV119" s="38"/>
      <c r="AAW119" s="38"/>
      <c r="AAX119" s="38"/>
      <c r="AAY119" s="38"/>
      <c r="AAZ119" s="38"/>
      <c r="ABA119" s="38"/>
      <c r="ABB119" s="38"/>
      <c r="ABC119" s="38"/>
      <c r="ABD119" s="38"/>
      <c r="ABE119" s="38"/>
      <c r="ABF119" s="38"/>
      <c r="ABG119" s="38"/>
      <c r="ABH119" s="38"/>
      <c r="ABI119" s="38"/>
      <c r="ABJ119" s="38"/>
      <c r="ABK119" s="38"/>
      <c r="ABL119" s="38"/>
      <c r="ABM119" s="38"/>
      <c r="ABN119" s="38"/>
      <c r="ABO119" s="38"/>
      <c r="ABP119" s="38"/>
      <c r="ABQ119" s="38"/>
      <c r="ABR119" s="38"/>
      <c r="ABS119" s="38"/>
      <c r="ABT119" s="38"/>
      <c r="ABU119" s="38"/>
      <c r="ABV119" s="38"/>
      <c r="ABW119" s="38"/>
      <c r="ABX119" s="38"/>
      <c r="ABY119" s="38"/>
      <c r="ABZ119" s="38"/>
      <c r="ACA119" s="38"/>
      <c r="ACB119" s="38"/>
      <c r="ACC119" s="38"/>
      <c r="ACD119" s="38"/>
      <c r="ACE119" s="38"/>
      <c r="ACF119" s="38"/>
      <c r="ACG119" s="38"/>
      <c r="ACH119" s="38"/>
      <c r="ACI119" s="38"/>
      <c r="ACJ119" s="38"/>
      <c r="ACK119" s="38"/>
      <c r="ACL119" s="38"/>
      <c r="ACM119" s="38"/>
      <c r="ACN119" s="38"/>
      <c r="ACO119" s="38"/>
      <c r="ACP119" s="38"/>
      <c r="ACQ119" s="38"/>
      <c r="ACR119" s="38"/>
      <c r="ACS119" s="38"/>
      <c r="ACT119" s="38"/>
      <c r="ACU119" s="38"/>
      <c r="ACV119" s="38"/>
      <c r="ACW119" s="38"/>
      <c r="ACX119" s="38"/>
      <c r="ACY119" s="38"/>
      <c r="ACZ119" s="38"/>
      <c r="ADA119" s="38"/>
      <c r="ADB119" s="38"/>
      <c r="ADC119" s="38"/>
      <c r="ADD119" s="38"/>
      <c r="ADE119" s="38"/>
      <c r="ADF119" s="38"/>
      <c r="ADG119" s="38"/>
      <c r="ADH119" s="38"/>
      <c r="ADI119" s="38"/>
      <c r="ADJ119" s="38"/>
      <c r="ADK119" s="38"/>
      <c r="ADL119" s="38"/>
      <c r="ADM119" s="38"/>
      <c r="ADN119" s="38"/>
      <c r="ADO119" s="38"/>
      <c r="ADP119" s="38"/>
      <c r="ADQ119" s="38"/>
      <c r="ADR119" s="38"/>
      <c r="ADS119" s="38"/>
      <c r="ADT119" s="38"/>
      <c r="ADU119" s="38"/>
      <c r="ADV119" s="38"/>
      <c r="ADW119" s="38"/>
      <c r="ADX119" s="38"/>
      <c r="ADY119" s="38"/>
      <c r="ADZ119" s="38"/>
      <c r="AEA119" s="38"/>
      <c r="AEB119" s="38"/>
      <c r="AEC119" s="38"/>
      <c r="AED119" s="38"/>
      <c r="AEE119" s="38"/>
      <c r="AEF119" s="38"/>
      <c r="AEG119" s="38"/>
      <c r="AEH119" s="38"/>
      <c r="AEI119" s="38"/>
      <c r="AEJ119" s="38"/>
      <c r="AEK119" s="38"/>
      <c r="AEL119" s="38"/>
      <c r="AEM119" s="38"/>
      <c r="AEN119" s="38"/>
      <c r="AEO119" s="38"/>
      <c r="AEP119" s="38"/>
      <c r="AEQ119" s="38"/>
      <c r="AER119" s="38"/>
      <c r="AES119" s="38"/>
      <c r="AET119" s="38"/>
      <c r="AEU119" s="38"/>
      <c r="AEV119" s="38"/>
      <c r="AEW119" s="38"/>
      <c r="AEX119" s="38"/>
      <c r="AEY119" s="38"/>
      <c r="AEZ119" s="38"/>
      <c r="AFA119" s="38"/>
      <c r="AFB119" s="38"/>
      <c r="AFC119" s="38"/>
      <c r="AFD119" s="38"/>
      <c r="AFE119" s="38"/>
      <c r="AFF119" s="38"/>
      <c r="AFG119" s="38"/>
      <c r="AFH119" s="38"/>
      <c r="AFI119" s="38"/>
      <c r="AFJ119" s="38"/>
      <c r="AFK119" s="38"/>
      <c r="AFL119" s="38"/>
      <c r="AFM119" s="38"/>
      <c r="AFN119" s="38"/>
      <c r="AFO119" s="38"/>
      <c r="AFP119" s="38"/>
      <c r="AFQ119" s="38"/>
      <c r="AFR119" s="38"/>
      <c r="AFS119" s="38"/>
      <c r="AFT119" s="38"/>
      <c r="AFU119" s="38"/>
      <c r="AFV119" s="38"/>
      <c r="AFW119" s="38"/>
      <c r="AFX119" s="38"/>
      <c r="AFY119" s="38"/>
      <c r="AFZ119" s="38"/>
      <c r="AGA119" s="38"/>
      <c r="AGB119" s="38"/>
      <c r="AGC119" s="38"/>
      <c r="AGD119" s="38"/>
      <c r="AGE119" s="38"/>
      <c r="AGF119" s="38"/>
      <c r="AGG119" s="38"/>
      <c r="AGH119" s="38"/>
      <c r="AGI119" s="38"/>
      <c r="AGJ119" s="38"/>
      <c r="AGK119" s="38"/>
      <c r="AGL119" s="38"/>
      <c r="AGM119" s="38"/>
      <c r="AGN119" s="38"/>
      <c r="AGO119" s="38"/>
      <c r="AGP119" s="38"/>
      <c r="AGQ119" s="38"/>
      <c r="AGR119" s="38"/>
      <c r="AGS119" s="38"/>
      <c r="AGT119" s="38"/>
      <c r="AGU119" s="38"/>
      <c r="AGV119" s="38"/>
      <c r="AGW119" s="38"/>
      <c r="AGX119" s="38"/>
      <c r="AGY119" s="38"/>
      <c r="AGZ119" s="38"/>
      <c r="AHA119" s="38"/>
      <c r="AHB119" s="38"/>
      <c r="AHC119" s="38"/>
      <c r="AHD119" s="38"/>
      <c r="AHE119" s="38"/>
      <c r="AHF119" s="38"/>
      <c r="AHG119" s="38"/>
      <c r="AHH119" s="38"/>
      <c r="AHI119" s="38"/>
      <c r="AHJ119" s="38"/>
      <c r="AHK119" s="38"/>
      <c r="AHL119" s="38"/>
      <c r="AHM119" s="38"/>
      <c r="AHN119" s="38"/>
      <c r="AHO119" s="38"/>
      <c r="AHP119" s="38"/>
      <c r="AHQ119" s="38"/>
      <c r="AHR119" s="38"/>
      <c r="AHS119" s="38"/>
      <c r="AHT119" s="38"/>
      <c r="AHU119" s="38"/>
      <c r="AHV119" s="38"/>
    </row>
    <row r="120" spans="1:906" s="27" customFormat="1" x14ac:dyDescent="0.35">
      <c r="A120" s="83">
        <v>115</v>
      </c>
      <c r="B120" s="108" t="s">
        <v>203</v>
      </c>
      <c r="C120" s="109" t="s">
        <v>204</v>
      </c>
      <c r="D120" s="109" t="s">
        <v>205</v>
      </c>
      <c r="E120" s="125">
        <v>12.99</v>
      </c>
      <c r="F120" s="125">
        <v>12.95</v>
      </c>
      <c r="G120" s="125">
        <v>11.75</v>
      </c>
      <c r="H120" s="125">
        <v>12</v>
      </c>
      <c r="I120" s="37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  <c r="BP120" s="38"/>
      <c r="BQ120" s="38"/>
      <c r="BR120" s="38"/>
      <c r="BS120" s="38"/>
      <c r="BT120" s="38"/>
      <c r="BU120" s="38"/>
      <c r="BV120" s="38"/>
      <c r="BW120" s="38"/>
      <c r="BX120" s="38"/>
      <c r="BY120" s="38"/>
      <c r="BZ120" s="38"/>
      <c r="CA120" s="38"/>
      <c r="CB120" s="38"/>
      <c r="CC120" s="38"/>
      <c r="CD120" s="38"/>
      <c r="CE120" s="38"/>
      <c r="CF120" s="38"/>
      <c r="CG120" s="38"/>
      <c r="CH120" s="38"/>
      <c r="CI120" s="38"/>
      <c r="CJ120" s="38"/>
      <c r="CK120" s="38"/>
      <c r="CL120" s="38"/>
      <c r="CM120" s="38"/>
      <c r="CN120" s="38"/>
      <c r="CO120" s="38"/>
      <c r="CP120" s="38"/>
      <c r="CQ120" s="38"/>
      <c r="CR120" s="38"/>
      <c r="CS120" s="38"/>
      <c r="CT120" s="38"/>
      <c r="CU120" s="38"/>
      <c r="CV120" s="38"/>
      <c r="CW120" s="38"/>
      <c r="CX120" s="38"/>
      <c r="CY120" s="38"/>
      <c r="CZ120" s="38"/>
      <c r="DA120" s="38"/>
      <c r="DB120" s="38"/>
      <c r="DC120" s="38"/>
      <c r="DD120" s="38"/>
      <c r="DE120" s="38"/>
      <c r="DF120" s="38"/>
      <c r="DG120" s="38"/>
      <c r="DH120" s="38"/>
      <c r="DI120" s="38"/>
      <c r="DJ120" s="38"/>
      <c r="DK120" s="38"/>
      <c r="DL120" s="38"/>
      <c r="DM120" s="38"/>
      <c r="DN120" s="38"/>
      <c r="DO120" s="38"/>
      <c r="DP120" s="38"/>
      <c r="DQ120" s="38"/>
      <c r="DR120" s="38"/>
      <c r="DS120" s="38"/>
      <c r="DT120" s="38"/>
      <c r="DU120" s="38"/>
      <c r="DV120" s="38"/>
      <c r="DW120" s="38"/>
      <c r="DX120" s="38"/>
      <c r="DY120" s="38"/>
      <c r="DZ120" s="38"/>
      <c r="EA120" s="38"/>
      <c r="EB120" s="38"/>
      <c r="EC120" s="38"/>
      <c r="ED120" s="38"/>
      <c r="EE120" s="38"/>
      <c r="EF120" s="38"/>
      <c r="EG120" s="38"/>
      <c r="EH120" s="38"/>
      <c r="EI120" s="38"/>
      <c r="EJ120" s="38"/>
      <c r="EK120" s="38"/>
      <c r="EL120" s="38"/>
      <c r="EM120" s="38"/>
      <c r="EN120" s="38"/>
      <c r="EO120" s="38"/>
      <c r="EP120" s="38"/>
      <c r="EQ120" s="38"/>
      <c r="ER120" s="38"/>
      <c r="ES120" s="38"/>
      <c r="ET120" s="38"/>
      <c r="EU120" s="38"/>
      <c r="EV120" s="38"/>
      <c r="EW120" s="38"/>
      <c r="EX120" s="38"/>
      <c r="EY120" s="38"/>
      <c r="EZ120" s="38"/>
      <c r="FA120" s="38"/>
      <c r="FB120" s="38"/>
      <c r="FC120" s="38"/>
      <c r="FD120" s="38"/>
      <c r="FE120" s="38"/>
      <c r="FF120" s="38"/>
      <c r="FG120" s="38"/>
      <c r="FH120" s="38"/>
      <c r="FI120" s="38"/>
      <c r="FJ120" s="38"/>
      <c r="FK120" s="38"/>
      <c r="FL120" s="38"/>
      <c r="FM120" s="38"/>
      <c r="FN120" s="38"/>
      <c r="FO120" s="38"/>
      <c r="FP120" s="38"/>
      <c r="FQ120" s="38"/>
      <c r="FR120" s="38"/>
      <c r="FS120" s="38"/>
      <c r="FT120" s="38"/>
      <c r="FU120" s="38"/>
      <c r="FV120" s="38"/>
      <c r="FW120" s="38"/>
      <c r="FX120" s="38"/>
      <c r="FY120" s="38"/>
      <c r="FZ120" s="38"/>
      <c r="GA120" s="38"/>
      <c r="GB120" s="38"/>
      <c r="GC120" s="38"/>
      <c r="GD120" s="38"/>
      <c r="GE120" s="38"/>
      <c r="GF120" s="38"/>
      <c r="GG120" s="38"/>
      <c r="GH120" s="38"/>
      <c r="GI120" s="38"/>
      <c r="GJ120" s="38"/>
      <c r="GK120" s="38"/>
      <c r="GL120" s="38"/>
      <c r="GM120" s="38"/>
      <c r="GN120" s="38"/>
      <c r="GO120" s="38"/>
      <c r="GP120" s="38"/>
      <c r="GQ120" s="38"/>
      <c r="GR120" s="38"/>
      <c r="GS120" s="38"/>
      <c r="GT120" s="38"/>
      <c r="GU120" s="38"/>
      <c r="GV120" s="38"/>
      <c r="GW120" s="38"/>
      <c r="GX120" s="38"/>
      <c r="GY120" s="38"/>
      <c r="GZ120" s="38"/>
      <c r="HA120" s="38"/>
      <c r="HB120" s="38"/>
      <c r="HC120" s="38"/>
      <c r="HD120" s="38"/>
      <c r="HE120" s="38"/>
      <c r="HF120" s="38"/>
      <c r="HG120" s="38"/>
      <c r="HH120" s="38"/>
      <c r="HI120" s="38"/>
      <c r="HJ120" s="38"/>
      <c r="HK120" s="38"/>
      <c r="HL120" s="38"/>
      <c r="HM120" s="38"/>
      <c r="HN120" s="38"/>
      <c r="HO120" s="38"/>
      <c r="HP120" s="38"/>
      <c r="HQ120" s="38"/>
      <c r="HR120" s="38"/>
      <c r="HS120" s="38"/>
      <c r="HT120" s="38"/>
      <c r="HU120" s="38"/>
      <c r="HV120" s="38"/>
      <c r="HW120" s="38"/>
      <c r="HX120" s="38"/>
      <c r="HY120" s="38"/>
      <c r="HZ120" s="38"/>
      <c r="IA120" s="38"/>
      <c r="IB120" s="38"/>
      <c r="IC120" s="38"/>
      <c r="ID120" s="38"/>
      <c r="IE120" s="38"/>
      <c r="IF120" s="38"/>
      <c r="IG120" s="38"/>
      <c r="IH120" s="38"/>
      <c r="II120" s="38"/>
      <c r="IJ120" s="38"/>
      <c r="IK120" s="38"/>
      <c r="IL120" s="38"/>
      <c r="IM120" s="38"/>
      <c r="IN120" s="38"/>
      <c r="IO120" s="38"/>
      <c r="IP120" s="38"/>
      <c r="IQ120" s="38"/>
      <c r="IR120" s="38"/>
      <c r="IS120" s="38"/>
      <c r="IT120" s="38"/>
      <c r="IU120" s="38"/>
      <c r="IV120" s="38"/>
      <c r="IW120" s="38"/>
      <c r="IX120" s="38"/>
      <c r="IY120" s="38"/>
      <c r="IZ120" s="38"/>
      <c r="JA120" s="38"/>
      <c r="JB120" s="38"/>
      <c r="JC120" s="38"/>
      <c r="JD120" s="38"/>
      <c r="JE120" s="38"/>
      <c r="JF120" s="38"/>
      <c r="JG120" s="38"/>
      <c r="JH120" s="38"/>
      <c r="JI120" s="38"/>
      <c r="JJ120" s="38"/>
      <c r="JK120" s="38"/>
      <c r="JL120" s="38"/>
      <c r="JM120" s="38"/>
      <c r="JN120" s="38"/>
      <c r="JO120" s="38"/>
      <c r="JP120" s="38"/>
      <c r="JQ120" s="38"/>
      <c r="JR120" s="38"/>
      <c r="JS120" s="38"/>
      <c r="JT120" s="38"/>
      <c r="JU120" s="38"/>
      <c r="JV120" s="38"/>
      <c r="JW120" s="38"/>
      <c r="JX120" s="38"/>
      <c r="JY120" s="38"/>
      <c r="JZ120" s="38"/>
      <c r="KA120" s="38"/>
      <c r="KB120" s="38"/>
      <c r="KC120" s="38"/>
      <c r="KD120" s="38"/>
      <c r="KE120" s="38"/>
      <c r="KF120" s="38"/>
      <c r="KG120" s="38"/>
      <c r="KH120" s="38"/>
      <c r="KI120" s="38"/>
      <c r="KJ120" s="38"/>
      <c r="KK120" s="38"/>
      <c r="KL120" s="38"/>
      <c r="KM120" s="38"/>
      <c r="KN120" s="38"/>
      <c r="KO120" s="38"/>
      <c r="KP120" s="38"/>
      <c r="KQ120" s="38"/>
      <c r="KR120" s="38"/>
      <c r="KS120" s="38"/>
      <c r="KT120" s="38"/>
      <c r="KU120" s="38"/>
      <c r="KV120" s="38"/>
      <c r="KW120" s="38"/>
      <c r="KX120" s="38"/>
      <c r="KY120" s="38"/>
      <c r="KZ120" s="38"/>
      <c r="LA120" s="38"/>
      <c r="LB120" s="38"/>
      <c r="LC120" s="38"/>
      <c r="LD120" s="38"/>
      <c r="LE120" s="38"/>
      <c r="LF120" s="38"/>
      <c r="LG120" s="38"/>
      <c r="LH120" s="38"/>
      <c r="LI120" s="38"/>
      <c r="LJ120" s="38"/>
      <c r="LK120" s="38"/>
      <c r="LL120" s="38"/>
      <c r="LM120" s="38"/>
      <c r="LN120" s="38"/>
      <c r="LO120" s="38"/>
      <c r="LP120" s="38"/>
      <c r="LQ120" s="38"/>
      <c r="LR120" s="38"/>
      <c r="LS120" s="38"/>
      <c r="LT120" s="38"/>
      <c r="LU120" s="38"/>
      <c r="LV120" s="38"/>
      <c r="LW120" s="38"/>
      <c r="LX120" s="38"/>
      <c r="LY120" s="38"/>
      <c r="LZ120" s="38"/>
      <c r="MA120" s="38"/>
      <c r="MB120" s="38"/>
      <c r="MC120" s="38"/>
      <c r="MD120" s="38"/>
      <c r="ME120" s="38"/>
      <c r="MF120" s="38"/>
      <c r="MG120" s="38"/>
      <c r="MH120" s="38"/>
      <c r="MI120" s="38"/>
      <c r="MJ120" s="38"/>
      <c r="MK120" s="38"/>
      <c r="ML120" s="38"/>
      <c r="MM120" s="38"/>
      <c r="MN120" s="38"/>
      <c r="MO120" s="38"/>
      <c r="MP120" s="38"/>
      <c r="MQ120" s="38"/>
      <c r="MR120" s="38"/>
      <c r="MS120" s="38"/>
      <c r="MT120" s="38"/>
      <c r="MU120" s="38"/>
      <c r="MV120" s="38"/>
      <c r="MW120" s="38"/>
      <c r="MX120" s="38"/>
      <c r="MY120" s="38"/>
      <c r="MZ120" s="38"/>
      <c r="NA120" s="38"/>
      <c r="NB120" s="38"/>
      <c r="NC120" s="38"/>
      <c r="ND120" s="38"/>
      <c r="NE120" s="38"/>
      <c r="NF120" s="38"/>
      <c r="NG120" s="38"/>
      <c r="NH120" s="38"/>
      <c r="NI120" s="38"/>
      <c r="NJ120" s="38"/>
      <c r="NK120" s="38"/>
      <c r="NL120" s="38"/>
      <c r="NM120" s="38"/>
      <c r="NN120" s="38"/>
      <c r="NO120" s="38"/>
      <c r="NP120" s="38"/>
      <c r="NQ120" s="38"/>
      <c r="NR120" s="38"/>
      <c r="NS120" s="38"/>
      <c r="NT120" s="38"/>
      <c r="NU120" s="38"/>
      <c r="NV120" s="38"/>
      <c r="NW120" s="38"/>
      <c r="NX120" s="38"/>
      <c r="NY120" s="38"/>
      <c r="NZ120" s="38"/>
      <c r="OA120" s="38"/>
      <c r="OB120" s="38"/>
      <c r="OC120" s="38"/>
      <c r="OD120" s="38"/>
      <c r="OE120" s="38"/>
      <c r="OF120" s="38"/>
      <c r="OG120" s="38"/>
      <c r="OH120" s="38"/>
      <c r="OI120" s="38"/>
      <c r="OJ120" s="38"/>
      <c r="OK120" s="38"/>
      <c r="OL120" s="38"/>
      <c r="OM120" s="38"/>
      <c r="ON120" s="38"/>
      <c r="OO120" s="38"/>
      <c r="OP120" s="38"/>
      <c r="OQ120" s="38"/>
      <c r="OR120" s="38"/>
      <c r="OS120" s="38"/>
      <c r="OT120" s="38"/>
      <c r="OU120" s="38"/>
      <c r="OV120" s="38"/>
      <c r="OW120" s="38"/>
      <c r="OX120" s="38"/>
      <c r="OY120" s="38"/>
      <c r="OZ120" s="38"/>
      <c r="PA120" s="38"/>
      <c r="PB120" s="38"/>
      <c r="PC120" s="38"/>
      <c r="PD120" s="38"/>
      <c r="PE120" s="38"/>
      <c r="PF120" s="38"/>
      <c r="PG120" s="38"/>
      <c r="PH120" s="38"/>
      <c r="PI120" s="38"/>
      <c r="PJ120" s="38"/>
      <c r="PK120" s="38"/>
      <c r="PL120" s="38"/>
      <c r="PM120" s="38"/>
      <c r="PN120" s="38"/>
      <c r="PO120" s="38"/>
      <c r="PP120" s="38"/>
      <c r="PQ120" s="38"/>
      <c r="PR120" s="38"/>
      <c r="PS120" s="38"/>
      <c r="PT120" s="38"/>
      <c r="PU120" s="38"/>
      <c r="PV120" s="38"/>
      <c r="PW120" s="38"/>
      <c r="PX120" s="38"/>
      <c r="PY120" s="38"/>
      <c r="PZ120" s="38"/>
      <c r="QA120" s="38"/>
      <c r="QB120" s="38"/>
      <c r="QC120" s="38"/>
      <c r="QD120" s="38"/>
      <c r="QE120" s="38"/>
      <c r="QF120" s="38"/>
      <c r="QG120" s="38"/>
      <c r="QH120" s="38"/>
      <c r="QI120" s="38"/>
      <c r="QJ120" s="38"/>
      <c r="QK120" s="38"/>
      <c r="QL120" s="38"/>
      <c r="QM120" s="38"/>
      <c r="QN120" s="38"/>
      <c r="QO120" s="38"/>
      <c r="QP120" s="38"/>
      <c r="QQ120" s="38"/>
      <c r="QR120" s="38"/>
      <c r="QS120" s="38"/>
      <c r="QT120" s="38"/>
      <c r="QU120" s="38"/>
      <c r="QV120" s="38"/>
      <c r="QW120" s="38"/>
      <c r="QX120" s="38"/>
      <c r="QY120" s="38"/>
      <c r="QZ120" s="38"/>
      <c r="RA120" s="38"/>
      <c r="RB120" s="38"/>
      <c r="RC120" s="38"/>
      <c r="RD120" s="38"/>
      <c r="RE120" s="38"/>
      <c r="RF120" s="38"/>
      <c r="RG120" s="38"/>
      <c r="RH120" s="38"/>
      <c r="RI120" s="38"/>
      <c r="RJ120" s="38"/>
      <c r="RK120" s="38"/>
      <c r="RL120" s="38"/>
      <c r="RM120" s="38"/>
      <c r="RN120" s="38"/>
      <c r="RO120" s="38"/>
      <c r="RP120" s="38"/>
      <c r="RQ120" s="38"/>
      <c r="RR120" s="38"/>
      <c r="RS120" s="38"/>
      <c r="RT120" s="38"/>
      <c r="RU120" s="38"/>
      <c r="RV120" s="38"/>
      <c r="RW120" s="38"/>
      <c r="RX120" s="38"/>
      <c r="RY120" s="38"/>
      <c r="RZ120" s="38"/>
      <c r="SA120" s="38"/>
      <c r="SB120" s="38"/>
      <c r="SC120" s="38"/>
      <c r="SD120" s="38"/>
      <c r="SE120" s="38"/>
      <c r="SF120" s="38"/>
      <c r="SG120" s="38"/>
      <c r="SH120" s="38"/>
      <c r="SI120" s="38"/>
      <c r="SJ120" s="38"/>
      <c r="SK120" s="38"/>
      <c r="SL120" s="38"/>
      <c r="SM120" s="38"/>
      <c r="SN120" s="38"/>
      <c r="SO120" s="38"/>
      <c r="SP120" s="38"/>
      <c r="SQ120" s="38"/>
      <c r="SR120" s="38"/>
      <c r="SS120" s="38"/>
      <c r="ST120" s="38"/>
      <c r="SU120" s="38"/>
      <c r="SV120" s="38"/>
      <c r="SW120" s="38"/>
      <c r="SX120" s="38"/>
      <c r="SY120" s="38"/>
      <c r="SZ120" s="38"/>
      <c r="TA120" s="38"/>
      <c r="TB120" s="38"/>
      <c r="TC120" s="38"/>
      <c r="TD120" s="38"/>
      <c r="TE120" s="38"/>
      <c r="TF120" s="38"/>
      <c r="TG120" s="38"/>
      <c r="TH120" s="38"/>
      <c r="TI120" s="38"/>
      <c r="TJ120" s="38"/>
      <c r="TK120" s="38"/>
      <c r="TL120" s="38"/>
      <c r="TM120" s="38"/>
      <c r="TN120" s="38"/>
      <c r="TO120" s="38"/>
      <c r="TP120" s="38"/>
      <c r="TQ120" s="38"/>
      <c r="TR120" s="38"/>
      <c r="TS120" s="38"/>
      <c r="TT120" s="38"/>
      <c r="TU120" s="38"/>
      <c r="TV120" s="38"/>
      <c r="TW120" s="38"/>
      <c r="TX120" s="38"/>
      <c r="TY120" s="38"/>
      <c r="TZ120" s="38"/>
      <c r="UA120" s="38"/>
      <c r="UB120" s="38"/>
      <c r="UC120" s="38"/>
      <c r="UD120" s="38"/>
      <c r="UE120" s="38"/>
      <c r="UF120" s="38"/>
      <c r="UG120" s="38"/>
      <c r="UH120" s="38"/>
      <c r="UI120" s="38"/>
      <c r="UJ120" s="38"/>
      <c r="UK120" s="38"/>
      <c r="UL120" s="38"/>
      <c r="UM120" s="38"/>
      <c r="UN120" s="38"/>
      <c r="UO120" s="38"/>
      <c r="UP120" s="38"/>
      <c r="UQ120" s="38"/>
      <c r="UR120" s="38"/>
      <c r="US120" s="38"/>
      <c r="UT120" s="38"/>
      <c r="UU120" s="38"/>
      <c r="UV120" s="38"/>
      <c r="UW120" s="38"/>
      <c r="UX120" s="38"/>
      <c r="UY120" s="38"/>
      <c r="UZ120" s="38"/>
      <c r="VA120" s="38"/>
      <c r="VB120" s="38"/>
      <c r="VC120" s="38"/>
      <c r="VD120" s="38"/>
      <c r="VE120" s="38"/>
      <c r="VF120" s="38"/>
      <c r="VG120" s="38"/>
      <c r="VH120" s="38"/>
      <c r="VI120" s="38"/>
      <c r="VJ120" s="38"/>
      <c r="VK120" s="38"/>
      <c r="VL120" s="38"/>
      <c r="VM120" s="38"/>
      <c r="VN120" s="38"/>
      <c r="VO120" s="38"/>
      <c r="VP120" s="38"/>
      <c r="VQ120" s="38"/>
      <c r="VR120" s="38"/>
      <c r="VS120" s="38"/>
      <c r="VT120" s="38"/>
      <c r="VU120" s="38"/>
      <c r="VV120" s="38"/>
      <c r="VW120" s="38"/>
      <c r="VX120" s="38"/>
      <c r="VY120" s="38"/>
      <c r="VZ120" s="38"/>
      <c r="WA120" s="38"/>
      <c r="WB120" s="38"/>
      <c r="WC120" s="38"/>
      <c r="WD120" s="38"/>
      <c r="WE120" s="38"/>
      <c r="WF120" s="38"/>
      <c r="WG120" s="38"/>
      <c r="WH120" s="38"/>
      <c r="WI120" s="38"/>
      <c r="WJ120" s="38"/>
      <c r="WK120" s="38"/>
      <c r="WL120" s="38"/>
      <c r="WM120" s="38"/>
      <c r="WN120" s="38"/>
      <c r="WO120" s="38"/>
      <c r="WP120" s="38"/>
      <c r="WQ120" s="38"/>
      <c r="WR120" s="38"/>
      <c r="WS120" s="38"/>
      <c r="WT120" s="38"/>
      <c r="WU120" s="38"/>
      <c r="WV120" s="38"/>
      <c r="WW120" s="38"/>
      <c r="WX120" s="38"/>
      <c r="WY120" s="38"/>
      <c r="WZ120" s="38"/>
      <c r="XA120" s="38"/>
      <c r="XB120" s="38"/>
      <c r="XC120" s="38"/>
      <c r="XD120" s="38"/>
      <c r="XE120" s="38"/>
      <c r="XF120" s="38"/>
      <c r="XG120" s="38"/>
      <c r="XH120" s="38"/>
      <c r="XI120" s="38"/>
      <c r="XJ120" s="38"/>
      <c r="XK120" s="38"/>
      <c r="XL120" s="38"/>
      <c r="XM120" s="38"/>
      <c r="XN120" s="38"/>
      <c r="XO120" s="38"/>
      <c r="XP120" s="38"/>
      <c r="XQ120" s="38"/>
      <c r="XR120" s="38"/>
      <c r="XS120" s="38"/>
      <c r="XT120" s="38"/>
      <c r="XU120" s="38"/>
      <c r="XV120" s="38"/>
      <c r="XW120" s="38"/>
      <c r="XX120" s="38"/>
      <c r="XY120" s="38"/>
      <c r="XZ120" s="38"/>
      <c r="YA120" s="38"/>
      <c r="YB120" s="38"/>
      <c r="YC120" s="38"/>
      <c r="YD120" s="38"/>
      <c r="YE120" s="38"/>
      <c r="YF120" s="38"/>
      <c r="YG120" s="38"/>
      <c r="YH120" s="38"/>
      <c r="YI120" s="38"/>
      <c r="YJ120" s="38"/>
      <c r="YK120" s="38"/>
      <c r="YL120" s="38"/>
      <c r="YM120" s="38"/>
      <c r="YN120" s="38"/>
      <c r="YO120" s="38"/>
      <c r="YP120" s="38"/>
      <c r="YQ120" s="38"/>
      <c r="YR120" s="38"/>
      <c r="YS120" s="38"/>
      <c r="YT120" s="38"/>
      <c r="YU120" s="38"/>
      <c r="YV120" s="38"/>
      <c r="YW120" s="38"/>
      <c r="YX120" s="38"/>
      <c r="YY120" s="38"/>
      <c r="YZ120" s="38"/>
      <c r="ZA120" s="38"/>
      <c r="ZB120" s="38"/>
      <c r="ZC120" s="38"/>
      <c r="ZD120" s="38"/>
      <c r="ZE120" s="38"/>
      <c r="ZF120" s="38"/>
      <c r="ZG120" s="38"/>
      <c r="ZH120" s="38"/>
      <c r="ZI120" s="38"/>
      <c r="ZJ120" s="38"/>
      <c r="ZK120" s="38"/>
      <c r="ZL120" s="38"/>
      <c r="ZM120" s="38"/>
      <c r="ZN120" s="38"/>
      <c r="ZO120" s="38"/>
      <c r="ZP120" s="38"/>
      <c r="ZQ120" s="38"/>
      <c r="ZR120" s="38"/>
      <c r="ZS120" s="38"/>
      <c r="ZT120" s="38"/>
      <c r="ZU120" s="38"/>
      <c r="ZV120" s="38"/>
      <c r="ZW120" s="38"/>
      <c r="ZX120" s="38"/>
      <c r="ZY120" s="38"/>
      <c r="ZZ120" s="38"/>
      <c r="AAA120" s="38"/>
      <c r="AAB120" s="38"/>
      <c r="AAC120" s="38"/>
      <c r="AAD120" s="38"/>
      <c r="AAE120" s="38"/>
      <c r="AAF120" s="38"/>
      <c r="AAG120" s="38"/>
      <c r="AAH120" s="38"/>
      <c r="AAI120" s="38"/>
      <c r="AAJ120" s="38"/>
      <c r="AAK120" s="38"/>
      <c r="AAL120" s="38"/>
      <c r="AAM120" s="38"/>
      <c r="AAN120" s="38"/>
      <c r="AAO120" s="38"/>
      <c r="AAP120" s="38"/>
      <c r="AAQ120" s="38"/>
      <c r="AAR120" s="38"/>
      <c r="AAS120" s="38"/>
      <c r="AAT120" s="38"/>
      <c r="AAU120" s="38"/>
      <c r="AAV120" s="38"/>
      <c r="AAW120" s="38"/>
      <c r="AAX120" s="38"/>
      <c r="AAY120" s="38"/>
      <c r="AAZ120" s="38"/>
      <c r="ABA120" s="38"/>
      <c r="ABB120" s="38"/>
      <c r="ABC120" s="38"/>
      <c r="ABD120" s="38"/>
      <c r="ABE120" s="38"/>
      <c r="ABF120" s="38"/>
      <c r="ABG120" s="38"/>
      <c r="ABH120" s="38"/>
      <c r="ABI120" s="38"/>
      <c r="ABJ120" s="38"/>
      <c r="ABK120" s="38"/>
      <c r="ABL120" s="38"/>
      <c r="ABM120" s="38"/>
      <c r="ABN120" s="38"/>
      <c r="ABO120" s="38"/>
      <c r="ABP120" s="38"/>
      <c r="ABQ120" s="38"/>
      <c r="ABR120" s="38"/>
      <c r="ABS120" s="38"/>
      <c r="ABT120" s="38"/>
      <c r="ABU120" s="38"/>
      <c r="ABV120" s="38"/>
      <c r="ABW120" s="38"/>
      <c r="ABX120" s="38"/>
      <c r="ABY120" s="38"/>
      <c r="ABZ120" s="38"/>
      <c r="ACA120" s="38"/>
      <c r="ACB120" s="38"/>
      <c r="ACC120" s="38"/>
      <c r="ACD120" s="38"/>
      <c r="ACE120" s="38"/>
      <c r="ACF120" s="38"/>
      <c r="ACG120" s="38"/>
      <c r="ACH120" s="38"/>
      <c r="ACI120" s="38"/>
      <c r="ACJ120" s="38"/>
      <c r="ACK120" s="38"/>
      <c r="ACL120" s="38"/>
      <c r="ACM120" s="38"/>
      <c r="ACN120" s="38"/>
      <c r="ACO120" s="38"/>
      <c r="ACP120" s="38"/>
      <c r="ACQ120" s="38"/>
      <c r="ACR120" s="38"/>
      <c r="ACS120" s="38"/>
      <c r="ACT120" s="38"/>
      <c r="ACU120" s="38"/>
      <c r="ACV120" s="38"/>
      <c r="ACW120" s="38"/>
      <c r="ACX120" s="38"/>
      <c r="ACY120" s="38"/>
      <c r="ACZ120" s="38"/>
      <c r="ADA120" s="38"/>
      <c r="ADB120" s="38"/>
      <c r="ADC120" s="38"/>
      <c r="ADD120" s="38"/>
      <c r="ADE120" s="38"/>
      <c r="ADF120" s="38"/>
      <c r="ADG120" s="38"/>
      <c r="ADH120" s="38"/>
      <c r="ADI120" s="38"/>
      <c r="ADJ120" s="38"/>
      <c r="ADK120" s="38"/>
      <c r="ADL120" s="38"/>
      <c r="ADM120" s="38"/>
      <c r="ADN120" s="38"/>
      <c r="ADO120" s="38"/>
      <c r="ADP120" s="38"/>
      <c r="ADQ120" s="38"/>
      <c r="ADR120" s="38"/>
      <c r="ADS120" s="38"/>
      <c r="ADT120" s="38"/>
      <c r="ADU120" s="38"/>
      <c r="ADV120" s="38"/>
      <c r="ADW120" s="38"/>
      <c r="ADX120" s="38"/>
      <c r="ADY120" s="38"/>
      <c r="ADZ120" s="38"/>
      <c r="AEA120" s="38"/>
      <c r="AEB120" s="38"/>
      <c r="AEC120" s="38"/>
      <c r="AED120" s="38"/>
      <c r="AEE120" s="38"/>
      <c r="AEF120" s="38"/>
      <c r="AEG120" s="38"/>
      <c r="AEH120" s="38"/>
      <c r="AEI120" s="38"/>
      <c r="AEJ120" s="38"/>
      <c r="AEK120" s="38"/>
      <c r="AEL120" s="38"/>
      <c r="AEM120" s="38"/>
      <c r="AEN120" s="38"/>
      <c r="AEO120" s="38"/>
      <c r="AEP120" s="38"/>
      <c r="AEQ120" s="38"/>
      <c r="AER120" s="38"/>
      <c r="AES120" s="38"/>
      <c r="AET120" s="38"/>
      <c r="AEU120" s="38"/>
      <c r="AEV120" s="38"/>
      <c r="AEW120" s="38"/>
      <c r="AEX120" s="38"/>
      <c r="AEY120" s="38"/>
      <c r="AEZ120" s="38"/>
      <c r="AFA120" s="38"/>
      <c r="AFB120" s="38"/>
      <c r="AFC120" s="38"/>
      <c r="AFD120" s="38"/>
      <c r="AFE120" s="38"/>
      <c r="AFF120" s="38"/>
      <c r="AFG120" s="38"/>
      <c r="AFH120" s="38"/>
      <c r="AFI120" s="38"/>
      <c r="AFJ120" s="38"/>
      <c r="AFK120" s="38"/>
      <c r="AFL120" s="38"/>
      <c r="AFM120" s="38"/>
      <c r="AFN120" s="38"/>
      <c r="AFO120" s="38"/>
      <c r="AFP120" s="38"/>
      <c r="AFQ120" s="38"/>
      <c r="AFR120" s="38"/>
      <c r="AFS120" s="38"/>
      <c r="AFT120" s="38"/>
      <c r="AFU120" s="38"/>
      <c r="AFV120" s="38"/>
      <c r="AFW120" s="38"/>
      <c r="AFX120" s="38"/>
      <c r="AFY120" s="38"/>
      <c r="AFZ120" s="38"/>
      <c r="AGA120" s="38"/>
      <c r="AGB120" s="38"/>
      <c r="AGC120" s="38"/>
      <c r="AGD120" s="38"/>
      <c r="AGE120" s="38"/>
      <c r="AGF120" s="38"/>
      <c r="AGG120" s="38"/>
      <c r="AGH120" s="38"/>
      <c r="AGI120" s="38"/>
      <c r="AGJ120" s="38"/>
      <c r="AGK120" s="38"/>
      <c r="AGL120" s="38"/>
      <c r="AGM120" s="38"/>
      <c r="AGN120" s="38"/>
      <c r="AGO120" s="38"/>
      <c r="AGP120" s="38"/>
      <c r="AGQ120" s="38"/>
      <c r="AGR120" s="38"/>
      <c r="AGS120" s="38"/>
      <c r="AGT120" s="38"/>
      <c r="AGU120" s="38"/>
      <c r="AGV120" s="38"/>
      <c r="AGW120" s="38"/>
      <c r="AGX120" s="38"/>
      <c r="AGY120" s="38"/>
      <c r="AGZ120" s="38"/>
      <c r="AHA120" s="38"/>
      <c r="AHB120" s="38"/>
      <c r="AHC120" s="38"/>
      <c r="AHD120" s="38"/>
      <c r="AHE120" s="38"/>
      <c r="AHF120" s="38"/>
      <c r="AHG120" s="38"/>
      <c r="AHH120" s="38"/>
      <c r="AHI120" s="38"/>
      <c r="AHJ120" s="38"/>
      <c r="AHK120" s="38"/>
      <c r="AHL120" s="38"/>
      <c r="AHM120" s="38"/>
      <c r="AHN120" s="38"/>
      <c r="AHO120" s="38"/>
      <c r="AHP120" s="38"/>
      <c r="AHQ120" s="38"/>
      <c r="AHR120" s="38"/>
      <c r="AHS120" s="38"/>
      <c r="AHT120" s="38"/>
      <c r="AHU120" s="38"/>
      <c r="AHV120" s="38"/>
    </row>
    <row r="121" spans="1:906" s="27" customFormat="1" x14ac:dyDescent="0.35">
      <c r="A121" s="83">
        <v>116</v>
      </c>
      <c r="B121" s="108" t="s">
        <v>203</v>
      </c>
      <c r="C121" s="109" t="s">
        <v>277</v>
      </c>
      <c r="D121" s="109" t="s">
        <v>205</v>
      </c>
      <c r="E121" s="125">
        <v>9.99</v>
      </c>
      <c r="F121" s="125">
        <v>11.25</v>
      </c>
      <c r="G121" s="125">
        <v>9.9499999999999993</v>
      </c>
      <c r="H121" s="125">
        <v>12.95</v>
      </c>
      <c r="I121" s="37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  <c r="BP121" s="38"/>
      <c r="BQ121" s="38"/>
      <c r="BR121" s="38"/>
      <c r="BS121" s="38"/>
      <c r="BT121" s="38"/>
      <c r="BU121" s="38"/>
      <c r="BV121" s="38"/>
      <c r="BW121" s="38"/>
      <c r="BX121" s="38"/>
      <c r="BY121" s="38"/>
      <c r="BZ121" s="38"/>
      <c r="CA121" s="38"/>
      <c r="CB121" s="38"/>
      <c r="CC121" s="38"/>
      <c r="CD121" s="38"/>
      <c r="CE121" s="38"/>
      <c r="CF121" s="38"/>
      <c r="CG121" s="38"/>
      <c r="CH121" s="38"/>
      <c r="CI121" s="38"/>
      <c r="CJ121" s="38"/>
      <c r="CK121" s="38"/>
      <c r="CL121" s="38"/>
      <c r="CM121" s="38"/>
      <c r="CN121" s="38"/>
      <c r="CO121" s="38"/>
      <c r="CP121" s="38"/>
      <c r="CQ121" s="38"/>
      <c r="CR121" s="38"/>
      <c r="CS121" s="38"/>
      <c r="CT121" s="38"/>
      <c r="CU121" s="38"/>
      <c r="CV121" s="38"/>
      <c r="CW121" s="38"/>
      <c r="CX121" s="38"/>
      <c r="CY121" s="38"/>
      <c r="CZ121" s="38"/>
      <c r="DA121" s="38"/>
      <c r="DB121" s="38"/>
      <c r="DC121" s="38"/>
      <c r="DD121" s="38"/>
      <c r="DE121" s="38"/>
      <c r="DF121" s="38"/>
      <c r="DG121" s="38"/>
      <c r="DH121" s="38"/>
      <c r="DI121" s="38"/>
      <c r="DJ121" s="38"/>
      <c r="DK121" s="38"/>
      <c r="DL121" s="38"/>
      <c r="DM121" s="38"/>
      <c r="DN121" s="38"/>
      <c r="DO121" s="38"/>
      <c r="DP121" s="38"/>
      <c r="DQ121" s="38"/>
      <c r="DR121" s="38"/>
      <c r="DS121" s="38"/>
      <c r="DT121" s="38"/>
      <c r="DU121" s="38"/>
      <c r="DV121" s="38"/>
      <c r="DW121" s="38"/>
      <c r="DX121" s="38"/>
      <c r="DY121" s="38"/>
      <c r="DZ121" s="38"/>
      <c r="EA121" s="38"/>
      <c r="EB121" s="38"/>
      <c r="EC121" s="38"/>
      <c r="ED121" s="38"/>
      <c r="EE121" s="38"/>
      <c r="EF121" s="38"/>
      <c r="EG121" s="38"/>
      <c r="EH121" s="38"/>
      <c r="EI121" s="38"/>
      <c r="EJ121" s="38"/>
      <c r="EK121" s="38"/>
      <c r="EL121" s="38"/>
      <c r="EM121" s="38"/>
      <c r="EN121" s="38"/>
      <c r="EO121" s="38"/>
      <c r="EP121" s="38"/>
      <c r="EQ121" s="38"/>
      <c r="ER121" s="38"/>
      <c r="ES121" s="38"/>
      <c r="ET121" s="38"/>
      <c r="EU121" s="38"/>
      <c r="EV121" s="38"/>
      <c r="EW121" s="38"/>
      <c r="EX121" s="38"/>
      <c r="EY121" s="38"/>
      <c r="EZ121" s="38"/>
      <c r="FA121" s="38"/>
      <c r="FB121" s="38"/>
      <c r="FC121" s="38"/>
      <c r="FD121" s="38"/>
      <c r="FE121" s="38"/>
      <c r="FF121" s="38"/>
      <c r="FG121" s="38"/>
      <c r="FH121" s="38"/>
      <c r="FI121" s="38"/>
      <c r="FJ121" s="38"/>
      <c r="FK121" s="38"/>
      <c r="FL121" s="38"/>
      <c r="FM121" s="38"/>
      <c r="FN121" s="38"/>
      <c r="FO121" s="38"/>
      <c r="FP121" s="38"/>
      <c r="FQ121" s="38"/>
      <c r="FR121" s="38"/>
      <c r="FS121" s="38"/>
      <c r="FT121" s="38"/>
      <c r="FU121" s="38"/>
      <c r="FV121" s="38"/>
      <c r="FW121" s="38"/>
      <c r="FX121" s="38"/>
      <c r="FY121" s="38"/>
      <c r="FZ121" s="38"/>
      <c r="GA121" s="38"/>
      <c r="GB121" s="38"/>
      <c r="GC121" s="38"/>
      <c r="GD121" s="38"/>
      <c r="GE121" s="38"/>
      <c r="GF121" s="38"/>
      <c r="GG121" s="38"/>
      <c r="GH121" s="38"/>
      <c r="GI121" s="38"/>
      <c r="GJ121" s="38"/>
      <c r="GK121" s="38"/>
      <c r="GL121" s="38"/>
      <c r="GM121" s="38"/>
      <c r="GN121" s="38"/>
      <c r="GO121" s="38"/>
      <c r="GP121" s="38"/>
      <c r="GQ121" s="38"/>
      <c r="GR121" s="38"/>
      <c r="GS121" s="38"/>
      <c r="GT121" s="38"/>
      <c r="GU121" s="38"/>
      <c r="GV121" s="38"/>
      <c r="GW121" s="38"/>
      <c r="GX121" s="38"/>
      <c r="GY121" s="38"/>
      <c r="GZ121" s="38"/>
      <c r="HA121" s="38"/>
      <c r="HB121" s="38"/>
      <c r="HC121" s="38"/>
      <c r="HD121" s="38"/>
      <c r="HE121" s="38"/>
      <c r="HF121" s="38"/>
      <c r="HG121" s="38"/>
      <c r="HH121" s="38"/>
      <c r="HI121" s="38"/>
      <c r="HJ121" s="38"/>
      <c r="HK121" s="38"/>
      <c r="HL121" s="38"/>
      <c r="HM121" s="38"/>
      <c r="HN121" s="38"/>
      <c r="HO121" s="38"/>
      <c r="HP121" s="38"/>
      <c r="HQ121" s="38"/>
      <c r="HR121" s="38"/>
      <c r="HS121" s="38"/>
      <c r="HT121" s="38"/>
      <c r="HU121" s="38"/>
      <c r="HV121" s="38"/>
      <c r="HW121" s="38"/>
      <c r="HX121" s="38"/>
      <c r="HY121" s="38"/>
      <c r="HZ121" s="38"/>
      <c r="IA121" s="38"/>
      <c r="IB121" s="38"/>
      <c r="IC121" s="38"/>
      <c r="ID121" s="38"/>
      <c r="IE121" s="38"/>
      <c r="IF121" s="38"/>
      <c r="IG121" s="38"/>
      <c r="IH121" s="38"/>
      <c r="II121" s="38"/>
      <c r="IJ121" s="38"/>
      <c r="IK121" s="38"/>
      <c r="IL121" s="38"/>
      <c r="IM121" s="38"/>
      <c r="IN121" s="38"/>
      <c r="IO121" s="38"/>
      <c r="IP121" s="38"/>
      <c r="IQ121" s="38"/>
      <c r="IR121" s="38"/>
      <c r="IS121" s="38"/>
      <c r="IT121" s="38"/>
      <c r="IU121" s="38"/>
      <c r="IV121" s="38"/>
      <c r="IW121" s="38"/>
      <c r="IX121" s="38"/>
      <c r="IY121" s="38"/>
      <c r="IZ121" s="38"/>
      <c r="JA121" s="38"/>
      <c r="JB121" s="38"/>
      <c r="JC121" s="38"/>
      <c r="JD121" s="38"/>
      <c r="JE121" s="38"/>
      <c r="JF121" s="38"/>
      <c r="JG121" s="38"/>
      <c r="JH121" s="38"/>
      <c r="JI121" s="38"/>
      <c r="JJ121" s="38"/>
      <c r="JK121" s="38"/>
      <c r="JL121" s="38"/>
      <c r="JM121" s="38"/>
      <c r="JN121" s="38"/>
      <c r="JO121" s="38"/>
      <c r="JP121" s="38"/>
      <c r="JQ121" s="38"/>
      <c r="JR121" s="38"/>
      <c r="JS121" s="38"/>
      <c r="JT121" s="38"/>
      <c r="JU121" s="38"/>
      <c r="JV121" s="38"/>
      <c r="JW121" s="38"/>
      <c r="JX121" s="38"/>
      <c r="JY121" s="38"/>
      <c r="JZ121" s="38"/>
      <c r="KA121" s="38"/>
      <c r="KB121" s="38"/>
      <c r="KC121" s="38"/>
      <c r="KD121" s="38"/>
      <c r="KE121" s="38"/>
      <c r="KF121" s="38"/>
      <c r="KG121" s="38"/>
      <c r="KH121" s="38"/>
      <c r="KI121" s="38"/>
      <c r="KJ121" s="38"/>
      <c r="KK121" s="38"/>
      <c r="KL121" s="38"/>
      <c r="KM121" s="38"/>
      <c r="KN121" s="38"/>
      <c r="KO121" s="38"/>
      <c r="KP121" s="38"/>
      <c r="KQ121" s="38"/>
      <c r="KR121" s="38"/>
      <c r="KS121" s="38"/>
      <c r="KT121" s="38"/>
      <c r="KU121" s="38"/>
      <c r="KV121" s="38"/>
      <c r="KW121" s="38"/>
      <c r="KX121" s="38"/>
      <c r="KY121" s="38"/>
      <c r="KZ121" s="38"/>
      <c r="LA121" s="38"/>
      <c r="LB121" s="38"/>
      <c r="LC121" s="38"/>
      <c r="LD121" s="38"/>
      <c r="LE121" s="38"/>
      <c r="LF121" s="38"/>
      <c r="LG121" s="38"/>
      <c r="LH121" s="38"/>
      <c r="LI121" s="38"/>
      <c r="LJ121" s="38"/>
      <c r="LK121" s="38"/>
      <c r="LL121" s="38"/>
      <c r="LM121" s="38"/>
      <c r="LN121" s="38"/>
      <c r="LO121" s="38"/>
      <c r="LP121" s="38"/>
      <c r="LQ121" s="38"/>
      <c r="LR121" s="38"/>
      <c r="LS121" s="38"/>
      <c r="LT121" s="38"/>
      <c r="LU121" s="38"/>
      <c r="LV121" s="38"/>
      <c r="LW121" s="38"/>
      <c r="LX121" s="38"/>
      <c r="LY121" s="38"/>
      <c r="LZ121" s="38"/>
      <c r="MA121" s="38"/>
      <c r="MB121" s="38"/>
      <c r="MC121" s="38"/>
      <c r="MD121" s="38"/>
      <c r="ME121" s="38"/>
      <c r="MF121" s="38"/>
      <c r="MG121" s="38"/>
      <c r="MH121" s="38"/>
      <c r="MI121" s="38"/>
      <c r="MJ121" s="38"/>
      <c r="MK121" s="38"/>
      <c r="ML121" s="38"/>
      <c r="MM121" s="38"/>
      <c r="MN121" s="38"/>
      <c r="MO121" s="38"/>
      <c r="MP121" s="38"/>
      <c r="MQ121" s="38"/>
      <c r="MR121" s="38"/>
      <c r="MS121" s="38"/>
      <c r="MT121" s="38"/>
      <c r="MU121" s="38"/>
      <c r="MV121" s="38"/>
      <c r="MW121" s="38"/>
      <c r="MX121" s="38"/>
      <c r="MY121" s="38"/>
      <c r="MZ121" s="38"/>
      <c r="NA121" s="38"/>
      <c r="NB121" s="38"/>
      <c r="NC121" s="38"/>
      <c r="ND121" s="38"/>
      <c r="NE121" s="38"/>
      <c r="NF121" s="38"/>
      <c r="NG121" s="38"/>
      <c r="NH121" s="38"/>
      <c r="NI121" s="38"/>
      <c r="NJ121" s="38"/>
      <c r="NK121" s="38"/>
      <c r="NL121" s="38"/>
      <c r="NM121" s="38"/>
      <c r="NN121" s="38"/>
      <c r="NO121" s="38"/>
      <c r="NP121" s="38"/>
      <c r="NQ121" s="38"/>
      <c r="NR121" s="38"/>
      <c r="NS121" s="38"/>
      <c r="NT121" s="38"/>
      <c r="NU121" s="38"/>
      <c r="NV121" s="38"/>
      <c r="NW121" s="38"/>
      <c r="NX121" s="38"/>
      <c r="NY121" s="38"/>
      <c r="NZ121" s="38"/>
      <c r="OA121" s="38"/>
      <c r="OB121" s="38"/>
      <c r="OC121" s="38"/>
      <c r="OD121" s="38"/>
      <c r="OE121" s="38"/>
      <c r="OF121" s="38"/>
      <c r="OG121" s="38"/>
      <c r="OH121" s="38"/>
      <c r="OI121" s="38"/>
      <c r="OJ121" s="38"/>
      <c r="OK121" s="38"/>
      <c r="OL121" s="38"/>
      <c r="OM121" s="38"/>
      <c r="ON121" s="38"/>
      <c r="OO121" s="38"/>
      <c r="OP121" s="38"/>
      <c r="OQ121" s="38"/>
      <c r="OR121" s="38"/>
      <c r="OS121" s="38"/>
      <c r="OT121" s="38"/>
      <c r="OU121" s="38"/>
      <c r="OV121" s="38"/>
      <c r="OW121" s="38"/>
      <c r="OX121" s="38"/>
      <c r="OY121" s="38"/>
      <c r="OZ121" s="38"/>
      <c r="PA121" s="38"/>
      <c r="PB121" s="38"/>
      <c r="PC121" s="38"/>
      <c r="PD121" s="38"/>
      <c r="PE121" s="38"/>
      <c r="PF121" s="38"/>
      <c r="PG121" s="38"/>
      <c r="PH121" s="38"/>
      <c r="PI121" s="38"/>
      <c r="PJ121" s="38"/>
      <c r="PK121" s="38"/>
      <c r="PL121" s="38"/>
      <c r="PM121" s="38"/>
      <c r="PN121" s="38"/>
      <c r="PO121" s="38"/>
      <c r="PP121" s="38"/>
      <c r="PQ121" s="38"/>
      <c r="PR121" s="38"/>
      <c r="PS121" s="38"/>
      <c r="PT121" s="38"/>
      <c r="PU121" s="38"/>
      <c r="PV121" s="38"/>
      <c r="PW121" s="38"/>
      <c r="PX121" s="38"/>
      <c r="PY121" s="38"/>
      <c r="PZ121" s="38"/>
      <c r="QA121" s="38"/>
      <c r="QB121" s="38"/>
      <c r="QC121" s="38"/>
      <c r="QD121" s="38"/>
      <c r="QE121" s="38"/>
      <c r="QF121" s="38"/>
      <c r="QG121" s="38"/>
      <c r="QH121" s="38"/>
      <c r="QI121" s="38"/>
      <c r="QJ121" s="38"/>
      <c r="QK121" s="38"/>
      <c r="QL121" s="38"/>
      <c r="QM121" s="38"/>
      <c r="QN121" s="38"/>
      <c r="QO121" s="38"/>
      <c r="QP121" s="38"/>
      <c r="QQ121" s="38"/>
      <c r="QR121" s="38"/>
      <c r="QS121" s="38"/>
      <c r="QT121" s="38"/>
      <c r="QU121" s="38"/>
      <c r="QV121" s="38"/>
      <c r="QW121" s="38"/>
      <c r="QX121" s="38"/>
      <c r="QY121" s="38"/>
      <c r="QZ121" s="38"/>
      <c r="RA121" s="38"/>
      <c r="RB121" s="38"/>
      <c r="RC121" s="38"/>
      <c r="RD121" s="38"/>
      <c r="RE121" s="38"/>
      <c r="RF121" s="38"/>
      <c r="RG121" s="38"/>
      <c r="RH121" s="38"/>
      <c r="RI121" s="38"/>
      <c r="RJ121" s="38"/>
      <c r="RK121" s="38"/>
      <c r="RL121" s="38"/>
      <c r="RM121" s="38"/>
      <c r="RN121" s="38"/>
      <c r="RO121" s="38"/>
      <c r="RP121" s="38"/>
      <c r="RQ121" s="38"/>
      <c r="RR121" s="38"/>
      <c r="RS121" s="38"/>
      <c r="RT121" s="38"/>
      <c r="RU121" s="38"/>
      <c r="RV121" s="38"/>
      <c r="RW121" s="38"/>
      <c r="RX121" s="38"/>
      <c r="RY121" s="38"/>
      <c r="RZ121" s="38"/>
      <c r="SA121" s="38"/>
      <c r="SB121" s="38"/>
      <c r="SC121" s="38"/>
      <c r="SD121" s="38"/>
      <c r="SE121" s="38"/>
      <c r="SF121" s="38"/>
      <c r="SG121" s="38"/>
      <c r="SH121" s="38"/>
      <c r="SI121" s="38"/>
      <c r="SJ121" s="38"/>
      <c r="SK121" s="38"/>
      <c r="SL121" s="38"/>
      <c r="SM121" s="38"/>
      <c r="SN121" s="38"/>
      <c r="SO121" s="38"/>
      <c r="SP121" s="38"/>
      <c r="SQ121" s="38"/>
      <c r="SR121" s="38"/>
      <c r="SS121" s="38"/>
      <c r="ST121" s="38"/>
      <c r="SU121" s="38"/>
      <c r="SV121" s="38"/>
      <c r="SW121" s="38"/>
      <c r="SX121" s="38"/>
      <c r="SY121" s="38"/>
      <c r="SZ121" s="38"/>
      <c r="TA121" s="38"/>
      <c r="TB121" s="38"/>
      <c r="TC121" s="38"/>
      <c r="TD121" s="38"/>
      <c r="TE121" s="38"/>
      <c r="TF121" s="38"/>
      <c r="TG121" s="38"/>
      <c r="TH121" s="38"/>
      <c r="TI121" s="38"/>
      <c r="TJ121" s="38"/>
      <c r="TK121" s="38"/>
      <c r="TL121" s="38"/>
      <c r="TM121" s="38"/>
      <c r="TN121" s="38"/>
      <c r="TO121" s="38"/>
      <c r="TP121" s="38"/>
      <c r="TQ121" s="38"/>
      <c r="TR121" s="38"/>
      <c r="TS121" s="38"/>
      <c r="TT121" s="38"/>
      <c r="TU121" s="38"/>
      <c r="TV121" s="38"/>
      <c r="TW121" s="38"/>
      <c r="TX121" s="38"/>
      <c r="TY121" s="38"/>
      <c r="TZ121" s="38"/>
      <c r="UA121" s="38"/>
      <c r="UB121" s="38"/>
      <c r="UC121" s="38"/>
      <c r="UD121" s="38"/>
      <c r="UE121" s="38"/>
      <c r="UF121" s="38"/>
      <c r="UG121" s="38"/>
      <c r="UH121" s="38"/>
      <c r="UI121" s="38"/>
      <c r="UJ121" s="38"/>
      <c r="UK121" s="38"/>
      <c r="UL121" s="38"/>
      <c r="UM121" s="38"/>
      <c r="UN121" s="38"/>
      <c r="UO121" s="38"/>
      <c r="UP121" s="38"/>
      <c r="UQ121" s="38"/>
      <c r="UR121" s="38"/>
      <c r="US121" s="38"/>
      <c r="UT121" s="38"/>
      <c r="UU121" s="38"/>
      <c r="UV121" s="38"/>
      <c r="UW121" s="38"/>
      <c r="UX121" s="38"/>
      <c r="UY121" s="38"/>
      <c r="UZ121" s="38"/>
      <c r="VA121" s="38"/>
      <c r="VB121" s="38"/>
      <c r="VC121" s="38"/>
      <c r="VD121" s="38"/>
      <c r="VE121" s="38"/>
      <c r="VF121" s="38"/>
      <c r="VG121" s="38"/>
      <c r="VH121" s="38"/>
      <c r="VI121" s="38"/>
      <c r="VJ121" s="38"/>
      <c r="VK121" s="38"/>
      <c r="VL121" s="38"/>
      <c r="VM121" s="38"/>
      <c r="VN121" s="38"/>
      <c r="VO121" s="38"/>
      <c r="VP121" s="38"/>
      <c r="VQ121" s="38"/>
      <c r="VR121" s="38"/>
      <c r="VS121" s="38"/>
      <c r="VT121" s="38"/>
      <c r="VU121" s="38"/>
      <c r="VV121" s="38"/>
      <c r="VW121" s="38"/>
      <c r="VX121" s="38"/>
      <c r="VY121" s="38"/>
      <c r="VZ121" s="38"/>
      <c r="WA121" s="38"/>
      <c r="WB121" s="38"/>
      <c r="WC121" s="38"/>
      <c r="WD121" s="38"/>
      <c r="WE121" s="38"/>
      <c r="WF121" s="38"/>
      <c r="WG121" s="38"/>
      <c r="WH121" s="38"/>
      <c r="WI121" s="38"/>
      <c r="WJ121" s="38"/>
      <c r="WK121" s="38"/>
      <c r="WL121" s="38"/>
      <c r="WM121" s="38"/>
      <c r="WN121" s="38"/>
      <c r="WO121" s="38"/>
      <c r="WP121" s="38"/>
      <c r="WQ121" s="38"/>
      <c r="WR121" s="38"/>
      <c r="WS121" s="38"/>
      <c r="WT121" s="38"/>
      <c r="WU121" s="38"/>
      <c r="WV121" s="38"/>
      <c r="WW121" s="38"/>
      <c r="WX121" s="38"/>
      <c r="WY121" s="38"/>
      <c r="WZ121" s="38"/>
      <c r="XA121" s="38"/>
      <c r="XB121" s="38"/>
      <c r="XC121" s="38"/>
      <c r="XD121" s="38"/>
      <c r="XE121" s="38"/>
      <c r="XF121" s="38"/>
      <c r="XG121" s="38"/>
      <c r="XH121" s="38"/>
      <c r="XI121" s="38"/>
      <c r="XJ121" s="38"/>
      <c r="XK121" s="38"/>
      <c r="XL121" s="38"/>
      <c r="XM121" s="38"/>
      <c r="XN121" s="38"/>
      <c r="XO121" s="38"/>
      <c r="XP121" s="38"/>
      <c r="XQ121" s="38"/>
      <c r="XR121" s="38"/>
      <c r="XS121" s="38"/>
      <c r="XT121" s="38"/>
      <c r="XU121" s="38"/>
      <c r="XV121" s="38"/>
      <c r="XW121" s="38"/>
      <c r="XX121" s="38"/>
      <c r="XY121" s="38"/>
      <c r="XZ121" s="38"/>
      <c r="YA121" s="38"/>
      <c r="YB121" s="38"/>
      <c r="YC121" s="38"/>
      <c r="YD121" s="38"/>
      <c r="YE121" s="38"/>
      <c r="YF121" s="38"/>
      <c r="YG121" s="38"/>
      <c r="YH121" s="38"/>
      <c r="YI121" s="38"/>
      <c r="YJ121" s="38"/>
      <c r="YK121" s="38"/>
      <c r="YL121" s="38"/>
      <c r="YM121" s="38"/>
      <c r="YN121" s="38"/>
      <c r="YO121" s="38"/>
      <c r="YP121" s="38"/>
      <c r="YQ121" s="38"/>
      <c r="YR121" s="38"/>
      <c r="YS121" s="38"/>
      <c r="YT121" s="38"/>
      <c r="YU121" s="38"/>
      <c r="YV121" s="38"/>
      <c r="YW121" s="38"/>
      <c r="YX121" s="38"/>
      <c r="YY121" s="38"/>
      <c r="YZ121" s="38"/>
      <c r="ZA121" s="38"/>
      <c r="ZB121" s="38"/>
      <c r="ZC121" s="38"/>
      <c r="ZD121" s="38"/>
      <c r="ZE121" s="38"/>
      <c r="ZF121" s="38"/>
      <c r="ZG121" s="38"/>
      <c r="ZH121" s="38"/>
      <c r="ZI121" s="38"/>
      <c r="ZJ121" s="38"/>
      <c r="ZK121" s="38"/>
      <c r="ZL121" s="38"/>
      <c r="ZM121" s="38"/>
      <c r="ZN121" s="38"/>
      <c r="ZO121" s="38"/>
      <c r="ZP121" s="38"/>
      <c r="ZQ121" s="38"/>
      <c r="ZR121" s="38"/>
      <c r="ZS121" s="38"/>
      <c r="ZT121" s="38"/>
      <c r="ZU121" s="38"/>
      <c r="ZV121" s="38"/>
      <c r="ZW121" s="38"/>
      <c r="ZX121" s="38"/>
      <c r="ZY121" s="38"/>
      <c r="ZZ121" s="38"/>
      <c r="AAA121" s="38"/>
      <c r="AAB121" s="38"/>
      <c r="AAC121" s="38"/>
      <c r="AAD121" s="38"/>
      <c r="AAE121" s="38"/>
      <c r="AAF121" s="38"/>
      <c r="AAG121" s="38"/>
      <c r="AAH121" s="38"/>
      <c r="AAI121" s="38"/>
      <c r="AAJ121" s="38"/>
      <c r="AAK121" s="38"/>
      <c r="AAL121" s="38"/>
      <c r="AAM121" s="38"/>
      <c r="AAN121" s="38"/>
      <c r="AAO121" s="38"/>
      <c r="AAP121" s="38"/>
      <c r="AAQ121" s="38"/>
      <c r="AAR121" s="38"/>
      <c r="AAS121" s="38"/>
      <c r="AAT121" s="38"/>
      <c r="AAU121" s="38"/>
      <c r="AAV121" s="38"/>
      <c r="AAW121" s="38"/>
      <c r="AAX121" s="38"/>
      <c r="AAY121" s="38"/>
      <c r="AAZ121" s="38"/>
      <c r="ABA121" s="38"/>
      <c r="ABB121" s="38"/>
      <c r="ABC121" s="38"/>
      <c r="ABD121" s="38"/>
      <c r="ABE121" s="38"/>
      <c r="ABF121" s="38"/>
      <c r="ABG121" s="38"/>
      <c r="ABH121" s="38"/>
      <c r="ABI121" s="38"/>
      <c r="ABJ121" s="38"/>
      <c r="ABK121" s="38"/>
      <c r="ABL121" s="38"/>
      <c r="ABM121" s="38"/>
      <c r="ABN121" s="38"/>
      <c r="ABO121" s="38"/>
      <c r="ABP121" s="38"/>
      <c r="ABQ121" s="38"/>
      <c r="ABR121" s="38"/>
      <c r="ABS121" s="38"/>
      <c r="ABT121" s="38"/>
      <c r="ABU121" s="38"/>
      <c r="ABV121" s="38"/>
      <c r="ABW121" s="38"/>
      <c r="ABX121" s="38"/>
      <c r="ABY121" s="38"/>
      <c r="ABZ121" s="38"/>
      <c r="ACA121" s="38"/>
      <c r="ACB121" s="38"/>
      <c r="ACC121" s="38"/>
      <c r="ACD121" s="38"/>
      <c r="ACE121" s="38"/>
      <c r="ACF121" s="38"/>
      <c r="ACG121" s="38"/>
      <c r="ACH121" s="38"/>
      <c r="ACI121" s="38"/>
      <c r="ACJ121" s="38"/>
      <c r="ACK121" s="38"/>
      <c r="ACL121" s="38"/>
      <c r="ACM121" s="38"/>
      <c r="ACN121" s="38"/>
      <c r="ACO121" s="38"/>
      <c r="ACP121" s="38"/>
      <c r="ACQ121" s="38"/>
      <c r="ACR121" s="38"/>
      <c r="ACS121" s="38"/>
      <c r="ACT121" s="38"/>
      <c r="ACU121" s="38"/>
      <c r="ACV121" s="38"/>
      <c r="ACW121" s="38"/>
      <c r="ACX121" s="38"/>
      <c r="ACY121" s="38"/>
      <c r="ACZ121" s="38"/>
      <c r="ADA121" s="38"/>
      <c r="ADB121" s="38"/>
      <c r="ADC121" s="38"/>
      <c r="ADD121" s="38"/>
      <c r="ADE121" s="38"/>
      <c r="ADF121" s="38"/>
      <c r="ADG121" s="38"/>
      <c r="ADH121" s="38"/>
      <c r="ADI121" s="38"/>
      <c r="ADJ121" s="38"/>
      <c r="ADK121" s="38"/>
      <c r="ADL121" s="38"/>
      <c r="ADM121" s="38"/>
      <c r="ADN121" s="38"/>
      <c r="ADO121" s="38"/>
      <c r="ADP121" s="38"/>
      <c r="ADQ121" s="38"/>
      <c r="ADR121" s="38"/>
      <c r="ADS121" s="38"/>
      <c r="ADT121" s="38"/>
      <c r="ADU121" s="38"/>
      <c r="ADV121" s="38"/>
      <c r="ADW121" s="38"/>
      <c r="ADX121" s="38"/>
      <c r="ADY121" s="38"/>
      <c r="ADZ121" s="38"/>
      <c r="AEA121" s="38"/>
      <c r="AEB121" s="38"/>
      <c r="AEC121" s="38"/>
      <c r="AED121" s="38"/>
      <c r="AEE121" s="38"/>
      <c r="AEF121" s="38"/>
      <c r="AEG121" s="38"/>
      <c r="AEH121" s="38"/>
      <c r="AEI121" s="38"/>
      <c r="AEJ121" s="38"/>
      <c r="AEK121" s="38"/>
      <c r="AEL121" s="38"/>
      <c r="AEM121" s="38"/>
      <c r="AEN121" s="38"/>
      <c r="AEO121" s="38"/>
      <c r="AEP121" s="38"/>
      <c r="AEQ121" s="38"/>
      <c r="AER121" s="38"/>
      <c r="AES121" s="38"/>
      <c r="AET121" s="38"/>
      <c r="AEU121" s="38"/>
      <c r="AEV121" s="38"/>
      <c r="AEW121" s="38"/>
      <c r="AEX121" s="38"/>
      <c r="AEY121" s="38"/>
      <c r="AEZ121" s="38"/>
      <c r="AFA121" s="38"/>
      <c r="AFB121" s="38"/>
      <c r="AFC121" s="38"/>
      <c r="AFD121" s="38"/>
      <c r="AFE121" s="38"/>
      <c r="AFF121" s="38"/>
      <c r="AFG121" s="38"/>
      <c r="AFH121" s="38"/>
      <c r="AFI121" s="38"/>
      <c r="AFJ121" s="38"/>
      <c r="AFK121" s="38"/>
      <c r="AFL121" s="38"/>
      <c r="AFM121" s="38"/>
      <c r="AFN121" s="38"/>
      <c r="AFO121" s="38"/>
      <c r="AFP121" s="38"/>
      <c r="AFQ121" s="38"/>
      <c r="AFR121" s="38"/>
      <c r="AFS121" s="38"/>
      <c r="AFT121" s="38"/>
      <c r="AFU121" s="38"/>
      <c r="AFV121" s="38"/>
      <c r="AFW121" s="38"/>
      <c r="AFX121" s="38"/>
      <c r="AFY121" s="38"/>
      <c r="AFZ121" s="38"/>
      <c r="AGA121" s="38"/>
      <c r="AGB121" s="38"/>
      <c r="AGC121" s="38"/>
      <c r="AGD121" s="38"/>
      <c r="AGE121" s="38"/>
      <c r="AGF121" s="38"/>
      <c r="AGG121" s="38"/>
      <c r="AGH121" s="38"/>
      <c r="AGI121" s="38"/>
      <c r="AGJ121" s="38"/>
      <c r="AGK121" s="38"/>
      <c r="AGL121" s="38"/>
      <c r="AGM121" s="38"/>
      <c r="AGN121" s="38"/>
      <c r="AGO121" s="38"/>
      <c r="AGP121" s="38"/>
      <c r="AGQ121" s="38"/>
      <c r="AGR121" s="38"/>
      <c r="AGS121" s="38"/>
      <c r="AGT121" s="38"/>
      <c r="AGU121" s="38"/>
      <c r="AGV121" s="38"/>
      <c r="AGW121" s="38"/>
      <c r="AGX121" s="38"/>
      <c r="AGY121" s="38"/>
      <c r="AGZ121" s="38"/>
      <c r="AHA121" s="38"/>
      <c r="AHB121" s="38"/>
      <c r="AHC121" s="38"/>
      <c r="AHD121" s="38"/>
      <c r="AHE121" s="38"/>
      <c r="AHF121" s="38"/>
      <c r="AHG121" s="38"/>
      <c r="AHH121" s="38"/>
      <c r="AHI121" s="38"/>
      <c r="AHJ121" s="38"/>
      <c r="AHK121" s="38"/>
      <c r="AHL121" s="38"/>
      <c r="AHM121" s="38"/>
      <c r="AHN121" s="38"/>
      <c r="AHO121" s="38"/>
      <c r="AHP121" s="38"/>
      <c r="AHQ121" s="38"/>
      <c r="AHR121" s="38"/>
      <c r="AHS121" s="38"/>
      <c r="AHT121" s="38"/>
      <c r="AHU121" s="38"/>
      <c r="AHV121" s="38"/>
    </row>
    <row r="122" spans="1:906" s="27" customFormat="1" x14ac:dyDescent="0.35">
      <c r="A122" s="83">
        <v>117</v>
      </c>
      <c r="B122" s="108" t="s">
        <v>203</v>
      </c>
      <c r="C122" s="109" t="s">
        <v>204</v>
      </c>
      <c r="D122" s="109" t="s">
        <v>206</v>
      </c>
      <c r="E122" s="125">
        <v>27.99</v>
      </c>
      <c r="F122" s="125"/>
      <c r="G122" s="125"/>
      <c r="H122" s="125">
        <v>27.95</v>
      </c>
      <c r="I122" s="37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  <c r="BO122" s="38"/>
      <c r="BP122" s="38"/>
      <c r="BQ122" s="38"/>
      <c r="BR122" s="38"/>
      <c r="BS122" s="38"/>
      <c r="BT122" s="38"/>
      <c r="BU122" s="38"/>
      <c r="BV122" s="38"/>
      <c r="BW122" s="38"/>
      <c r="BX122" s="38"/>
      <c r="BY122" s="38"/>
      <c r="BZ122" s="38"/>
      <c r="CA122" s="38"/>
      <c r="CB122" s="38"/>
      <c r="CC122" s="38"/>
      <c r="CD122" s="38"/>
      <c r="CE122" s="38"/>
      <c r="CF122" s="38"/>
      <c r="CG122" s="38"/>
      <c r="CH122" s="38"/>
      <c r="CI122" s="38"/>
      <c r="CJ122" s="38"/>
      <c r="CK122" s="38"/>
      <c r="CL122" s="38"/>
      <c r="CM122" s="38"/>
      <c r="CN122" s="38"/>
      <c r="CO122" s="38"/>
      <c r="CP122" s="38"/>
      <c r="CQ122" s="38"/>
      <c r="CR122" s="38"/>
      <c r="CS122" s="38"/>
      <c r="CT122" s="38"/>
      <c r="CU122" s="38"/>
      <c r="CV122" s="38"/>
      <c r="CW122" s="38"/>
      <c r="CX122" s="38"/>
      <c r="CY122" s="38"/>
      <c r="CZ122" s="38"/>
      <c r="DA122" s="38"/>
      <c r="DB122" s="38"/>
      <c r="DC122" s="38"/>
      <c r="DD122" s="38"/>
      <c r="DE122" s="38"/>
      <c r="DF122" s="38"/>
      <c r="DG122" s="38"/>
      <c r="DH122" s="38"/>
      <c r="DI122" s="38"/>
      <c r="DJ122" s="38"/>
      <c r="DK122" s="38"/>
      <c r="DL122" s="38"/>
      <c r="DM122" s="38"/>
      <c r="DN122" s="38"/>
      <c r="DO122" s="38"/>
      <c r="DP122" s="38"/>
      <c r="DQ122" s="38"/>
      <c r="DR122" s="38"/>
      <c r="DS122" s="38"/>
      <c r="DT122" s="38"/>
      <c r="DU122" s="38"/>
      <c r="DV122" s="38"/>
      <c r="DW122" s="38"/>
      <c r="DX122" s="38"/>
      <c r="DY122" s="38"/>
      <c r="DZ122" s="38"/>
      <c r="EA122" s="38"/>
      <c r="EB122" s="38"/>
      <c r="EC122" s="38"/>
      <c r="ED122" s="38"/>
      <c r="EE122" s="38"/>
      <c r="EF122" s="38"/>
      <c r="EG122" s="38"/>
      <c r="EH122" s="38"/>
      <c r="EI122" s="38"/>
      <c r="EJ122" s="38"/>
      <c r="EK122" s="38"/>
      <c r="EL122" s="38"/>
      <c r="EM122" s="38"/>
      <c r="EN122" s="38"/>
      <c r="EO122" s="38"/>
      <c r="EP122" s="38"/>
      <c r="EQ122" s="38"/>
      <c r="ER122" s="38"/>
      <c r="ES122" s="38"/>
      <c r="ET122" s="38"/>
      <c r="EU122" s="38"/>
      <c r="EV122" s="38"/>
      <c r="EW122" s="38"/>
      <c r="EX122" s="38"/>
      <c r="EY122" s="38"/>
      <c r="EZ122" s="38"/>
      <c r="FA122" s="38"/>
      <c r="FB122" s="38"/>
      <c r="FC122" s="38"/>
      <c r="FD122" s="38"/>
      <c r="FE122" s="38"/>
      <c r="FF122" s="38"/>
      <c r="FG122" s="38"/>
      <c r="FH122" s="38"/>
      <c r="FI122" s="38"/>
      <c r="FJ122" s="38"/>
      <c r="FK122" s="38"/>
      <c r="FL122" s="38"/>
      <c r="FM122" s="38"/>
      <c r="FN122" s="38"/>
      <c r="FO122" s="38"/>
      <c r="FP122" s="38"/>
      <c r="FQ122" s="38"/>
      <c r="FR122" s="38"/>
      <c r="FS122" s="38"/>
      <c r="FT122" s="38"/>
      <c r="FU122" s="38"/>
      <c r="FV122" s="38"/>
      <c r="FW122" s="38"/>
      <c r="FX122" s="38"/>
      <c r="FY122" s="38"/>
      <c r="FZ122" s="38"/>
      <c r="GA122" s="38"/>
      <c r="GB122" s="38"/>
      <c r="GC122" s="38"/>
      <c r="GD122" s="38"/>
      <c r="GE122" s="38"/>
      <c r="GF122" s="38"/>
      <c r="GG122" s="38"/>
      <c r="GH122" s="38"/>
      <c r="GI122" s="38"/>
      <c r="GJ122" s="38"/>
      <c r="GK122" s="38"/>
      <c r="GL122" s="38"/>
      <c r="GM122" s="38"/>
      <c r="GN122" s="38"/>
      <c r="GO122" s="38"/>
      <c r="GP122" s="38"/>
      <c r="GQ122" s="38"/>
      <c r="GR122" s="38"/>
      <c r="GS122" s="38"/>
      <c r="GT122" s="38"/>
      <c r="GU122" s="38"/>
      <c r="GV122" s="38"/>
      <c r="GW122" s="38"/>
      <c r="GX122" s="38"/>
      <c r="GY122" s="38"/>
      <c r="GZ122" s="38"/>
      <c r="HA122" s="38"/>
      <c r="HB122" s="38"/>
      <c r="HC122" s="38"/>
      <c r="HD122" s="38"/>
      <c r="HE122" s="38"/>
      <c r="HF122" s="38"/>
      <c r="HG122" s="38"/>
      <c r="HH122" s="38"/>
      <c r="HI122" s="38"/>
      <c r="HJ122" s="38"/>
      <c r="HK122" s="38"/>
      <c r="HL122" s="38"/>
      <c r="HM122" s="38"/>
      <c r="HN122" s="38"/>
      <c r="HO122" s="38"/>
      <c r="HP122" s="38"/>
      <c r="HQ122" s="38"/>
      <c r="HR122" s="38"/>
      <c r="HS122" s="38"/>
      <c r="HT122" s="38"/>
      <c r="HU122" s="38"/>
      <c r="HV122" s="38"/>
      <c r="HW122" s="38"/>
      <c r="HX122" s="38"/>
      <c r="HY122" s="38"/>
      <c r="HZ122" s="38"/>
      <c r="IA122" s="38"/>
      <c r="IB122" s="38"/>
      <c r="IC122" s="38"/>
      <c r="ID122" s="38"/>
      <c r="IE122" s="38"/>
      <c r="IF122" s="38"/>
      <c r="IG122" s="38"/>
      <c r="IH122" s="38"/>
      <c r="II122" s="38"/>
      <c r="IJ122" s="38"/>
      <c r="IK122" s="38"/>
      <c r="IL122" s="38"/>
      <c r="IM122" s="38"/>
      <c r="IN122" s="38"/>
      <c r="IO122" s="38"/>
      <c r="IP122" s="38"/>
      <c r="IQ122" s="38"/>
      <c r="IR122" s="38"/>
      <c r="IS122" s="38"/>
      <c r="IT122" s="38"/>
      <c r="IU122" s="38"/>
      <c r="IV122" s="38"/>
      <c r="IW122" s="38"/>
      <c r="IX122" s="38"/>
      <c r="IY122" s="38"/>
      <c r="IZ122" s="38"/>
      <c r="JA122" s="38"/>
      <c r="JB122" s="38"/>
      <c r="JC122" s="38"/>
      <c r="JD122" s="38"/>
      <c r="JE122" s="38"/>
      <c r="JF122" s="38"/>
      <c r="JG122" s="38"/>
      <c r="JH122" s="38"/>
      <c r="JI122" s="38"/>
      <c r="JJ122" s="38"/>
      <c r="JK122" s="38"/>
      <c r="JL122" s="38"/>
      <c r="JM122" s="38"/>
      <c r="JN122" s="38"/>
      <c r="JO122" s="38"/>
      <c r="JP122" s="38"/>
      <c r="JQ122" s="38"/>
      <c r="JR122" s="38"/>
      <c r="JS122" s="38"/>
      <c r="JT122" s="38"/>
      <c r="JU122" s="38"/>
      <c r="JV122" s="38"/>
      <c r="JW122" s="38"/>
      <c r="JX122" s="38"/>
      <c r="JY122" s="38"/>
      <c r="JZ122" s="38"/>
      <c r="KA122" s="38"/>
      <c r="KB122" s="38"/>
      <c r="KC122" s="38"/>
      <c r="KD122" s="38"/>
      <c r="KE122" s="38"/>
      <c r="KF122" s="38"/>
      <c r="KG122" s="38"/>
      <c r="KH122" s="38"/>
      <c r="KI122" s="38"/>
      <c r="KJ122" s="38"/>
      <c r="KK122" s="38"/>
      <c r="KL122" s="38"/>
      <c r="KM122" s="38"/>
      <c r="KN122" s="38"/>
      <c r="KO122" s="38"/>
      <c r="KP122" s="38"/>
      <c r="KQ122" s="38"/>
      <c r="KR122" s="38"/>
      <c r="KS122" s="38"/>
      <c r="KT122" s="38"/>
      <c r="KU122" s="38"/>
      <c r="KV122" s="38"/>
      <c r="KW122" s="38"/>
      <c r="KX122" s="38"/>
      <c r="KY122" s="38"/>
      <c r="KZ122" s="38"/>
      <c r="LA122" s="38"/>
      <c r="LB122" s="38"/>
      <c r="LC122" s="38"/>
      <c r="LD122" s="38"/>
      <c r="LE122" s="38"/>
      <c r="LF122" s="38"/>
      <c r="LG122" s="38"/>
      <c r="LH122" s="38"/>
      <c r="LI122" s="38"/>
      <c r="LJ122" s="38"/>
      <c r="LK122" s="38"/>
      <c r="LL122" s="38"/>
      <c r="LM122" s="38"/>
      <c r="LN122" s="38"/>
      <c r="LO122" s="38"/>
      <c r="LP122" s="38"/>
      <c r="LQ122" s="38"/>
      <c r="LR122" s="38"/>
      <c r="LS122" s="38"/>
      <c r="LT122" s="38"/>
      <c r="LU122" s="38"/>
      <c r="LV122" s="38"/>
      <c r="LW122" s="38"/>
      <c r="LX122" s="38"/>
      <c r="LY122" s="38"/>
      <c r="LZ122" s="38"/>
      <c r="MA122" s="38"/>
      <c r="MB122" s="38"/>
      <c r="MC122" s="38"/>
      <c r="MD122" s="38"/>
      <c r="ME122" s="38"/>
      <c r="MF122" s="38"/>
      <c r="MG122" s="38"/>
      <c r="MH122" s="38"/>
      <c r="MI122" s="38"/>
      <c r="MJ122" s="38"/>
      <c r="MK122" s="38"/>
      <c r="ML122" s="38"/>
      <c r="MM122" s="38"/>
      <c r="MN122" s="38"/>
      <c r="MO122" s="38"/>
      <c r="MP122" s="38"/>
      <c r="MQ122" s="38"/>
      <c r="MR122" s="38"/>
      <c r="MS122" s="38"/>
      <c r="MT122" s="38"/>
      <c r="MU122" s="38"/>
      <c r="MV122" s="38"/>
      <c r="MW122" s="38"/>
      <c r="MX122" s="38"/>
      <c r="MY122" s="38"/>
      <c r="MZ122" s="38"/>
      <c r="NA122" s="38"/>
      <c r="NB122" s="38"/>
      <c r="NC122" s="38"/>
      <c r="ND122" s="38"/>
      <c r="NE122" s="38"/>
      <c r="NF122" s="38"/>
      <c r="NG122" s="38"/>
      <c r="NH122" s="38"/>
      <c r="NI122" s="38"/>
      <c r="NJ122" s="38"/>
      <c r="NK122" s="38"/>
      <c r="NL122" s="38"/>
      <c r="NM122" s="38"/>
      <c r="NN122" s="38"/>
      <c r="NO122" s="38"/>
      <c r="NP122" s="38"/>
      <c r="NQ122" s="38"/>
      <c r="NR122" s="38"/>
      <c r="NS122" s="38"/>
      <c r="NT122" s="38"/>
      <c r="NU122" s="38"/>
      <c r="NV122" s="38"/>
      <c r="NW122" s="38"/>
      <c r="NX122" s="38"/>
      <c r="NY122" s="38"/>
      <c r="NZ122" s="38"/>
      <c r="OA122" s="38"/>
      <c r="OB122" s="38"/>
      <c r="OC122" s="38"/>
      <c r="OD122" s="38"/>
      <c r="OE122" s="38"/>
      <c r="OF122" s="38"/>
      <c r="OG122" s="38"/>
      <c r="OH122" s="38"/>
      <c r="OI122" s="38"/>
      <c r="OJ122" s="38"/>
      <c r="OK122" s="38"/>
      <c r="OL122" s="38"/>
      <c r="OM122" s="38"/>
      <c r="ON122" s="38"/>
      <c r="OO122" s="38"/>
      <c r="OP122" s="38"/>
      <c r="OQ122" s="38"/>
      <c r="OR122" s="38"/>
      <c r="OS122" s="38"/>
      <c r="OT122" s="38"/>
      <c r="OU122" s="38"/>
      <c r="OV122" s="38"/>
      <c r="OW122" s="38"/>
      <c r="OX122" s="38"/>
      <c r="OY122" s="38"/>
      <c r="OZ122" s="38"/>
      <c r="PA122" s="38"/>
      <c r="PB122" s="38"/>
      <c r="PC122" s="38"/>
      <c r="PD122" s="38"/>
      <c r="PE122" s="38"/>
      <c r="PF122" s="38"/>
      <c r="PG122" s="38"/>
      <c r="PH122" s="38"/>
      <c r="PI122" s="38"/>
      <c r="PJ122" s="38"/>
      <c r="PK122" s="38"/>
      <c r="PL122" s="38"/>
      <c r="PM122" s="38"/>
      <c r="PN122" s="38"/>
      <c r="PO122" s="38"/>
      <c r="PP122" s="38"/>
      <c r="PQ122" s="38"/>
      <c r="PR122" s="38"/>
      <c r="PS122" s="38"/>
      <c r="PT122" s="38"/>
      <c r="PU122" s="38"/>
      <c r="PV122" s="38"/>
      <c r="PW122" s="38"/>
      <c r="PX122" s="38"/>
      <c r="PY122" s="38"/>
      <c r="PZ122" s="38"/>
      <c r="QA122" s="38"/>
      <c r="QB122" s="38"/>
      <c r="QC122" s="38"/>
      <c r="QD122" s="38"/>
      <c r="QE122" s="38"/>
      <c r="QF122" s="38"/>
      <c r="QG122" s="38"/>
      <c r="QH122" s="38"/>
      <c r="QI122" s="38"/>
      <c r="QJ122" s="38"/>
      <c r="QK122" s="38"/>
      <c r="QL122" s="38"/>
      <c r="QM122" s="38"/>
      <c r="QN122" s="38"/>
      <c r="QO122" s="38"/>
      <c r="QP122" s="38"/>
      <c r="QQ122" s="38"/>
      <c r="QR122" s="38"/>
      <c r="QS122" s="38"/>
      <c r="QT122" s="38"/>
      <c r="QU122" s="38"/>
      <c r="QV122" s="38"/>
      <c r="QW122" s="38"/>
      <c r="QX122" s="38"/>
      <c r="QY122" s="38"/>
      <c r="QZ122" s="38"/>
      <c r="RA122" s="38"/>
      <c r="RB122" s="38"/>
      <c r="RC122" s="38"/>
      <c r="RD122" s="38"/>
      <c r="RE122" s="38"/>
      <c r="RF122" s="38"/>
      <c r="RG122" s="38"/>
      <c r="RH122" s="38"/>
      <c r="RI122" s="38"/>
      <c r="RJ122" s="38"/>
      <c r="RK122" s="38"/>
      <c r="RL122" s="38"/>
      <c r="RM122" s="38"/>
      <c r="RN122" s="38"/>
      <c r="RO122" s="38"/>
      <c r="RP122" s="38"/>
      <c r="RQ122" s="38"/>
      <c r="RR122" s="38"/>
      <c r="RS122" s="38"/>
      <c r="RT122" s="38"/>
      <c r="RU122" s="38"/>
      <c r="RV122" s="38"/>
      <c r="RW122" s="38"/>
      <c r="RX122" s="38"/>
      <c r="RY122" s="38"/>
      <c r="RZ122" s="38"/>
      <c r="SA122" s="38"/>
      <c r="SB122" s="38"/>
      <c r="SC122" s="38"/>
      <c r="SD122" s="38"/>
      <c r="SE122" s="38"/>
      <c r="SF122" s="38"/>
      <c r="SG122" s="38"/>
      <c r="SH122" s="38"/>
      <c r="SI122" s="38"/>
      <c r="SJ122" s="38"/>
      <c r="SK122" s="38"/>
      <c r="SL122" s="38"/>
      <c r="SM122" s="38"/>
      <c r="SN122" s="38"/>
      <c r="SO122" s="38"/>
      <c r="SP122" s="38"/>
      <c r="SQ122" s="38"/>
      <c r="SR122" s="38"/>
      <c r="SS122" s="38"/>
      <c r="ST122" s="38"/>
      <c r="SU122" s="38"/>
      <c r="SV122" s="38"/>
      <c r="SW122" s="38"/>
      <c r="SX122" s="38"/>
      <c r="SY122" s="38"/>
      <c r="SZ122" s="38"/>
      <c r="TA122" s="38"/>
      <c r="TB122" s="38"/>
      <c r="TC122" s="38"/>
      <c r="TD122" s="38"/>
      <c r="TE122" s="38"/>
      <c r="TF122" s="38"/>
      <c r="TG122" s="38"/>
      <c r="TH122" s="38"/>
      <c r="TI122" s="38"/>
      <c r="TJ122" s="38"/>
      <c r="TK122" s="38"/>
      <c r="TL122" s="38"/>
      <c r="TM122" s="38"/>
      <c r="TN122" s="38"/>
      <c r="TO122" s="38"/>
      <c r="TP122" s="38"/>
      <c r="TQ122" s="38"/>
      <c r="TR122" s="38"/>
      <c r="TS122" s="38"/>
      <c r="TT122" s="38"/>
      <c r="TU122" s="38"/>
      <c r="TV122" s="38"/>
      <c r="TW122" s="38"/>
      <c r="TX122" s="38"/>
      <c r="TY122" s="38"/>
      <c r="TZ122" s="38"/>
      <c r="UA122" s="38"/>
      <c r="UB122" s="38"/>
      <c r="UC122" s="38"/>
      <c r="UD122" s="38"/>
      <c r="UE122" s="38"/>
      <c r="UF122" s="38"/>
      <c r="UG122" s="38"/>
      <c r="UH122" s="38"/>
      <c r="UI122" s="38"/>
      <c r="UJ122" s="38"/>
      <c r="UK122" s="38"/>
      <c r="UL122" s="38"/>
      <c r="UM122" s="38"/>
      <c r="UN122" s="38"/>
      <c r="UO122" s="38"/>
      <c r="UP122" s="38"/>
      <c r="UQ122" s="38"/>
      <c r="UR122" s="38"/>
      <c r="US122" s="38"/>
      <c r="UT122" s="38"/>
      <c r="UU122" s="38"/>
      <c r="UV122" s="38"/>
      <c r="UW122" s="38"/>
      <c r="UX122" s="38"/>
      <c r="UY122" s="38"/>
      <c r="UZ122" s="38"/>
      <c r="VA122" s="38"/>
      <c r="VB122" s="38"/>
      <c r="VC122" s="38"/>
      <c r="VD122" s="38"/>
      <c r="VE122" s="38"/>
      <c r="VF122" s="38"/>
      <c r="VG122" s="38"/>
      <c r="VH122" s="38"/>
      <c r="VI122" s="38"/>
      <c r="VJ122" s="38"/>
      <c r="VK122" s="38"/>
      <c r="VL122" s="38"/>
      <c r="VM122" s="38"/>
      <c r="VN122" s="38"/>
      <c r="VO122" s="38"/>
      <c r="VP122" s="38"/>
      <c r="VQ122" s="38"/>
      <c r="VR122" s="38"/>
      <c r="VS122" s="38"/>
      <c r="VT122" s="38"/>
      <c r="VU122" s="38"/>
      <c r="VV122" s="38"/>
      <c r="VW122" s="38"/>
      <c r="VX122" s="38"/>
      <c r="VY122" s="38"/>
      <c r="VZ122" s="38"/>
      <c r="WA122" s="38"/>
      <c r="WB122" s="38"/>
      <c r="WC122" s="38"/>
      <c r="WD122" s="38"/>
      <c r="WE122" s="38"/>
      <c r="WF122" s="38"/>
      <c r="WG122" s="38"/>
      <c r="WH122" s="38"/>
      <c r="WI122" s="38"/>
      <c r="WJ122" s="38"/>
      <c r="WK122" s="38"/>
      <c r="WL122" s="38"/>
      <c r="WM122" s="38"/>
      <c r="WN122" s="38"/>
      <c r="WO122" s="38"/>
      <c r="WP122" s="38"/>
      <c r="WQ122" s="38"/>
      <c r="WR122" s="38"/>
      <c r="WS122" s="38"/>
      <c r="WT122" s="38"/>
      <c r="WU122" s="38"/>
      <c r="WV122" s="38"/>
      <c r="WW122" s="38"/>
      <c r="WX122" s="38"/>
      <c r="WY122" s="38"/>
      <c r="WZ122" s="38"/>
      <c r="XA122" s="38"/>
      <c r="XB122" s="38"/>
      <c r="XC122" s="38"/>
      <c r="XD122" s="38"/>
      <c r="XE122" s="38"/>
      <c r="XF122" s="38"/>
      <c r="XG122" s="38"/>
      <c r="XH122" s="38"/>
      <c r="XI122" s="38"/>
      <c r="XJ122" s="38"/>
      <c r="XK122" s="38"/>
      <c r="XL122" s="38"/>
      <c r="XM122" s="38"/>
      <c r="XN122" s="38"/>
      <c r="XO122" s="38"/>
      <c r="XP122" s="38"/>
      <c r="XQ122" s="38"/>
      <c r="XR122" s="38"/>
      <c r="XS122" s="38"/>
      <c r="XT122" s="38"/>
      <c r="XU122" s="38"/>
      <c r="XV122" s="38"/>
      <c r="XW122" s="38"/>
      <c r="XX122" s="38"/>
      <c r="XY122" s="38"/>
      <c r="XZ122" s="38"/>
      <c r="YA122" s="38"/>
      <c r="YB122" s="38"/>
      <c r="YC122" s="38"/>
      <c r="YD122" s="38"/>
      <c r="YE122" s="38"/>
      <c r="YF122" s="38"/>
      <c r="YG122" s="38"/>
      <c r="YH122" s="38"/>
      <c r="YI122" s="38"/>
      <c r="YJ122" s="38"/>
      <c r="YK122" s="38"/>
      <c r="YL122" s="38"/>
      <c r="YM122" s="38"/>
      <c r="YN122" s="38"/>
      <c r="YO122" s="38"/>
      <c r="YP122" s="38"/>
      <c r="YQ122" s="38"/>
      <c r="YR122" s="38"/>
      <c r="YS122" s="38"/>
      <c r="YT122" s="38"/>
      <c r="YU122" s="38"/>
      <c r="YV122" s="38"/>
      <c r="YW122" s="38"/>
      <c r="YX122" s="38"/>
      <c r="YY122" s="38"/>
      <c r="YZ122" s="38"/>
      <c r="ZA122" s="38"/>
      <c r="ZB122" s="38"/>
      <c r="ZC122" s="38"/>
      <c r="ZD122" s="38"/>
      <c r="ZE122" s="38"/>
      <c r="ZF122" s="38"/>
      <c r="ZG122" s="38"/>
      <c r="ZH122" s="38"/>
      <c r="ZI122" s="38"/>
      <c r="ZJ122" s="38"/>
      <c r="ZK122" s="38"/>
      <c r="ZL122" s="38"/>
      <c r="ZM122" s="38"/>
      <c r="ZN122" s="38"/>
      <c r="ZO122" s="38"/>
      <c r="ZP122" s="38"/>
      <c r="ZQ122" s="38"/>
      <c r="ZR122" s="38"/>
      <c r="ZS122" s="38"/>
      <c r="ZT122" s="38"/>
      <c r="ZU122" s="38"/>
      <c r="ZV122" s="38"/>
      <c r="ZW122" s="38"/>
      <c r="ZX122" s="38"/>
      <c r="ZY122" s="38"/>
      <c r="ZZ122" s="38"/>
      <c r="AAA122" s="38"/>
      <c r="AAB122" s="38"/>
      <c r="AAC122" s="38"/>
      <c r="AAD122" s="38"/>
      <c r="AAE122" s="38"/>
      <c r="AAF122" s="38"/>
      <c r="AAG122" s="38"/>
      <c r="AAH122" s="38"/>
      <c r="AAI122" s="38"/>
      <c r="AAJ122" s="38"/>
      <c r="AAK122" s="38"/>
      <c r="AAL122" s="38"/>
      <c r="AAM122" s="38"/>
      <c r="AAN122" s="38"/>
      <c r="AAO122" s="38"/>
      <c r="AAP122" s="38"/>
      <c r="AAQ122" s="38"/>
      <c r="AAR122" s="38"/>
      <c r="AAS122" s="38"/>
      <c r="AAT122" s="38"/>
      <c r="AAU122" s="38"/>
      <c r="AAV122" s="38"/>
      <c r="AAW122" s="38"/>
      <c r="AAX122" s="38"/>
      <c r="AAY122" s="38"/>
      <c r="AAZ122" s="38"/>
      <c r="ABA122" s="38"/>
      <c r="ABB122" s="38"/>
      <c r="ABC122" s="38"/>
      <c r="ABD122" s="38"/>
      <c r="ABE122" s="38"/>
      <c r="ABF122" s="38"/>
      <c r="ABG122" s="38"/>
      <c r="ABH122" s="38"/>
      <c r="ABI122" s="38"/>
      <c r="ABJ122" s="38"/>
      <c r="ABK122" s="38"/>
      <c r="ABL122" s="38"/>
      <c r="ABM122" s="38"/>
      <c r="ABN122" s="38"/>
      <c r="ABO122" s="38"/>
      <c r="ABP122" s="38"/>
      <c r="ABQ122" s="38"/>
      <c r="ABR122" s="38"/>
      <c r="ABS122" s="38"/>
      <c r="ABT122" s="38"/>
      <c r="ABU122" s="38"/>
      <c r="ABV122" s="38"/>
      <c r="ABW122" s="38"/>
      <c r="ABX122" s="38"/>
      <c r="ABY122" s="38"/>
      <c r="ABZ122" s="38"/>
      <c r="ACA122" s="38"/>
      <c r="ACB122" s="38"/>
      <c r="ACC122" s="38"/>
      <c r="ACD122" s="38"/>
      <c r="ACE122" s="38"/>
      <c r="ACF122" s="38"/>
      <c r="ACG122" s="38"/>
      <c r="ACH122" s="38"/>
      <c r="ACI122" s="38"/>
      <c r="ACJ122" s="38"/>
      <c r="ACK122" s="38"/>
      <c r="ACL122" s="38"/>
      <c r="ACM122" s="38"/>
      <c r="ACN122" s="38"/>
      <c r="ACO122" s="38"/>
      <c r="ACP122" s="38"/>
      <c r="ACQ122" s="38"/>
      <c r="ACR122" s="38"/>
      <c r="ACS122" s="38"/>
      <c r="ACT122" s="38"/>
      <c r="ACU122" s="38"/>
      <c r="ACV122" s="38"/>
      <c r="ACW122" s="38"/>
      <c r="ACX122" s="38"/>
      <c r="ACY122" s="38"/>
      <c r="ACZ122" s="38"/>
      <c r="ADA122" s="38"/>
      <c r="ADB122" s="38"/>
      <c r="ADC122" s="38"/>
      <c r="ADD122" s="38"/>
      <c r="ADE122" s="38"/>
      <c r="ADF122" s="38"/>
      <c r="ADG122" s="38"/>
      <c r="ADH122" s="38"/>
      <c r="ADI122" s="38"/>
      <c r="ADJ122" s="38"/>
      <c r="ADK122" s="38"/>
      <c r="ADL122" s="38"/>
      <c r="ADM122" s="38"/>
      <c r="ADN122" s="38"/>
      <c r="ADO122" s="38"/>
      <c r="ADP122" s="38"/>
      <c r="ADQ122" s="38"/>
      <c r="ADR122" s="38"/>
      <c r="ADS122" s="38"/>
      <c r="ADT122" s="38"/>
      <c r="ADU122" s="38"/>
      <c r="ADV122" s="38"/>
      <c r="ADW122" s="38"/>
      <c r="ADX122" s="38"/>
      <c r="ADY122" s="38"/>
      <c r="ADZ122" s="38"/>
      <c r="AEA122" s="38"/>
      <c r="AEB122" s="38"/>
      <c r="AEC122" s="38"/>
      <c r="AED122" s="38"/>
      <c r="AEE122" s="38"/>
      <c r="AEF122" s="38"/>
      <c r="AEG122" s="38"/>
      <c r="AEH122" s="38"/>
      <c r="AEI122" s="38"/>
      <c r="AEJ122" s="38"/>
      <c r="AEK122" s="38"/>
      <c r="AEL122" s="38"/>
      <c r="AEM122" s="38"/>
      <c r="AEN122" s="38"/>
      <c r="AEO122" s="38"/>
      <c r="AEP122" s="38"/>
      <c r="AEQ122" s="38"/>
      <c r="AER122" s="38"/>
      <c r="AES122" s="38"/>
      <c r="AET122" s="38"/>
      <c r="AEU122" s="38"/>
      <c r="AEV122" s="38"/>
      <c r="AEW122" s="38"/>
      <c r="AEX122" s="38"/>
      <c r="AEY122" s="38"/>
      <c r="AEZ122" s="38"/>
      <c r="AFA122" s="38"/>
      <c r="AFB122" s="38"/>
      <c r="AFC122" s="38"/>
      <c r="AFD122" s="38"/>
      <c r="AFE122" s="38"/>
      <c r="AFF122" s="38"/>
      <c r="AFG122" s="38"/>
      <c r="AFH122" s="38"/>
      <c r="AFI122" s="38"/>
      <c r="AFJ122" s="38"/>
      <c r="AFK122" s="38"/>
      <c r="AFL122" s="38"/>
      <c r="AFM122" s="38"/>
      <c r="AFN122" s="38"/>
      <c r="AFO122" s="38"/>
      <c r="AFP122" s="38"/>
      <c r="AFQ122" s="38"/>
      <c r="AFR122" s="38"/>
      <c r="AFS122" s="38"/>
      <c r="AFT122" s="38"/>
      <c r="AFU122" s="38"/>
      <c r="AFV122" s="38"/>
      <c r="AFW122" s="38"/>
      <c r="AFX122" s="38"/>
      <c r="AFY122" s="38"/>
      <c r="AFZ122" s="38"/>
      <c r="AGA122" s="38"/>
      <c r="AGB122" s="38"/>
      <c r="AGC122" s="38"/>
      <c r="AGD122" s="38"/>
      <c r="AGE122" s="38"/>
      <c r="AGF122" s="38"/>
      <c r="AGG122" s="38"/>
      <c r="AGH122" s="38"/>
      <c r="AGI122" s="38"/>
      <c r="AGJ122" s="38"/>
      <c r="AGK122" s="38"/>
      <c r="AGL122" s="38"/>
      <c r="AGM122" s="38"/>
      <c r="AGN122" s="38"/>
      <c r="AGO122" s="38"/>
      <c r="AGP122" s="38"/>
      <c r="AGQ122" s="38"/>
      <c r="AGR122" s="38"/>
      <c r="AGS122" s="38"/>
      <c r="AGT122" s="38"/>
      <c r="AGU122" s="38"/>
      <c r="AGV122" s="38"/>
      <c r="AGW122" s="38"/>
      <c r="AGX122" s="38"/>
      <c r="AGY122" s="38"/>
      <c r="AGZ122" s="38"/>
      <c r="AHA122" s="38"/>
      <c r="AHB122" s="38"/>
      <c r="AHC122" s="38"/>
      <c r="AHD122" s="38"/>
      <c r="AHE122" s="38"/>
      <c r="AHF122" s="38"/>
      <c r="AHG122" s="38"/>
      <c r="AHH122" s="38"/>
      <c r="AHI122" s="38"/>
      <c r="AHJ122" s="38"/>
      <c r="AHK122" s="38"/>
      <c r="AHL122" s="38"/>
      <c r="AHM122" s="38"/>
      <c r="AHN122" s="38"/>
      <c r="AHO122" s="38"/>
      <c r="AHP122" s="38"/>
      <c r="AHQ122" s="38"/>
      <c r="AHR122" s="38"/>
      <c r="AHS122" s="38"/>
      <c r="AHT122" s="38"/>
      <c r="AHU122" s="38"/>
      <c r="AHV122" s="38"/>
    </row>
    <row r="123" spans="1:906" s="27" customFormat="1" x14ac:dyDescent="0.35">
      <c r="A123" s="83">
        <v>118</v>
      </c>
      <c r="B123" s="108" t="s">
        <v>203</v>
      </c>
      <c r="C123" s="109" t="s">
        <v>277</v>
      </c>
      <c r="D123" s="109" t="s">
        <v>206</v>
      </c>
      <c r="E123" s="125">
        <v>21.99</v>
      </c>
      <c r="F123" s="125">
        <v>22</v>
      </c>
      <c r="G123" s="125"/>
      <c r="H123" s="125"/>
      <c r="I123" s="37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38"/>
      <c r="BS123" s="38"/>
      <c r="BT123" s="38"/>
      <c r="BU123" s="38"/>
      <c r="BV123" s="38"/>
      <c r="BW123" s="38"/>
      <c r="BX123" s="38"/>
      <c r="BY123" s="38"/>
      <c r="BZ123" s="38"/>
      <c r="CA123" s="38"/>
      <c r="CB123" s="38"/>
      <c r="CC123" s="38"/>
      <c r="CD123" s="38"/>
      <c r="CE123" s="38"/>
      <c r="CF123" s="38"/>
      <c r="CG123" s="38"/>
      <c r="CH123" s="38"/>
      <c r="CI123" s="38"/>
      <c r="CJ123" s="38"/>
      <c r="CK123" s="38"/>
      <c r="CL123" s="38"/>
      <c r="CM123" s="38"/>
      <c r="CN123" s="38"/>
      <c r="CO123" s="38"/>
      <c r="CP123" s="38"/>
      <c r="CQ123" s="38"/>
      <c r="CR123" s="38"/>
      <c r="CS123" s="38"/>
      <c r="CT123" s="38"/>
      <c r="CU123" s="38"/>
      <c r="CV123" s="38"/>
      <c r="CW123" s="38"/>
      <c r="CX123" s="38"/>
      <c r="CY123" s="38"/>
      <c r="CZ123" s="38"/>
      <c r="DA123" s="38"/>
      <c r="DB123" s="38"/>
      <c r="DC123" s="38"/>
      <c r="DD123" s="38"/>
      <c r="DE123" s="38"/>
      <c r="DF123" s="38"/>
      <c r="DG123" s="38"/>
      <c r="DH123" s="38"/>
      <c r="DI123" s="38"/>
      <c r="DJ123" s="38"/>
      <c r="DK123" s="38"/>
      <c r="DL123" s="38"/>
      <c r="DM123" s="38"/>
      <c r="DN123" s="38"/>
      <c r="DO123" s="38"/>
      <c r="DP123" s="38"/>
      <c r="DQ123" s="38"/>
      <c r="DR123" s="38"/>
      <c r="DS123" s="38"/>
      <c r="DT123" s="38"/>
      <c r="DU123" s="38"/>
      <c r="DV123" s="38"/>
      <c r="DW123" s="38"/>
      <c r="DX123" s="38"/>
      <c r="DY123" s="38"/>
      <c r="DZ123" s="38"/>
      <c r="EA123" s="38"/>
      <c r="EB123" s="38"/>
      <c r="EC123" s="38"/>
      <c r="ED123" s="38"/>
      <c r="EE123" s="38"/>
      <c r="EF123" s="38"/>
      <c r="EG123" s="38"/>
      <c r="EH123" s="38"/>
      <c r="EI123" s="38"/>
      <c r="EJ123" s="38"/>
      <c r="EK123" s="38"/>
      <c r="EL123" s="38"/>
      <c r="EM123" s="38"/>
      <c r="EN123" s="38"/>
      <c r="EO123" s="38"/>
      <c r="EP123" s="38"/>
      <c r="EQ123" s="38"/>
      <c r="ER123" s="38"/>
      <c r="ES123" s="38"/>
      <c r="ET123" s="38"/>
      <c r="EU123" s="38"/>
      <c r="EV123" s="38"/>
      <c r="EW123" s="38"/>
      <c r="EX123" s="38"/>
      <c r="EY123" s="38"/>
      <c r="EZ123" s="38"/>
      <c r="FA123" s="38"/>
      <c r="FB123" s="38"/>
      <c r="FC123" s="38"/>
      <c r="FD123" s="38"/>
      <c r="FE123" s="38"/>
      <c r="FF123" s="38"/>
      <c r="FG123" s="38"/>
      <c r="FH123" s="38"/>
      <c r="FI123" s="38"/>
      <c r="FJ123" s="38"/>
      <c r="FK123" s="38"/>
      <c r="FL123" s="38"/>
      <c r="FM123" s="38"/>
      <c r="FN123" s="38"/>
      <c r="FO123" s="38"/>
      <c r="FP123" s="38"/>
      <c r="FQ123" s="38"/>
      <c r="FR123" s="38"/>
      <c r="FS123" s="38"/>
      <c r="FT123" s="38"/>
      <c r="FU123" s="38"/>
      <c r="FV123" s="38"/>
      <c r="FW123" s="38"/>
      <c r="FX123" s="38"/>
      <c r="FY123" s="38"/>
      <c r="FZ123" s="38"/>
      <c r="GA123" s="38"/>
      <c r="GB123" s="38"/>
      <c r="GC123" s="38"/>
      <c r="GD123" s="38"/>
      <c r="GE123" s="38"/>
      <c r="GF123" s="38"/>
      <c r="GG123" s="38"/>
      <c r="GH123" s="38"/>
      <c r="GI123" s="38"/>
      <c r="GJ123" s="38"/>
      <c r="GK123" s="38"/>
      <c r="GL123" s="38"/>
      <c r="GM123" s="38"/>
      <c r="GN123" s="38"/>
      <c r="GO123" s="38"/>
      <c r="GP123" s="38"/>
      <c r="GQ123" s="38"/>
      <c r="GR123" s="38"/>
      <c r="GS123" s="38"/>
      <c r="GT123" s="38"/>
      <c r="GU123" s="38"/>
      <c r="GV123" s="38"/>
      <c r="GW123" s="38"/>
      <c r="GX123" s="38"/>
      <c r="GY123" s="38"/>
      <c r="GZ123" s="38"/>
      <c r="HA123" s="38"/>
      <c r="HB123" s="38"/>
      <c r="HC123" s="38"/>
      <c r="HD123" s="38"/>
      <c r="HE123" s="38"/>
      <c r="HF123" s="38"/>
      <c r="HG123" s="38"/>
      <c r="HH123" s="38"/>
      <c r="HI123" s="38"/>
      <c r="HJ123" s="38"/>
      <c r="HK123" s="38"/>
      <c r="HL123" s="38"/>
      <c r="HM123" s="38"/>
      <c r="HN123" s="38"/>
      <c r="HO123" s="38"/>
      <c r="HP123" s="38"/>
      <c r="HQ123" s="38"/>
      <c r="HR123" s="38"/>
      <c r="HS123" s="38"/>
      <c r="HT123" s="38"/>
      <c r="HU123" s="38"/>
      <c r="HV123" s="38"/>
      <c r="HW123" s="38"/>
      <c r="HX123" s="38"/>
      <c r="HY123" s="38"/>
      <c r="HZ123" s="38"/>
      <c r="IA123" s="38"/>
      <c r="IB123" s="38"/>
      <c r="IC123" s="38"/>
      <c r="ID123" s="38"/>
      <c r="IE123" s="38"/>
      <c r="IF123" s="38"/>
      <c r="IG123" s="38"/>
      <c r="IH123" s="38"/>
      <c r="II123" s="38"/>
      <c r="IJ123" s="38"/>
      <c r="IK123" s="38"/>
      <c r="IL123" s="38"/>
      <c r="IM123" s="38"/>
      <c r="IN123" s="38"/>
      <c r="IO123" s="38"/>
      <c r="IP123" s="38"/>
      <c r="IQ123" s="38"/>
      <c r="IR123" s="38"/>
      <c r="IS123" s="38"/>
      <c r="IT123" s="38"/>
      <c r="IU123" s="38"/>
      <c r="IV123" s="38"/>
      <c r="IW123" s="38"/>
      <c r="IX123" s="38"/>
      <c r="IY123" s="38"/>
      <c r="IZ123" s="38"/>
      <c r="JA123" s="38"/>
      <c r="JB123" s="38"/>
      <c r="JC123" s="38"/>
      <c r="JD123" s="38"/>
      <c r="JE123" s="38"/>
      <c r="JF123" s="38"/>
      <c r="JG123" s="38"/>
      <c r="JH123" s="38"/>
      <c r="JI123" s="38"/>
      <c r="JJ123" s="38"/>
      <c r="JK123" s="38"/>
      <c r="JL123" s="38"/>
      <c r="JM123" s="38"/>
      <c r="JN123" s="38"/>
      <c r="JO123" s="38"/>
      <c r="JP123" s="38"/>
      <c r="JQ123" s="38"/>
      <c r="JR123" s="38"/>
      <c r="JS123" s="38"/>
      <c r="JT123" s="38"/>
      <c r="JU123" s="38"/>
      <c r="JV123" s="38"/>
      <c r="JW123" s="38"/>
      <c r="JX123" s="38"/>
      <c r="JY123" s="38"/>
      <c r="JZ123" s="38"/>
      <c r="KA123" s="38"/>
      <c r="KB123" s="38"/>
      <c r="KC123" s="38"/>
      <c r="KD123" s="38"/>
      <c r="KE123" s="38"/>
      <c r="KF123" s="38"/>
      <c r="KG123" s="38"/>
      <c r="KH123" s="38"/>
      <c r="KI123" s="38"/>
      <c r="KJ123" s="38"/>
      <c r="KK123" s="38"/>
      <c r="KL123" s="38"/>
      <c r="KM123" s="38"/>
      <c r="KN123" s="38"/>
      <c r="KO123" s="38"/>
      <c r="KP123" s="38"/>
      <c r="KQ123" s="38"/>
      <c r="KR123" s="38"/>
      <c r="KS123" s="38"/>
      <c r="KT123" s="38"/>
      <c r="KU123" s="38"/>
      <c r="KV123" s="38"/>
      <c r="KW123" s="38"/>
      <c r="KX123" s="38"/>
      <c r="KY123" s="38"/>
      <c r="KZ123" s="38"/>
      <c r="LA123" s="38"/>
      <c r="LB123" s="38"/>
      <c r="LC123" s="38"/>
      <c r="LD123" s="38"/>
      <c r="LE123" s="38"/>
      <c r="LF123" s="38"/>
      <c r="LG123" s="38"/>
      <c r="LH123" s="38"/>
      <c r="LI123" s="38"/>
      <c r="LJ123" s="38"/>
      <c r="LK123" s="38"/>
      <c r="LL123" s="38"/>
      <c r="LM123" s="38"/>
      <c r="LN123" s="38"/>
      <c r="LO123" s="38"/>
      <c r="LP123" s="38"/>
      <c r="LQ123" s="38"/>
      <c r="LR123" s="38"/>
      <c r="LS123" s="38"/>
      <c r="LT123" s="38"/>
      <c r="LU123" s="38"/>
      <c r="LV123" s="38"/>
      <c r="LW123" s="38"/>
      <c r="LX123" s="38"/>
      <c r="LY123" s="38"/>
      <c r="LZ123" s="38"/>
      <c r="MA123" s="38"/>
      <c r="MB123" s="38"/>
      <c r="MC123" s="38"/>
      <c r="MD123" s="38"/>
      <c r="ME123" s="38"/>
      <c r="MF123" s="38"/>
      <c r="MG123" s="38"/>
      <c r="MH123" s="38"/>
      <c r="MI123" s="38"/>
      <c r="MJ123" s="38"/>
      <c r="MK123" s="38"/>
      <c r="ML123" s="38"/>
      <c r="MM123" s="38"/>
      <c r="MN123" s="38"/>
      <c r="MO123" s="38"/>
      <c r="MP123" s="38"/>
      <c r="MQ123" s="38"/>
      <c r="MR123" s="38"/>
      <c r="MS123" s="38"/>
      <c r="MT123" s="38"/>
      <c r="MU123" s="38"/>
      <c r="MV123" s="38"/>
      <c r="MW123" s="38"/>
      <c r="MX123" s="38"/>
      <c r="MY123" s="38"/>
      <c r="MZ123" s="38"/>
      <c r="NA123" s="38"/>
      <c r="NB123" s="38"/>
      <c r="NC123" s="38"/>
      <c r="ND123" s="38"/>
      <c r="NE123" s="38"/>
      <c r="NF123" s="38"/>
      <c r="NG123" s="38"/>
      <c r="NH123" s="38"/>
      <c r="NI123" s="38"/>
      <c r="NJ123" s="38"/>
      <c r="NK123" s="38"/>
      <c r="NL123" s="38"/>
      <c r="NM123" s="38"/>
      <c r="NN123" s="38"/>
      <c r="NO123" s="38"/>
      <c r="NP123" s="38"/>
      <c r="NQ123" s="38"/>
      <c r="NR123" s="38"/>
      <c r="NS123" s="38"/>
      <c r="NT123" s="38"/>
      <c r="NU123" s="38"/>
      <c r="NV123" s="38"/>
      <c r="NW123" s="38"/>
      <c r="NX123" s="38"/>
      <c r="NY123" s="38"/>
      <c r="NZ123" s="38"/>
      <c r="OA123" s="38"/>
      <c r="OB123" s="38"/>
      <c r="OC123" s="38"/>
      <c r="OD123" s="38"/>
      <c r="OE123" s="38"/>
      <c r="OF123" s="38"/>
      <c r="OG123" s="38"/>
      <c r="OH123" s="38"/>
      <c r="OI123" s="38"/>
      <c r="OJ123" s="38"/>
      <c r="OK123" s="38"/>
      <c r="OL123" s="38"/>
      <c r="OM123" s="38"/>
      <c r="ON123" s="38"/>
      <c r="OO123" s="38"/>
      <c r="OP123" s="38"/>
      <c r="OQ123" s="38"/>
      <c r="OR123" s="38"/>
      <c r="OS123" s="38"/>
      <c r="OT123" s="38"/>
      <c r="OU123" s="38"/>
      <c r="OV123" s="38"/>
      <c r="OW123" s="38"/>
      <c r="OX123" s="38"/>
      <c r="OY123" s="38"/>
      <c r="OZ123" s="38"/>
      <c r="PA123" s="38"/>
      <c r="PB123" s="38"/>
      <c r="PC123" s="38"/>
      <c r="PD123" s="38"/>
      <c r="PE123" s="38"/>
      <c r="PF123" s="38"/>
      <c r="PG123" s="38"/>
      <c r="PH123" s="38"/>
      <c r="PI123" s="38"/>
      <c r="PJ123" s="38"/>
      <c r="PK123" s="38"/>
      <c r="PL123" s="38"/>
      <c r="PM123" s="38"/>
      <c r="PN123" s="38"/>
      <c r="PO123" s="38"/>
      <c r="PP123" s="38"/>
      <c r="PQ123" s="38"/>
      <c r="PR123" s="38"/>
      <c r="PS123" s="38"/>
      <c r="PT123" s="38"/>
      <c r="PU123" s="38"/>
      <c r="PV123" s="38"/>
      <c r="PW123" s="38"/>
      <c r="PX123" s="38"/>
      <c r="PY123" s="38"/>
      <c r="PZ123" s="38"/>
      <c r="QA123" s="38"/>
      <c r="QB123" s="38"/>
      <c r="QC123" s="38"/>
      <c r="QD123" s="38"/>
      <c r="QE123" s="38"/>
      <c r="QF123" s="38"/>
      <c r="QG123" s="38"/>
      <c r="QH123" s="38"/>
      <c r="QI123" s="38"/>
      <c r="QJ123" s="38"/>
      <c r="QK123" s="38"/>
      <c r="QL123" s="38"/>
      <c r="QM123" s="38"/>
      <c r="QN123" s="38"/>
      <c r="QO123" s="38"/>
      <c r="QP123" s="38"/>
      <c r="QQ123" s="38"/>
      <c r="QR123" s="38"/>
      <c r="QS123" s="38"/>
      <c r="QT123" s="38"/>
      <c r="QU123" s="38"/>
      <c r="QV123" s="38"/>
      <c r="QW123" s="38"/>
      <c r="QX123" s="38"/>
      <c r="QY123" s="38"/>
      <c r="QZ123" s="38"/>
      <c r="RA123" s="38"/>
      <c r="RB123" s="38"/>
      <c r="RC123" s="38"/>
      <c r="RD123" s="38"/>
      <c r="RE123" s="38"/>
      <c r="RF123" s="38"/>
      <c r="RG123" s="38"/>
      <c r="RH123" s="38"/>
      <c r="RI123" s="38"/>
      <c r="RJ123" s="38"/>
      <c r="RK123" s="38"/>
      <c r="RL123" s="38"/>
      <c r="RM123" s="38"/>
      <c r="RN123" s="38"/>
      <c r="RO123" s="38"/>
      <c r="RP123" s="38"/>
      <c r="RQ123" s="38"/>
      <c r="RR123" s="38"/>
      <c r="RS123" s="38"/>
      <c r="RT123" s="38"/>
      <c r="RU123" s="38"/>
      <c r="RV123" s="38"/>
      <c r="RW123" s="38"/>
      <c r="RX123" s="38"/>
      <c r="RY123" s="38"/>
      <c r="RZ123" s="38"/>
      <c r="SA123" s="38"/>
      <c r="SB123" s="38"/>
      <c r="SC123" s="38"/>
      <c r="SD123" s="38"/>
      <c r="SE123" s="38"/>
      <c r="SF123" s="38"/>
      <c r="SG123" s="38"/>
      <c r="SH123" s="38"/>
      <c r="SI123" s="38"/>
      <c r="SJ123" s="38"/>
      <c r="SK123" s="38"/>
      <c r="SL123" s="38"/>
      <c r="SM123" s="38"/>
      <c r="SN123" s="38"/>
      <c r="SO123" s="38"/>
      <c r="SP123" s="38"/>
      <c r="SQ123" s="38"/>
      <c r="SR123" s="38"/>
      <c r="SS123" s="38"/>
      <c r="ST123" s="38"/>
      <c r="SU123" s="38"/>
      <c r="SV123" s="38"/>
      <c r="SW123" s="38"/>
      <c r="SX123" s="38"/>
      <c r="SY123" s="38"/>
      <c r="SZ123" s="38"/>
      <c r="TA123" s="38"/>
      <c r="TB123" s="38"/>
      <c r="TC123" s="38"/>
      <c r="TD123" s="38"/>
      <c r="TE123" s="38"/>
      <c r="TF123" s="38"/>
      <c r="TG123" s="38"/>
      <c r="TH123" s="38"/>
      <c r="TI123" s="38"/>
      <c r="TJ123" s="38"/>
      <c r="TK123" s="38"/>
      <c r="TL123" s="38"/>
      <c r="TM123" s="38"/>
      <c r="TN123" s="38"/>
      <c r="TO123" s="38"/>
      <c r="TP123" s="38"/>
      <c r="TQ123" s="38"/>
      <c r="TR123" s="38"/>
      <c r="TS123" s="38"/>
      <c r="TT123" s="38"/>
      <c r="TU123" s="38"/>
      <c r="TV123" s="38"/>
      <c r="TW123" s="38"/>
      <c r="TX123" s="38"/>
      <c r="TY123" s="38"/>
      <c r="TZ123" s="38"/>
      <c r="UA123" s="38"/>
      <c r="UB123" s="38"/>
      <c r="UC123" s="38"/>
      <c r="UD123" s="38"/>
      <c r="UE123" s="38"/>
      <c r="UF123" s="38"/>
      <c r="UG123" s="38"/>
      <c r="UH123" s="38"/>
      <c r="UI123" s="38"/>
      <c r="UJ123" s="38"/>
      <c r="UK123" s="38"/>
      <c r="UL123" s="38"/>
      <c r="UM123" s="38"/>
      <c r="UN123" s="38"/>
      <c r="UO123" s="38"/>
      <c r="UP123" s="38"/>
      <c r="UQ123" s="38"/>
      <c r="UR123" s="38"/>
      <c r="US123" s="38"/>
      <c r="UT123" s="38"/>
      <c r="UU123" s="38"/>
      <c r="UV123" s="38"/>
      <c r="UW123" s="38"/>
      <c r="UX123" s="38"/>
      <c r="UY123" s="38"/>
      <c r="UZ123" s="38"/>
      <c r="VA123" s="38"/>
      <c r="VB123" s="38"/>
      <c r="VC123" s="38"/>
      <c r="VD123" s="38"/>
      <c r="VE123" s="38"/>
      <c r="VF123" s="38"/>
      <c r="VG123" s="38"/>
      <c r="VH123" s="38"/>
      <c r="VI123" s="38"/>
      <c r="VJ123" s="38"/>
      <c r="VK123" s="38"/>
      <c r="VL123" s="38"/>
      <c r="VM123" s="38"/>
      <c r="VN123" s="38"/>
      <c r="VO123" s="38"/>
      <c r="VP123" s="38"/>
      <c r="VQ123" s="38"/>
      <c r="VR123" s="38"/>
      <c r="VS123" s="38"/>
      <c r="VT123" s="38"/>
      <c r="VU123" s="38"/>
      <c r="VV123" s="38"/>
      <c r="VW123" s="38"/>
      <c r="VX123" s="38"/>
      <c r="VY123" s="38"/>
      <c r="VZ123" s="38"/>
      <c r="WA123" s="38"/>
      <c r="WB123" s="38"/>
      <c r="WC123" s="38"/>
      <c r="WD123" s="38"/>
      <c r="WE123" s="38"/>
      <c r="WF123" s="38"/>
      <c r="WG123" s="38"/>
      <c r="WH123" s="38"/>
      <c r="WI123" s="38"/>
      <c r="WJ123" s="38"/>
      <c r="WK123" s="38"/>
      <c r="WL123" s="38"/>
      <c r="WM123" s="38"/>
      <c r="WN123" s="38"/>
      <c r="WO123" s="38"/>
      <c r="WP123" s="38"/>
      <c r="WQ123" s="38"/>
      <c r="WR123" s="38"/>
      <c r="WS123" s="38"/>
      <c r="WT123" s="38"/>
      <c r="WU123" s="38"/>
      <c r="WV123" s="38"/>
      <c r="WW123" s="38"/>
      <c r="WX123" s="38"/>
      <c r="WY123" s="38"/>
      <c r="WZ123" s="38"/>
      <c r="XA123" s="38"/>
      <c r="XB123" s="38"/>
      <c r="XC123" s="38"/>
      <c r="XD123" s="38"/>
      <c r="XE123" s="38"/>
      <c r="XF123" s="38"/>
      <c r="XG123" s="38"/>
      <c r="XH123" s="38"/>
      <c r="XI123" s="38"/>
      <c r="XJ123" s="38"/>
      <c r="XK123" s="38"/>
      <c r="XL123" s="38"/>
      <c r="XM123" s="38"/>
      <c r="XN123" s="38"/>
      <c r="XO123" s="38"/>
      <c r="XP123" s="38"/>
      <c r="XQ123" s="38"/>
      <c r="XR123" s="38"/>
      <c r="XS123" s="38"/>
      <c r="XT123" s="38"/>
      <c r="XU123" s="38"/>
      <c r="XV123" s="38"/>
      <c r="XW123" s="38"/>
      <c r="XX123" s="38"/>
      <c r="XY123" s="38"/>
      <c r="XZ123" s="38"/>
      <c r="YA123" s="38"/>
      <c r="YB123" s="38"/>
      <c r="YC123" s="38"/>
      <c r="YD123" s="38"/>
      <c r="YE123" s="38"/>
      <c r="YF123" s="38"/>
      <c r="YG123" s="38"/>
      <c r="YH123" s="38"/>
      <c r="YI123" s="38"/>
      <c r="YJ123" s="38"/>
      <c r="YK123" s="38"/>
      <c r="YL123" s="38"/>
      <c r="YM123" s="38"/>
      <c r="YN123" s="38"/>
      <c r="YO123" s="38"/>
      <c r="YP123" s="38"/>
      <c r="YQ123" s="38"/>
      <c r="YR123" s="38"/>
      <c r="YS123" s="38"/>
      <c r="YT123" s="38"/>
      <c r="YU123" s="38"/>
      <c r="YV123" s="38"/>
      <c r="YW123" s="38"/>
      <c r="YX123" s="38"/>
      <c r="YY123" s="38"/>
      <c r="YZ123" s="38"/>
      <c r="ZA123" s="38"/>
      <c r="ZB123" s="38"/>
      <c r="ZC123" s="38"/>
      <c r="ZD123" s="38"/>
      <c r="ZE123" s="38"/>
      <c r="ZF123" s="38"/>
      <c r="ZG123" s="38"/>
      <c r="ZH123" s="38"/>
      <c r="ZI123" s="38"/>
      <c r="ZJ123" s="38"/>
      <c r="ZK123" s="38"/>
      <c r="ZL123" s="38"/>
      <c r="ZM123" s="38"/>
      <c r="ZN123" s="38"/>
      <c r="ZO123" s="38"/>
      <c r="ZP123" s="38"/>
      <c r="ZQ123" s="38"/>
      <c r="ZR123" s="38"/>
      <c r="ZS123" s="38"/>
      <c r="ZT123" s="38"/>
      <c r="ZU123" s="38"/>
      <c r="ZV123" s="38"/>
      <c r="ZW123" s="38"/>
      <c r="ZX123" s="38"/>
      <c r="ZY123" s="38"/>
      <c r="ZZ123" s="38"/>
      <c r="AAA123" s="38"/>
      <c r="AAB123" s="38"/>
      <c r="AAC123" s="38"/>
      <c r="AAD123" s="38"/>
      <c r="AAE123" s="38"/>
      <c r="AAF123" s="38"/>
      <c r="AAG123" s="38"/>
      <c r="AAH123" s="38"/>
      <c r="AAI123" s="38"/>
      <c r="AAJ123" s="38"/>
      <c r="AAK123" s="38"/>
      <c r="AAL123" s="38"/>
      <c r="AAM123" s="38"/>
      <c r="AAN123" s="38"/>
      <c r="AAO123" s="38"/>
      <c r="AAP123" s="38"/>
      <c r="AAQ123" s="38"/>
      <c r="AAR123" s="38"/>
      <c r="AAS123" s="38"/>
      <c r="AAT123" s="38"/>
      <c r="AAU123" s="38"/>
      <c r="AAV123" s="38"/>
      <c r="AAW123" s="38"/>
      <c r="AAX123" s="38"/>
      <c r="AAY123" s="38"/>
      <c r="AAZ123" s="38"/>
      <c r="ABA123" s="38"/>
      <c r="ABB123" s="38"/>
      <c r="ABC123" s="38"/>
      <c r="ABD123" s="38"/>
      <c r="ABE123" s="38"/>
      <c r="ABF123" s="38"/>
      <c r="ABG123" s="38"/>
      <c r="ABH123" s="38"/>
      <c r="ABI123" s="38"/>
      <c r="ABJ123" s="38"/>
      <c r="ABK123" s="38"/>
      <c r="ABL123" s="38"/>
      <c r="ABM123" s="38"/>
      <c r="ABN123" s="38"/>
      <c r="ABO123" s="38"/>
      <c r="ABP123" s="38"/>
      <c r="ABQ123" s="38"/>
      <c r="ABR123" s="38"/>
      <c r="ABS123" s="38"/>
      <c r="ABT123" s="38"/>
      <c r="ABU123" s="38"/>
      <c r="ABV123" s="38"/>
      <c r="ABW123" s="38"/>
      <c r="ABX123" s="38"/>
      <c r="ABY123" s="38"/>
      <c r="ABZ123" s="38"/>
      <c r="ACA123" s="38"/>
      <c r="ACB123" s="38"/>
      <c r="ACC123" s="38"/>
      <c r="ACD123" s="38"/>
      <c r="ACE123" s="38"/>
      <c r="ACF123" s="38"/>
      <c r="ACG123" s="38"/>
      <c r="ACH123" s="38"/>
      <c r="ACI123" s="38"/>
      <c r="ACJ123" s="38"/>
      <c r="ACK123" s="38"/>
      <c r="ACL123" s="38"/>
      <c r="ACM123" s="38"/>
      <c r="ACN123" s="38"/>
      <c r="ACO123" s="38"/>
      <c r="ACP123" s="38"/>
      <c r="ACQ123" s="38"/>
      <c r="ACR123" s="38"/>
      <c r="ACS123" s="38"/>
      <c r="ACT123" s="38"/>
      <c r="ACU123" s="38"/>
      <c r="ACV123" s="38"/>
      <c r="ACW123" s="38"/>
      <c r="ACX123" s="38"/>
      <c r="ACY123" s="38"/>
      <c r="ACZ123" s="38"/>
      <c r="ADA123" s="38"/>
      <c r="ADB123" s="38"/>
      <c r="ADC123" s="38"/>
      <c r="ADD123" s="38"/>
      <c r="ADE123" s="38"/>
      <c r="ADF123" s="38"/>
      <c r="ADG123" s="38"/>
      <c r="ADH123" s="38"/>
      <c r="ADI123" s="38"/>
      <c r="ADJ123" s="38"/>
      <c r="ADK123" s="38"/>
      <c r="ADL123" s="38"/>
      <c r="ADM123" s="38"/>
      <c r="ADN123" s="38"/>
      <c r="ADO123" s="38"/>
      <c r="ADP123" s="38"/>
      <c r="ADQ123" s="38"/>
      <c r="ADR123" s="38"/>
      <c r="ADS123" s="38"/>
      <c r="ADT123" s="38"/>
      <c r="ADU123" s="38"/>
      <c r="ADV123" s="38"/>
      <c r="ADW123" s="38"/>
      <c r="ADX123" s="38"/>
      <c r="ADY123" s="38"/>
      <c r="ADZ123" s="38"/>
      <c r="AEA123" s="38"/>
      <c r="AEB123" s="38"/>
      <c r="AEC123" s="38"/>
      <c r="AED123" s="38"/>
      <c r="AEE123" s="38"/>
      <c r="AEF123" s="38"/>
      <c r="AEG123" s="38"/>
      <c r="AEH123" s="38"/>
      <c r="AEI123" s="38"/>
      <c r="AEJ123" s="38"/>
      <c r="AEK123" s="38"/>
      <c r="AEL123" s="38"/>
      <c r="AEM123" s="38"/>
      <c r="AEN123" s="38"/>
      <c r="AEO123" s="38"/>
      <c r="AEP123" s="38"/>
      <c r="AEQ123" s="38"/>
      <c r="AER123" s="38"/>
      <c r="AES123" s="38"/>
      <c r="AET123" s="38"/>
      <c r="AEU123" s="38"/>
      <c r="AEV123" s="38"/>
      <c r="AEW123" s="38"/>
      <c r="AEX123" s="38"/>
      <c r="AEY123" s="38"/>
      <c r="AEZ123" s="38"/>
      <c r="AFA123" s="38"/>
      <c r="AFB123" s="38"/>
      <c r="AFC123" s="38"/>
      <c r="AFD123" s="38"/>
      <c r="AFE123" s="38"/>
      <c r="AFF123" s="38"/>
      <c r="AFG123" s="38"/>
      <c r="AFH123" s="38"/>
      <c r="AFI123" s="38"/>
      <c r="AFJ123" s="38"/>
      <c r="AFK123" s="38"/>
      <c r="AFL123" s="38"/>
      <c r="AFM123" s="38"/>
      <c r="AFN123" s="38"/>
      <c r="AFO123" s="38"/>
      <c r="AFP123" s="38"/>
      <c r="AFQ123" s="38"/>
      <c r="AFR123" s="38"/>
      <c r="AFS123" s="38"/>
      <c r="AFT123" s="38"/>
      <c r="AFU123" s="38"/>
      <c r="AFV123" s="38"/>
      <c r="AFW123" s="38"/>
      <c r="AFX123" s="38"/>
      <c r="AFY123" s="38"/>
      <c r="AFZ123" s="38"/>
      <c r="AGA123" s="38"/>
      <c r="AGB123" s="38"/>
      <c r="AGC123" s="38"/>
      <c r="AGD123" s="38"/>
      <c r="AGE123" s="38"/>
      <c r="AGF123" s="38"/>
      <c r="AGG123" s="38"/>
      <c r="AGH123" s="38"/>
      <c r="AGI123" s="38"/>
      <c r="AGJ123" s="38"/>
      <c r="AGK123" s="38"/>
      <c r="AGL123" s="38"/>
      <c r="AGM123" s="38"/>
      <c r="AGN123" s="38"/>
      <c r="AGO123" s="38"/>
      <c r="AGP123" s="38"/>
      <c r="AGQ123" s="38"/>
      <c r="AGR123" s="38"/>
      <c r="AGS123" s="38"/>
      <c r="AGT123" s="38"/>
      <c r="AGU123" s="38"/>
      <c r="AGV123" s="38"/>
      <c r="AGW123" s="38"/>
      <c r="AGX123" s="38"/>
      <c r="AGY123" s="38"/>
      <c r="AGZ123" s="38"/>
      <c r="AHA123" s="38"/>
      <c r="AHB123" s="38"/>
      <c r="AHC123" s="38"/>
      <c r="AHD123" s="38"/>
      <c r="AHE123" s="38"/>
      <c r="AHF123" s="38"/>
      <c r="AHG123" s="38"/>
      <c r="AHH123" s="38"/>
      <c r="AHI123" s="38"/>
      <c r="AHJ123" s="38"/>
      <c r="AHK123" s="38"/>
      <c r="AHL123" s="38"/>
      <c r="AHM123" s="38"/>
      <c r="AHN123" s="38"/>
      <c r="AHO123" s="38"/>
      <c r="AHP123" s="38"/>
      <c r="AHQ123" s="38"/>
      <c r="AHR123" s="38"/>
      <c r="AHS123" s="38"/>
      <c r="AHT123" s="38"/>
      <c r="AHU123" s="38"/>
      <c r="AHV123" s="38"/>
    </row>
    <row r="124" spans="1:906" s="27" customFormat="1" x14ac:dyDescent="0.35">
      <c r="A124" s="83">
        <v>119</v>
      </c>
      <c r="B124" s="108" t="s">
        <v>207</v>
      </c>
      <c r="C124" s="109" t="s">
        <v>204</v>
      </c>
      <c r="D124" s="109" t="s">
        <v>276</v>
      </c>
      <c r="E124" s="125">
        <v>16.989999999999998</v>
      </c>
      <c r="F124" s="125">
        <v>16.95</v>
      </c>
      <c r="G124" s="125"/>
      <c r="H124" s="125"/>
      <c r="I124" s="37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  <c r="BN124" s="38"/>
      <c r="BO124" s="38"/>
      <c r="BP124" s="38"/>
      <c r="BQ124" s="38"/>
      <c r="BR124" s="38"/>
      <c r="BS124" s="38"/>
      <c r="BT124" s="38"/>
      <c r="BU124" s="38"/>
      <c r="BV124" s="38"/>
      <c r="BW124" s="38"/>
      <c r="BX124" s="38"/>
      <c r="BY124" s="38"/>
      <c r="BZ124" s="38"/>
      <c r="CA124" s="38"/>
      <c r="CB124" s="38"/>
      <c r="CC124" s="38"/>
      <c r="CD124" s="38"/>
      <c r="CE124" s="38"/>
      <c r="CF124" s="38"/>
      <c r="CG124" s="38"/>
      <c r="CH124" s="38"/>
      <c r="CI124" s="38"/>
      <c r="CJ124" s="38"/>
      <c r="CK124" s="38"/>
      <c r="CL124" s="38"/>
      <c r="CM124" s="38"/>
      <c r="CN124" s="38"/>
      <c r="CO124" s="38"/>
      <c r="CP124" s="38"/>
      <c r="CQ124" s="38"/>
      <c r="CR124" s="38"/>
      <c r="CS124" s="38"/>
      <c r="CT124" s="38"/>
      <c r="CU124" s="38"/>
      <c r="CV124" s="38"/>
      <c r="CW124" s="38"/>
      <c r="CX124" s="38"/>
      <c r="CY124" s="38"/>
      <c r="CZ124" s="38"/>
      <c r="DA124" s="38"/>
      <c r="DB124" s="38"/>
      <c r="DC124" s="38"/>
      <c r="DD124" s="38"/>
      <c r="DE124" s="38"/>
      <c r="DF124" s="38"/>
      <c r="DG124" s="38"/>
      <c r="DH124" s="38"/>
      <c r="DI124" s="38"/>
      <c r="DJ124" s="38"/>
      <c r="DK124" s="38"/>
      <c r="DL124" s="38"/>
      <c r="DM124" s="38"/>
      <c r="DN124" s="38"/>
      <c r="DO124" s="38"/>
      <c r="DP124" s="38"/>
      <c r="DQ124" s="38"/>
      <c r="DR124" s="38"/>
      <c r="DS124" s="38"/>
      <c r="DT124" s="38"/>
      <c r="DU124" s="38"/>
      <c r="DV124" s="38"/>
      <c r="DW124" s="38"/>
      <c r="DX124" s="38"/>
      <c r="DY124" s="38"/>
      <c r="DZ124" s="38"/>
      <c r="EA124" s="38"/>
      <c r="EB124" s="38"/>
      <c r="EC124" s="38"/>
      <c r="ED124" s="38"/>
      <c r="EE124" s="38"/>
      <c r="EF124" s="38"/>
      <c r="EG124" s="38"/>
      <c r="EH124" s="38"/>
      <c r="EI124" s="38"/>
      <c r="EJ124" s="38"/>
      <c r="EK124" s="38"/>
      <c r="EL124" s="38"/>
      <c r="EM124" s="38"/>
      <c r="EN124" s="38"/>
      <c r="EO124" s="38"/>
      <c r="EP124" s="38"/>
      <c r="EQ124" s="38"/>
      <c r="ER124" s="38"/>
      <c r="ES124" s="38"/>
      <c r="ET124" s="38"/>
      <c r="EU124" s="38"/>
      <c r="EV124" s="38"/>
      <c r="EW124" s="38"/>
      <c r="EX124" s="38"/>
      <c r="EY124" s="38"/>
      <c r="EZ124" s="38"/>
      <c r="FA124" s="38"/>
      <c r="FB124" s="38"/>
      <c r="FC124" s="38"/>
      <c r="FD124" s="38"/>
      <c r="FE124" s="38"/>
      <c r="FF124" s="38"/>
      <c r="FG124" s="38"/>
      <c r="FH124" s="38"/>
      <c r="FI124" s="38"/>
      <c r="FJ124" s="38"/>
      <c r="FK124" s="38"/>
      <c r="FL124" s="38"/>
      <c r="FM124" s="38"/>
      <c r="FN124" s="38"/>
      <c r="FO124" s="38"/>
      <c r="FP124" s="38"/>
      <c r="FQ124" s="38"/>
      <c r="FR124" s="38"/>
      <c r="FS124" s="38"/>
      <c r="FT124" s="38"/>
      <c r="FU124" s="38"/>
      <c r="FV124" s="38"/>
      <c r="FW124" s="38"/>
      <c r="FX124" s="38"/>
      <c r="FY124" s="38"/>
      <c r="FZ124" s="38"/>
      <c r="GA124" s="38"/>
      <c r="GB124" s="38"/>
      <c r="GC124" s="38"/>
      <c r="GD124" s="38"/>
      <c r="GE124" s="38"/>
      <c r="GF124" s="38"/>
      <c r="GG124" s="38"/>
      <c r="GH124" s="38"/>
      <c r="GI124" s="38"/>
      <c r="GJ124" s="38"/>
      <c r="GK124" s="38"/>
      <c r="GL124" s="38"/>
      <c r="GM124" s="38"/>
      <c r="GN124" s="38"/>
      <c r="GO124" s="38"/>
      <c r="GP124" s="38"/>
      <c r="GQ124" s="38"/>
      <c r="GR124" s="38"/>
      <c r="GS124" s="38"/>
      <c r="GT124" s="38"/>
      <c r="GU124" s="38"/>
      <c r="GV124" s="38"/>
      <c r="GW124" s="38"/>
      <c r="GX124" s="38"/>
      <c r="GY124" s="38"/>
      <c r="GZ124" s="38"/>
      <c r="HA124" s="38"/>
      <c r="HB124" s="38"/>
      <c r="HC124" s="38"/>
      <c r="HD124" s="38"/>
      <c r="HE124" s="38"/>
      <c r="HF124" s="38"/>
      <c r="HG124" s="38"/>
      <c r="HH124" s="38"/>
      <c r="HI124" s="38"/>
      <c r="HJ124" s="38"/>
      <c r="HK124" s="38"/>
      <c r="HL124" s="38"/>
      <c r="HM124" s="38"/>
      <c r="HN124" s="38"/>
      <c r="HO124" s="38"/>
      <c r="HP124" s="38"/>
      <c r="HQ124" s="38"/>
      <c r="HR124" s="38"/>
      <c r="HS124" s="38"/>
      <c r="HT124" s="38"/>
      <c r="HU124" s="38"/>
      <c r="HV124" s="38"/>
      <c r="HW124" s="38"/>
      <c r="HX124" s="38"/>
      <c r="HY124" s="38"/>
      <c r="HZ124" s="38"/>
      <c r="IA124" s="38"/>
      <c r="IB124" s="38"/>
      <c r="IC124" s="38"/>
      <c r="ID124" s="38"/>
      <c r="IE124" s="38"/>
      <c r="IF124" s="38"/>
      <c r="IG124" s="38"/>
      <c r="IH124" s="38"/>
      <c r="II124" s="38"/>
      <c r="IJ124" s="38"/>
      <c r="IK124" s="38"/>
      <c r="IL124" s="38"/>
      <c r="IM124" s="38"/>
      <c r="IN124" s="38"/>
      <c r="IO124" s="38"/>
      <c r="IP124" s="38"/>
      <c r="IQ124" s="38"/>
      <c r="IR124" s="38"/>
      <c r="IS124" s="38"/>
      <c r="IT124" s="38"/>
      <c r="IU124" s="38"/>
      <c r="IV124" s="38"/>
      <c r="IW124" s="38"/>
      <c r="IX124" s="38"/>
      <c r="IY124" s="38"/>
      <c r="IZ124" s="38"/>
      <c r="JA124" s="38"/>
      <c r="JB124" s="38"/>
      <c r="JC124" s="38"/>
      <c r="JD124" s="38"/>
      <c r="JE124" s="38"/>
      <c r="JF124" s="38"/>
      <c r="JG124" s="38"/>
      <c r="JH124" s="38"/>
      <c r="JI124" s="38"/>
      <c r="JJ124" s="38"/>
      <c r="JK124" s="38"/>
      <c r="JL124" s="38"/>
      <c r="JM124" s="38"/>
      <c r="JN124" s="38"/>
      <c r="JO124" s="38"/>
      <c r="JP124" s="38"/>
      <c r="JQ124" s="38"/>
      <c r="JR124" s="38"/>
      <c r="JS124" s="38"/>
      <c r="JT124" s="38"/>
      <c r="JU124" s="38"/>
      <c r="JV124" s="38"/>
      <c r="JW124" s="38"/>
      <c r="JX124" s="38"/>
      <c r="JY124" s="38"/>
      <c r="JZ124" s="38"/>
      <c r="KA124" s="38"/>
      <c r="KB124" s="38"/>
      <c r="KC124" s="38"/>
      <c r="KD124" s="38"/>
      <c r="KE124" s="38"/>
      <c r="KF124" s="38"/>
      <c r="KG124" s="38"/>
      <c r="KH124" s="38"/>
      <c r="KI124" s="38"/>
      <c r="KJ124" s="38"/>
      <c r="KK124" s="38"/>
      <c r="KL124" s="38"/>
      <c r="KM124" s="38"/>
      <c r="KN124" s="38"/>
      <c r="KO124" s="38"/>
      <c r="KP124" s="38"/>
      <c r="KQ124" s="38"/>
      <c r="KR124" s="38"/>
      <c r="KS124" s="38"/>
      <c r="KT124" s="38"/>
      <c r="KU124" s="38"/>
      <c r="KV124" s="38"/>
      <c r="KW124" s="38"/>
      <c r="KX124" s="38"/>
      <c r="KY124" s="38"/>
      <c r="KZ124" s="38"/>
      <c r="LA124" s="38"/>
      <c r="LB124" s="38"/>
      <c r="LC124" s="38"/>
      <c r="LD124" s="38"/>
      <c r="LE124" s="38"/>
      <c r="LF124" s="38"/>
      <c r="LG124" s="38"/>
      <c r="LH124" s="38"/>
      <c r="LI124" s="38"/>
      <c r="LJ124" s="38"/>
      <c r="LK124" s="38"/>
      <c r="LL124" s="38"/>
      <c r="LM124" s="38"/>
      <c r="LN124" s="38"/>
      <c r="LO124" s="38"/>
      <c r="LP124" s="38"/>
      <c r="LQ124" s="38"/>
      <c r="LR124" s="38"/>
      <c r="LS124" s="38"/>
      <c r="LT124" s="38"/>
      <c r="LU124" s="38"/>
      <c r="LV124" s="38"/>
      <c r="LW124" s="38"/>
      <c r="LX124" s="38"/>
      <c r="LY124" s="38"/>
      <c r="LZ124" s="38"/>
      <c r="MA124" s="38"/>
      <c r="MB124" s="38"/>
      <c r="MC124" s="38"/>
      <c r="MD124" s="38"/>
      <c r="ME124" s="38"/>
      <c r="MF124" s="38"/>
      <c r="MG124" s="38"/>
      <c r="MH124" s="38"/>
      <c r="MI124" s="38"/>
      <c r="MJ124" s="38"/>
      <c r="MK124" s="38"/>
      <c r="ML124" s="38"/>
      <c r="MM124" s="38"/>
      <c r="MN124" s="38"/>
      <c r="MO124" s="38"/>
      <c r="MP124" s="38"/>
      <c r="MQ124" s="38"/>
      <c r="MR124" s="38"/>
      <c r="MS124" s="38"/>
      <c r="MT124" s="38"/>
      <c r="MU124" s="38"/>
      <c r="MV124" s="38"/>
      <c r="MW124" s="38"/>
      <c r="MX124" s="38"/>
      <c r="MY124" s="38"/>
      <c r="MZ124" s="38"/>
      <c r="NA124" s="38"/>
      <c r="NB124" s="38"/>
      <c r="NC124" s="38"/>
      <c r="ND124" s="38"/>
      <c r="NE124" s="38"/>
      <c r="NF124" s="38"/>
      <c r="NG124" s="38"/>
      <c r="NH124" s="38"/>
      <c r="NI124" s="38"/>
      <c r="NJ124" s="38"/>
      <c r="NK124" s="38"/>
      <c r="NL124" s="38"/>
      <c r="NM124" s="38"/>
      <c r="NN124" s="38"/>
      <c r="NO124" s="38"/>
      <c r="NP124" s="38"/>
      <c r="NQ124" s="38"/>
      <c r="NR124" s="38"/>
      <c r="NS124" s="38"/>
      <c r="NT124" s="38"/>
      <c r="NU124" s="38"/>
      <c r="NV124" s="38"/>
      <c r="NW124" s="38"/>
      <c r="NX124" s="38"/>
      <c r="NY124" s="38"/>
      <c r="NZ124" s="38"/>
      <c r="OA124" s="38"/>
      <c r="OB124" s="38"/>
      <c r="OC124" s="38"/>
      <c r="OD124" s="38"/>
      <c r="OE124" s="38"/>
      <c r="OF124" s="38"/>
      <c r="OG124" s="38"/>
      <c r="OH124" s="38"/>
      <c r="OI124" s="38"/>
      <c r="OJ124" s="38"/>
      <c r="OK124" s="38"/>
      <c r="OL124" s="38"/>
      <c r="OM124" s="38"/>
      <c r="ON124" s="38"/>
      <c r="OO124" s="38"/>
      <c r="OP124" s="38"/>
      <c r="OQ124" s="38"/>
      <c r="OR124" s="38"/>
      <c r="OS124" s="38"/>
      <c r="OT124" s="38"/>
      <c r="OU124" s="38"/>
      <c r="OV124" s="38"/>
      <c r="OW124" s="38"/>
      <c r="OX124" s="38"/>
      <c r="OY124" s="38"/>
      <c r="OZ124" s="38"/>
      <c r="PA124" s="38"/>
      <c r="PB124" s="38"/>
      <c r="PC124" s="38"/>
      <c r="PD124" s="38"/>
      <c r="PE124" s="38"/>
      <c r="PF124" s="38"/>
      <c r="PG124" s="38"/>
      <c r="PH124" s="38"/>
      <c r="PI124" s="38"/>
      <c r="PJ124" s="38"/>
      <c r="PK124" s="38"/>
      <c r="PL124" s="38"/>
      <c r="PM124" s="38"/>
      <c r="PN124" s="38"/>
      <c r="PO124" s="38"/>
      <c r="PP124" s="38"/>
      <c r="PQ124" s="38"/>
      <c r="PR124" s="38"/>
      <c r="PS124" s="38"/>
      <c r="PT124" s="38"/>
      <c r="PU124" s="38"/>
      <c r="PV124" s="38"/>
      <c r="PW124" s="38"/>
      <c r="PX124" s="38"/>
      <c r="PY124" s="38"/>
      <c r="PZ124" s="38"/>
      <c r="QA124" s="38"/>
      <c r="QB124" s="38"/>
      <c r="QC124" s="38"/>
      <c r="QD124" s="38"/>
      <c r="QE124" s="38"/>
      <c r="QF124" s="38"/>
      <c r="QG124" s="38"/>
      <c r="QH124" s="38"/>
      <c r="QI124" s="38"/>
      <c r="QJ124" s="38"/>
      <c r="QK124" s="38"/>
      <c r="QL124" s="38"/>
      <c r="QM124" s="38"/>
      <c r="QN124" s="38"/>
      <c r="QO124" s="38"/>
      <c r="QP124" s="38"/>
      <c r="QQ124" s="38"/>
      <c r="QR124" s="38"/>
      <c r="QS124" s="38"/>
      <c r="QT124" s="38"/>
      <c r="QU124" s="38"/>
      <c r="QV124" s="38"/>
      <c r="QW124" s="38"/>
      <c r="QX124" s="38"/>
      <c r="QY124" s="38"/>
      <c r="QZ124" s="38"/>
      <c r="RA124" s="38"/>
      <c r="RB124" s="38"/>
      <c r="RC124" s="38"/>
      <c r="RD124" s="38"/>
      <c r="RE124" s="38"/>
      <c r="RF124" s="38"/>
      <c r="RG124" s="38"/>
      <c r="RH124" s="38"/>
      <c r="RI124" s="38"/>
      <c r="RJ124" s="38"/>
      <c r="RK124" s="38"/>
      <c r="RL124" s="38"/>
      <c r="RM124" s="38"/>
      <c r="RN124" s="38"/>
      <c r="RO124" s="38"/>
      <c r="RP124" s="38"/>
      <c r="RQ124" s="38"/>
      <c r="RR124" s="38"/>
      <c r="RS124" s="38"/>
      <c r="RT124" s="38"/>
      <c r="RU124" s="38"/>
      <c r="RV124" s="38"/>
      <c r="RW124" s="38"/>
      <c r="RX124" s="38"/>
      <c r="RY124" s="38"/>
      <c r="RZ124" s="38"/>
      <c r="SA124" s="38"/>
      <c r="SB124" s="38"/>
      <c r="SC124" s="38"/>
      <c r="SD124" s="38"/>
      <c r="SE124" s="38"/>
      <c r="SF124" s="38"/>
      <c r="SG124" s="38"/>
      <c r="SH124" s="38"/>
      <c r="SI124" s="38"/>
      <c r="SJ124" s="38"/>
      <c r="SK124" s="38"/>
      <c r="SL124" s="38"/>
      <c r="SM124" s="38"/>
      <c r="SN124" s="38"/>
      <c r="SO124" s="38"/>
      <c r="SP124" s="38"/>
      <c r="SQ124" s="38"/>
      <c r="SR124" s="38"/>
      <c r="SS124" s="38"/>
      <c r="ST124" s="38"/>
      <c r="SU124" s="38"/>
      <c r="SV124" s="38"/>
      <c r="SW124" s="38"/>
      <c r="SX124" s="38"/>
      <c r="SY124" s="38"/>
      <c r="SZ124" s="38"/>
      <c r="TA124" s="38"/>
      <c r="TB124" s="38"/>
      <c r="TC124" s="38"/>
      <c r="TD124" s="38"/>
      <c r="TE124" s="38"/>
      <c r="TF124" s="38"/>
      <c r="TG124" s="38"/>
      <c r="TH124" s="38"/>
      <c r="TI124" s="38"/>
      <c r="TJ124" s="38"/>
      <c r="TK124" s="38"/>
      <c r="TL124" s="38"/>
      <c r="TM124" s="38"/>
      <c r="TN124" s="38"/>
      <c r="TO124" s="38"/>
      <c r="TP124" s="38"/>
      <c r="TQ124" s="38"/>
      <c r="TR124" s="38"/>
      <c r="TS124" s="38"/>
      <c r="TT124" s="38"/>
      <c r="TU124" s="38"/>
      <c r="TV124" s="38"/>
      <c r="TW124" s="38"/>
      <c r="TX124" s="38"/>
      <c r="TY124" s="38"/>
      <c r="TZ124" s="38"/>
      <c r="UA124" s="38"/>
      <c r="UB124" s="38"/>
      <c r="UC124" s="38"/>
      <c r="UD124" s="38"/>
      <c r="UE124" s="38"/>
      <c r="UF124" s="38"/>
      <c r="UG124" s="38"/>
      <c r="UH124" s="38"/>
      <c r="UI124" s="38"/>
      <c r="UJ124" s="38"/>
      <c r="UK124" s="38"/>
      <c r="UL124" s="38"/>
      <c r="UM124" s="38"/>
      <c r="UN124" s="38"/>
      <c r="UO124" s="38"/>
      <c r="UP124" s="38"/>
      <c r="UQ124" s="38"/>
      <c r="UR124" s="38"/>
      <c r="US124" s="38"/>
      <c r="UT124" s="38"/>
      <c r="UU124" s="38"/>
      <c r="UV124" s="38"/>
      <c r="UW124" s="38"/>
      <c r="UX124" s="38"/>
      <c r="UY124" s="38"/>
      <c r="UZ124" s="38"/>
      <c r="VA124" s="38"/>
      <c r="VB124" s="38"/>
      <c r="VC124" s="38"/>
      <c r="VD124" s="38"/>
      <c r="VE124" s="38"/>
      <c r="VF124" s="38"/>
      <c r="VG124" s="38"/>
      <c r="VH124" s="38"/>
      <c r="VI124" s="38"/>
      <c r="VJ124" s="38"/>
      <c r="VK124" s="38"/>
      <c r="VL124" s="38"/>
      <c r="VM124" s="38"/>
      <c r="VN124" s="38"/>
      <c r="VO124" s="38"/>
      <c r="VP124" s="38"/>
      <c r="VQ124" s="38"/>
      <c r="VR124" s="38"/>
      <c r="VS124" s="38"/>
      <c r="VT124" s="38"/>
      <c r="VU124" s="38"/>
      <c r="VV124" s="38"/>
      <c r="VW124" s="38"/>
      <c r="VX124" s="38"/>
      <c r="VY124" s="38"/>
      <c r="VZ124" s="38"/>
      <c r="WA124" s="38"/>
      <c r="WB124" s="38"/>
      <c r="WC124" s="38"/>
      <c r="WD124" s="38"/>
      <c r="WE124" s="38"/>
      <c r="WF124" s="38"/>
      <c r="WG124" s="38"/>
      <c r="WH124" s="38"/>
      <c r="WI124" s="38"/>
      <c r="WJ124" s="38"/>
      <c r="WK124" s="38"/>
      <c r="WL124" s="38"/>
      <c r="WM124" s="38"/>
      <c r="WN124" s="38"/>
      <c r="WO124" s="38"/>
      <c r="WP124" s="38"/>
      <c r="WQ124" s="38"/>
      <c r="WR124" s="38"/>
      <c r="WS124" s="38"/>
      <c r="WT124" s="38"/>
      <c r="WU124" s="38"/>
      <c r="WV124" s="38"/>
      <c r="WW124" s="38"/>
      <c r="WX124" s="38"/>
      <c r="WY124" s="38"/>
      <c r="WZ124" s="38"/>
      <c r="XA124" s="38"/>
      <c r="XB124" s="38"/>
      <c r="XC124" s="38"/>
      <c r="XD124" s="38"/>
      <c r="XE124" s="38"/>
      <c r="XF124" s="38"/>
      <c r="XG124" s="38"/>
      <c r="XH124" s="38"/>
      <c r="XI124" s="38"/>
      <c r="XJ124" s="38"/>
      <c r="XK124" s="38"/>
      <c r="XL124" s="38"/>
      <c r="XM124" s="38"/>
      <c r="XN124" s="38"/>
      <c r="XO124" s="38"/>
      <c r="XP124" s="38"/>
      <c r="XQ124" s="38"/>
      <c r="XR124" s="38"/>
      <c r="XS124" s="38"/>
      <c r="XT124" s="38"/>
      <c r="XU124" s="38"/>
      <c r="XV124" s="38"/>
      <c r="XW124" s="38"/>
      <c r="XX124" s="38"/>
      <c r="XY124" s="38"/>
      <c r="XZ124" s="38"/>
      <c r="YA124" s="38"/>
      <c r="YB124" s="38"/>
      <c r="YC124" s="38"/>
      <c r="YD124" s="38"/>
      <c r="YE124" s="38"/>
      <c r="YF124" s="38"/>
      <c r="YG124" s="38"/>
      <c r="YH124" s="38"/>
      <c r="YI124" s="38"/>
      <c r="YJ124" s="38"/>
      <c r="YK124" s="38"/>
      <c r="YL124" s="38"/>
      <c r="YM124" s="38"/>
      <c r="YN124" s="38"/>
      <c r="YO124" s="38"/>
      <c r="YP124" s="38"/>
      <c r="YQ124" s="38"/>
      <c r="YR124" s="38"/>
      <c r="YS124" s="38"/>
      <c r="YT124" s="38"/>
      <c r="YU124" s="38"/>
      <c r="YV124" s="38"/>
      <c r="YW124" s="38"/>
      <c r="YX124" s="38"/>
      <c r="YY124" s="38"/>
      <c r="YZ124" s="38"/>
      <c r="ZA124" s="38"/>
      <c r="ZB124" s="38"/>
      <c r="ZC124" s="38"/>
      <c r="ZD124" s="38"/>
      <c r="ZE124" s="38"/>
      <c r="ZF124" s="38"/>
      <c r="ZG124" s="38"/>
      <c r="ZH124" s="38"/>
      <c r="ZI124" s="38"/>
      <c r="ZJ124" s="38"/>
      <c r="ZK124" s="38"/>
      <c r="ZL124" s="38"/>
      <c r="ZM124" s="38"/>
      <c r="ZN124" s="38"/>
      <c r="ZO124" s="38"/>
      <c r="ZP124" s="38"/>
      <c r="ZQ124" s="38"/>
      <c r="ZR124" s="38"/>
      <c r="ZS124" s="38"/>
      <c r="ZT124" s="38"/>
      <c r="ZU124" s="38"/>
      <c r="ZV124" s="38"/>
      <c r="ZW124" s="38"/>
      <c r="ZX124" s="38"/>
      <c r="ZY124" s="38"/>
      <c r="ZZ124" s="38"/>
      <c r="AAA124" s="38"/>
      <c r="AAB124" s="38"/>
      <c r="AAC124" s="38"/>
      <c r="AAD124" s="38"/>
      <c r="AAE124" s="38"/>
      <c r="AAF124" s="38"/>
      <c r="AAG124" s="38"/>
      <c r="AAH124" s="38"/>
      <c r="AAI124" s="38"/>
      <c r="AAJ124" s="38"/>
      <c r="AAK124" s="38"/>
      <c r="AAL124" s="38"/>
      <c r="AAM124" s="38"/>
      <c r="AAN124" s="38"/>
      <c r="AAO124" s="38"/>
      <c r="AAP124" s="38"/>
      <c r="AAQ124" s="38"/>
      <c r="AAR124" s="38"/>
      <c r="AAS124" s="38"/>
      <c r="AAT124" s="38"/>
      <c r="AAU124" s="38"/>
      <c r="AAV124" s="38"/>
      <c r="AAW124" s="38"/>
      <c r="AAX124" s="38"/>
      <c r="AAY124" s="38"/>
      <c r="AAZ124" s="38"/>
      <c r="ABA124" s="38"/>
      <c r="ABB124" s="38"/>
      <c r="ABC124" s="38"/>
      <c r="ABD124" s="38"/>
      <c r="ABE124" s="38"/>
      <c r="ABF124" s="38"/>
      <c r="ABG124" s="38"/>
      <c r="ABH124" s="38"/>
      <c r="ABI124" s="38"/>
      <c r="ABJ124" s="38"/>
      <c r="ABK124" s="38"/>
      <c r="ABL124" s="38"/>
      <c r="ABM124" s="38"/>
      <c r="ABN124" s="38"/>
      <c r="ABO124" s="38"/>
      <c r="ABP124" s="38"/>
      <c r="ABQ124" s="38"/>
      <c r="ABR124" s="38"/>
      <c r="ABS124" s="38"/>
      <c r="ABT124" s="38"/>
      <c r="ABU124" s="38"/>
      <c r="ABV124" s="38"/>
      <c r="ABW124" s="38"/>
      <c r="ABX124" s="38"/>
      <c r="ABY124" s="38"/>
      <c r="ABZ124" s="38"/>
      <c r="ACA124" s="38"/>
      <c r="ACB124" s="38"/>
      <c r="ACC124" s="38"/>
      <c r="ACD124" s="38"/>
      <c r="ACE124" s="38"/>
      <c r="ACF124" s="38"/>
      <c r="ACG124" s="38"/>
      <c r="ACH124" s="38"/>
      <c r="ACI124" s="38"/>
      <c r="ACJ124" s="38"/>
      <c r="ACK124" s="38"/>
      <c r="ACL124" s="38"/>
      <c r="ACM124" s="38"/>
      <c r="ACN124" s="38"/>
      <c r="ACO124" s="38"/>
      <c r="ACP124" s="38"/>
      <c r="ACQ124" s="38"/>
      <c r="ACR124" s="38"/>
      <c r="ACS124" s="38"/>
      <c r="ACT124" s="38"/>
      <c r="ACU124" s="38"/>
      <c r="ACV124" s="38"/>
      <c r="ACW124" s="38"/>
      <c r="ACX124" s="38"/>
      <c r="ACY124" s="38"/>
      <c r="ACZ124" s="38"/>
      <c r="ADA124" s="38"/>
      <c r="ADB124" s="38"/>
      <c r="ADC124" s="38"/>
      <c r="ADD124" s="38"/>
      <c r="ADE124" s="38"/>
      <c r="ADF124" s="38"/>
      <c r="ADG124" s="38"/>
      <c r="ADH124" s="38"/>
      <c r="ADI124" s="38"/>
      <c r="ADJ124" s="38"/>
      <c r="ADK124" s="38"/>
      <c r="ADL124" s="38"/>
      <c r="ADM124" s="38"/>
      <c r="ADN124" s="38"/>
      <c r="ADO124" s="38"/>
      <c r="ADP124" s="38"/>
      <c r="ADQ124" s="38"/>
      <c r="ADR124" s="38"/>
      <c r="ADS124" s="38"/>
      <c r="ADT124" s="38"/>
      <c r="ADU124" s="38"/>
      <c r="ADV124" s="38"/>
      <c r="ADW124" s="38"/>
      <c r="ADX124" s="38"/>
      <c r="ADY124" s="38"/>
      <c r="ADZ124" s="38"/>
      <c r="AEA124" s="38"/>
      <c r="AEB124" s="38"/>
      <c r="AEC124" s="38"/>
      <c r="AED124" s="38"/>
      <c r="AEE124" s="38"/>
      <c r="AEF124" s="38"/>
      <c r="AEG124" s="38"/>
      <c r="AEH124" s="38"/>
      <c r="AEI124" s="38"/>
      <c r="AEJ124" s="38"/>
      <c r="AEK124" s="38"/>
      <c r="AEL124" s="38"/>
      <c r="AEM124" s="38"/>
      <c r="AEN124" s="38"/>
      <c r="AEO124" s="38"/>
      <c r="AEP124" s="38"/>
      <c r="AEQ124" s="38"/>
      <c r="AER124" s="38"/>
      <c r="AES124" s="38"/>
      <c r="AET124" s="38"/>
      <c r="AEU124" s="38"/>
      <c r="AEV124" s="38"/>
      <c r="AEW124" s="38"/>
      <c r="AEX124" s="38"/>
      <c r="AEY124" s="38"/>
      <c r="AEZ124" s="38"/>
      <c r="AFA124" s="38"/>
      <c r="AFB124" s="38"/>
      <c r="AFC124" s="38"/>
      <c r="AFD124" s="38"/>
      <c r="AFE124" s="38"/>
      <c r="AFF124" s="38"/>
      <c r="AFG124" s="38"/>
      <c r="AFH124" s="38"/>
      <c r="AFI124" s="38"/>
      <c r="AFJ124" s="38"/>
      <c r="AFK124" s="38"/>
      <c r="AFL124" s="38"/>
      <c r="AFM124" s="38"/>
      <c r="AFN124" s="38"/>
      <c r="AFO124" s="38"/>
      <c r="AFP124" s="38"/>
      <c r="AFQ124" s="38"/>
      <c r="AFR124" s="38"/>
      <c r="AFS124" s="38"/>
      <c r="AFT124" s="38"/>
      <c r="AFU124" s="38"/>
      <c r="AFV124" s="38"/>
      <c r="AFW124" s="38"/>
      <c r="AFX124" s="38"/>
      <c r="AFY124" s="38"/>
      <c r="AFZ124" s="38"/>
      <c r="AGA124" s="38"/>
      <c r="AGB124" s="38"/>
      <c r="AGC124" s="38"/>
      <c r="AGD124" s="38"/>
      <c r="AGE124" s="38"/>
      <c r="AGF124" s="38"/>
      <c r="AGG124" s="38"/>
      <c r="AGH124" s="38"/>
      <c r="AGI124" s="38"/>
      <c r="AGJ124" s="38"/>
      <c r="AGK124" s="38"/>
      <c r="AGL124" s="38"/>
      <c r="AGM124" s="38"/>
      <c r="AGN124" s="38"/>
      <c r="AGO124" s="38"/>
      <c r="AGP124" s="38"/>
      <c r="AGQ124" s="38"/>
      <c r="AGR124" s="38"/>
      <c r="AGS124" s="38"/>
      <c r="AGT124" s="38"/>
      <c r="AGU124" s="38"/>
      <c r="AGV124" s="38"/>
      <c r="AGW124" s="38"/>
      <c r="AGX124" s="38"/>
      <c r="AGY124" s="38"/>
      <c r="AGZ124" s="38"/>
      <c r="AHA124" s="38"/>
      <c r="AHB124" s="38"/>
      <c r="AHC124" s="38"/>
      <c r="AHD124" s="38"/>
      <c r="AHE124" s="38"/>
      <c r="AHF124" s="38"/>
      <c r="AHG124" s="38"/>
      <c r="AHH124" s="38"/>
      <c r="AHI124" s="38"/>
      <c r="AHJ124" s="38"/>
      <c r="AHK124" s="38"/>
      <c r="AHL124" s="38"/>
      <c r="AHM124" s="38"/>
      <c r="AHN124" s="38"/>
      <c r="AHO124" s="38"/>
      <c r="AHP124" s="38"/>
      <c r="AHQ124" s="38"/>
      <c r="AHR124" s="38"/>
      <c r="AHS124" s="38"/>
      <c r="AHT124" s="38"/>
      <c r="AHU124" s="38"/>
      <c r="AHV124" s="38"/>
    </row>
    <row r="125" spans="1:906" s="27" customFormat="1" x14ac:dyDescent="0.35">
      <c r="A125" s="83">
        <v>120</v>
      </c>
      <c r="B125" s="108" t="s">
        <v>207</v>
      </c>
      <c r="C125" s="109" t="s">
        <v>277</v>
      </c>
      <c r="D125" s="109" t="s">
        <v>276</v>
      </c>
      <c r="E125" s="125">
        <v>12.99</v>
      </c>
      <c r="F125" s="125"/>
      <c r="G125" s="125">
        <v>12.5</v>
      </c>
      <c r="H125" s="125">
        <v>12.5</v>
      </c>
      <c r="I125" s="37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  <c r="BP125" s="38"/>
      <c r="BQ125" s="38"/>
      <c r="BR125" s="38"/>
      <c r="BS125" s="38"/>
      <c r="BT125" s="38"/>
      <c r="BU125" s="38"/>
      <c r="BV125" s="38"/>
      <c r="BW125" s="38"/>
      <c r="BX125" s="38"/>
      <c r="BY125" s="38"/>
      <c r="BZ125" s="38"/>
      <c r="CA125" s="38"/>
      <c r="CB125" s="38"/>
      <c r="CC125" s="38"/>
      <c r="CD125" s="38"/>
      <c r="CE125" s="38"/>
      <c r="CF125" s="38"/>
      <c r="CG125" s="38"/>
      <c r="CH125" s="38"/>
      <c r="CI125" s="38"/>
      <c r="CJ125" s="38"/>
      <c r="CK125" s="38"/>
      <c r="CL125" s="38"/>
      <c r="CM125" s="38"/>
      <c r="CN125" s="38"/>
      <c r="CO125" s="38"/>
      <c r="CP125" s="38"/>
      <c r="CQ125" s="38"/>
      <c r="CR125" s="38"/>
      <c r="CS125" s="38"/>
      <c r="CT125" s="38"/>
      <c r="CU125" s="38"/>
      <c r="CV125" s="38"/>
      <c r="CW125" s="38"/>
      <c r="CX125" s="38"/>
      <c r="CY125" s="38"/>
      <c r="CZ125" s="38"/>
      <c r="DA125" s="38"/>
      <c r="DB125" s="38"/>
      <c r="DC125" s="38"/>
      <c r="DD125" s="38"/>
      <c r="DE125" s="38"/>
      <c r="DF125" s="38"/>
      <c r="DG125" s="38"/>
      <c r="DH125" s="38"/>
      <c r="DI125" s="38"/>
      <c r="DJ125" s="38"/>
      <c r="DK125" s="38"/>
      <c r="DL125" s="38"/>
      <c r="DM125" s="38"/>
      <c r="DN125" s="38"/>
      <c r="DO125" s="38"/>
      <c r="DP125" s="38"/>
      <c r="DQ125" s="38"/>
      <c r="DR125" s="38"/>
      <c r="DS125" s="38"/>
      <c r="DT125" s="38"/>
      <c r="DU125" s="38"/>
      <c r="DV125" s="38"/>
      <c r="DW125" s="38"/>
      <c r="DX125" s="38"/>
      <c r="DY125" s="38"/>
      <c r="DZ125" s="38"/>
      <c r="EA125" s="38"/>
      <c r="EB125" s="38"/>
      <c r="EC125" s="38"/>
      <c r="ED125" s="38"/>
      <c r="EE125" s="38"/>
      <c r="EF125" s="38"/>
      <c r="EG125" s="38"/>
      <c r="EH125" s="38"/>
      <c r="EI125" s="38"/>
      <c r="EJ125" s="38"/>
      <c r="EK125" s="38"/>
      <c r="EL125" s="38"/>
      <c r="EM125" s="38"/>
      <c r="EN125" s="38"/>
      <c r="EO125" s="38"/>
      <c r="EP125" s="38"/>
      <c r="EQ125" s="38"/>
      <c r="ER125" s="38"/>
      <c r="ES125" s="38"/>
      <c r="ET125" s="38"/>
      <c r="EU125" s="38"/>
      <c r="EV125" s="38"/>
      <c r="EW125" s="38"/>
      <c r="EX125" s="38"/>
      <c r="EY125" s="38"/>
      <c r="EZ125" s="38"/>
      <c r="FA125" s="38"/>
      <c r="FB125" s="38"/>
      <c r="FC125" s="38"/>
      <c r="FD125" s="38"/>
      <c r="FE125" s="38"/>
      <c r="FF125" s="38"/>
      <c r="FG125" s="38"/>
      <c r="FH125" s="38"/>
      <c r="FI125" s="38"/>
      <c r="FJ125" s="38"/>
      <c r="FK125" s="38"/>
      <c r="FL125" s="38"/>
      <c r="FM125" s="38"/>
      <c r="FN125" s="38"/>
      <c r="FO125" s="38"/>
      <c r="FP125" s="38"/>
      <c r="FQ125" s="38"/>
      <c r="FR125" s="38"/>
      <c r="FS125" s="38"/>
      <c r="FT125" s="38"/>
      <c r="FU125" s="38"/>
      <c r="FV125" s="38"/>
      <c r="FW125" s="38"/>
      <c r="FX125" s="38"/>
      <c r="FY125" s="38"/>
      <c r="FZ125" s="38"/>
      <c r="GA125" s="38"/>
      <c r="GB125" s="38"/>
      <c r="GC125" s="38"/>
      <c r="GD125" s="38"/>
      <c r="GE125" s="38"/>
      <c r="GF125" s="38"/>
      <c r="GG125" s="38"/>
      <c r="GH125" s="38"/>
      <c r="GI125" s="38"/>
      <c r="GJ125" s="38"/>
      <c r="GK125" s="38"/>
      <c r="GL125" s="38"/>
      <c r="GM125" s="38"/>
      <c r="GN125" s="38"/>
      <c r="GO125" s="38"/>
      <c r="GP125" s="38"/>
      <c r="GQ125" s="38"/>
      <c r="GR125" s="38"/>
      <c r="GS125" s="38"/>
      <c r="GT125" s="38"/>
      <c r="GU125" s="38"/>
      <c r="GV125" s="38"/>
      <c r="GW125" s="38"/>
      <c r="GX125" s="38"/>
      <c r="GY125" s="38"/>
      <c r="GZ125" s="38"/>
      <c r="HA125" s="38"/>
      <c r="HB125" s="38"/>
      <c r="HC125" s="38"/>
      <c r="HD125" s="38"/>
      <c r="HE125" s="38"/>
      <c r="HF125" s="38"/>
      <c r="HG125" s="38"/>
      <c r="HH125" s="38"/>
      <c r="HI125" s="38"/>
      <c r="HJ125" s="38"/>
      <c r="HK125" s="38"/>
      <c r="HL125" s="38"/>
      <c r="HM125" s="38"/>
      <c r="HN125" s="38"/>
      <c r="HO125" s="38"/>
      <c r="HP125" s="38"/>
      <c r="HQ125" s="38"/>
      <c r="HR125" s="38"/>
      <c r="HS125" s="38"/>
      <c r="HT125" s="38"/>
      <c r="HU125" s="38"/>
      <c r="HV125" s="38"/>
      <c r="HW125" s="38"/>
      <c r="HX125" s="38"/>
      <c r="HY125" s="38"/>
      <c r="HZ125" s="38"/>
      <c r="IA125" s="38"/>
      <c r="IB125" s="38"/>
      <c r="IC125" s="38"/>
      <c r="ID125" s="38"/>
      <c r="IE125" s="38"/>
      <c r="IF125" s="38"/>
      <c r="IG125" s="38"/>
      <c r="IH125" s="38"/>
      <c r="II125" s="38"/>
      <c r="IJ125" s="38"/>
      <c r="IK125" s="38"/>
      <c r="IL125" s="38"/>
      <c r="IM125" s="38"/>
      <c r="IN125" s="38"/>
      <c r="IO125" s="38"/>
      <c r="IP125" s="38"/>
      <c r="IQ125" s="38"/>
      <c r="IR125" s="38"/>
      <c r="IS125" s="38"/>
      <c r="IT125" s="38"/>
      <c r="IU125" s="38"/>
      <c r="IV125" s="38"/>
      <c r="IW125" s="38"/>
      <c r="IX125" s="38"/>
      <c r="IY125" s="38"/>
      <c r="IZ125" s="38"/>
      <c r="JA125" s="38"/>
      <c r="JB125" s="38"/>
      <c r="JC125" s="38"/>
      <c r="JD125" s="38"/>
      <c r="JE125" s="38"/>
      <c r="JF125" s="38"/>
      <c r="JG125" s="38"/>
      <c r="JH125" s="38"/>
      <c r="JI125" s="38"/>
      <c r="JJ125" s="38"/>
      <c r="JK125" s="38"/>
      <c r="JL125" s="38"/>
      <c r="JM125" s="38"/>
      <c r="JN125" s="38"/>
      <c r="JO125" s="38"/>
      <c r="JP125" s="38"/>
      <c r="JQ125" s="38"/>
      <c r="JR125" s="38"/>
      <c r="JS125" s="38"/>
      <c r="JT125" s="38"/>
      <c r="JU125" s="38"/>
      <c r="JV125" s="38"/>
      <c r="JW125" s="38"/>
      <c r="JX125" s="38"/>
      <c r="JY125" s="38"/>
      <c r="JZ125" s="38"/>
      <c r="KA125" s="38"/>
      <c r="KB125" s="38"/>
      <c r="KC125" s="38"/>
      <c r="KD125" s="38"/>
      <c r="KE125" s="38"/>
      <c r="KF125" s="38"/>
      <c r="KG125" s="38"/>
      <c r="KH125" s="38"/>
      <c r="KI125" s="38"/>
      <c r="KJ125" s="38"/>
      <c r="KK125" s="38"/>
      <c r="KL125" s="38"/>
      <c r="KM125" s="38"/>
      <c r="KN125" s="38"/>
      <c r="KO125" s="38"/>
      <c r="KP125" s="38"/>
      <c r="KQ125" s="38"/>
      <c r="KR125" s="38"/>
      <c r="KS125" s="38"/>
      <c r="KT125" s="38"/>
      <c r="KU125" s="38"/>
      <c r="KV125" s="38"/>
      <c r="KW125" s="38"/>
      <c r="KX125" s="38"/>
      <c r="KY125" s="38"/>
      <c r="KZ125" s="38"/>
      <c r="LA125" s="38"/>
      <c r="LB125" s="38"/>
      <c r="LC125" s="38"/>
      <c r="LD125" s="38"/>
      <c r="LE125" s="38"/>
      <c r="LF125" s="38"/>
      <c r="LG125" s="38"/>
      <c r="LH125" s="38"/>
      <c r="LI125" s="38"/>
      <c r="LJ125" s="38"/>
      <c r="LK125" s="38"/>
      <c r="LL125" s="38"/>
      <c r="LM125" s="38"/>
      <c r="LN125" s="38"/>
      <c r="LO125" s="38"/>
      <c r="LP125" s="38"/>
      <c r="LQ125" s="38"/>
      <c r="LR125" s="38"/>
      <c r="LS125" s="38"/>
      <c r="LT125" s="38"/>
      <c r="LU125" s="38"/>
      <c r="LV125" s="38"/>
      <c r="LW125" s="38"/>
      <c r="LX125" s="38"/>
      <c r="LY125" s="38"/>
      <c r="LZ125" s="38"/>
      <c r="MA125" s="38"/>
      <c r="MB125" s="38"/>
      <c r="MC125" s="38"/>
      <c r="MD125" s="38"/>
      <c r="ME125" s="38"/>
      <c r="MF125" s="38"/>
      <c r="MG125" s="38"/>
      <c r="MH125" s="38"/>
      <c r="MI125" s="38"/>
      <c r="MJ125" s="38"/>
      <c r="MK125" s="38"/>
      <c r="ML125" s="38"/>
      <c r="MM125" s="38"/>
      <c r="MN125" s="38"/>
      <c r="MO125" s="38"/>
      <c r="MP125" s="38"/>
      <c r="MQ125" s="38"/>
      <c r="MR125" s="38"/>
      <c r="MS125" s="38"/>
      <c r="MT125" s="38"/>
      <c r="MU125" s="38"/>
      <c r="MV125" s="38"/>
      <c r="MW125" s="38"/>
      <c r="MX125" s="38"/>
      <c r="MY125" s="38"/>
      <c r="MZ125" s="38"/>
      <c r="NA125" s="38"/>
      <c r="NB125" s="38"/>
      <c r="NC125" s="38"/>
      <c r="ND125" s="38"/>
      <c r="NE125" s="38"/>
      <c r="NF125" s="38"/>
      <c r="NG125" s="38"/>
      <c r="NH125" s="38"/>
      <c r="NI125" s="38"/>
      <c r="NJ125" s="38"/>
      <c r="NK125" s="38"/>
      <c r="NL125" s="38"/>
      <c r="NM125" s="38"/>
      <c r="NN125" s="38"/>
      <c r="NO125" s="38"/>
      <c r="NP125" s="38"/>
      <c r="NQ125" s="38"/>
      <c r="NR125" s="38"/>
      <c r="NS125" s="38"/>
      <c r="NT125" s="38"/>
      <c r="NU125" s="38"/>
      <c r="NV125" s="38"/>
      <c r="NW125" s="38"/>
      <c r="NX125" s="38"/>
      <c r="NY125" s="38"/>
      <c r="NZ125" s="38"/>
      <c r="OA125" s="38"/>
      <c r="OB125" s="38"/>
      <c r="OC125" s="38"/>
      <c r="OD125" s="38"/>
      <c r="OE125" s="38"/>
      <c r="OF125" s="38"/>
      <c r="OG125" s="38"/>
      <c r="OH125" s="38"/>
      <c r="OI125" s="38"/>
      <c r="OJ125" s="38"/>
      <c r="OK125" s="38"/>
      <c r="OL125" s="38"/>
      <c r="OM125" s="38"/>
      <c r="ON125" s="38"/>
      <c r="OO125" s="38"/>
      <c r="OP125" s="38"/>
      <c r="OQ125" s="38"/>
      <c r="OR125" s="38"/>
      <c r="OS125" s="38"/>
      <c r="OT125" s="38"/>
      <c r="OU125" s="38"/>
      <c r="OV125" s="38"/>
      <c r="OW125" s="38"/>
      <c r="OX125" s="38"/>
      <c r="OY125" s="38"/>
      <c r="OZ125" s="38"/>
      <c r="PA125" s="38"/>
      <c r="PB125" s="38"/>
      <c r="PC125" s="38"/>
      <c r="PD125" s="38"/>
      <c r="PE125" s="38"/>
      <c r="PF125" s="38"/>
      <c r="PG125" s="38"/>
      <c r="PH125" s="38"/>
      <c r="PI125" s="38"/>
      <c r="PJ125" s="38"/>
      <c r="PK125" s="38"/>
      <c r="PL125" s="38"/>
      <c r="PM125" s="38"/>
      <c r="PN125" s="38"/>
      <c r="PO125" s="38"/>
      <c r="PP125" s="38"/>
      <c r="PQ125" s="38"/>
      <c r="PR125" s="38"/>
      <c r="PS125" s="38"/>
      <c r="PT125" s="38"/>
      <c r="PU125" s="38"/>
      <c r="PV125" s="38"/>
      <c r="PW125" s="38"/>
      <c r="PX125" s="38"/>
      <c r="PY125" s="38"/>
      <c r="PZ125" s="38"/>
      <c r="QA125" s="38"/>
      <c r="QB125" s="38"/>
      <c r="QC125" s="38"/>
      <c r="QD125" s="38"/>
      <c r="QE125" s="38"/>
      <c r="QF125" s="38"/>
      <c r="QG125" s="38"/>
      <c r="QH125" s="38"/>
      <c r="QI125" s="38"/>
      <c r="QJ125" s="38"/>
      <c r="QK125" s="38"/>
      <c r="QL125" s="38"/>
      <c r="QM125" s="38"/>
      <c r="QN125" s="38"/>
      <c r="QO125" s="38"/>
      <c r="QP125" s="38"/>
      <c r="QQ125" s="38"/>
      <c r="QR125" s="38"/>
      <c r="QS125" s="38"/>
      <c r="QT125" s="38"/>
      <c r="QU125" s="38"/>
      <c r="QV125" s="38"/>
      <c r="QW125" s="38"/>
      <c r="QX125" s="38"/>
      <c r="QY125" s="38"/>
      <c r="QZ125" s="38"/>
      <c r="RA125" s="38"/>
      <c r="RB125" s="38"/>
      <c r="RC125" s="38"/>
      <c r="RD125" s="38"/>
      <c r="RE125" s="38"/>
      <c r="RF125" s="38"/>
      <c r="RG125" s="38"/>
      <c r="RH125" s="38"/>
      <c r="RI125" s="38"/>
      <c r="RJ125" s="38"/>
      <c r="RK125" s="38"/>
      <c r="RL125" s="38"/>
      <c r="RM125" s="38"/>
      <c r="RN125" s="38"/>
      <c r="RO125" s="38"/>
      <c r="RP125" s="38"/>
      <c r="RQ125" s="38"/>
      <c r="RR125" s="38"/>
      <c r="RS125" s="38"/>
      <c r="RT125" s="38"/>
      <c r="RU125" s="38"/>
      <c r="RV125" s="38"/>
      <c r="RW125" s="38"/>
      <c r="RX125" s="38"/>
      <c r="RY125" s="38"/>
      <c r="RZ125" s="38"/>
      <c r="SA125" s="38"/>
      <c r="SB125" s="38"/>
      <c r="SC125" s="38"/>
      <c r="SD125" s="38"/>
      <c r="SE125" s="38"/>
      <c r="SF125" s="38"/>
      <c r="SG125" s="38"/>
      <c r="SH125" s="38"/>
      <c r="SI125" s="38"/>
      <c r="SJ125" s="38"/>
      <c r="SK125" s="38"/>
      <c r="SL125" s="38"/>
      <c r="SM125" s="38"/>
      <c r="SN125" s="38"/>
      <c r="SO125" s="38"/>
      <c r="SP125" s="38"/>
      <c r="SQ125" s="38"/>
      <c r="SR125" s="38"/>
      <c r="SS125" s="38"/>
      <c r="ST125" s="38"/>
      <c r="SU125" s="38"/>
      <c r="SV125" s="38"/>
      <c r="SW125" s="38"/>
      <c r="SX125" s="38"/>
      <c r="SY125" s="38"/>
      <c r="SZ125" s="38"/>
      <c r="TA125" s="38"/>
      <c r="TB125" s="38"/>
      <c r="TC125" s="38"/>
      <c r="TD125" s="38"/>
      <c r="TE125" s="38"/>
      <c r="TF125" s="38"/>
      <c r="TG125" s="38"/>
      <c r="TH125" s="38"/>
      <c r="TI125" s="38"/>
      <c r="TJ125" s="38"/>
      <c r="TK125" s="38"/>
      <c r="TL125" s="38"/>
      <c r="TM125" s="38"/>
      <c r="TN125" s="38"/>
      <c r="TO125" s="38"/>
      <c r="TP125" s="38"/>
      <c r="TQ125" s="38"/>
      <c r="TR125" s="38"/>
      <c r="TS125" s="38"/>
      <c r="TT125" s="38"/>
      <c r="TU125" s="38"/>
      <c r="TV125" s="38"/>
      <c r="TW125" s="38"/>
      <c r="TX125" s="38"/>
      <c r="TY125" s="38"/>
      <c r="TZ125" s="38"/>
      <c r="UA125" s="38"/>
      <c r="UB125" s="38"/>
      <c r="UC125" s="38"/>
      <c r="UD125" s="38"/>
      <c r="UE125" s="38"/>
      <c r="UF125" s="38"/>
      <c r="UG125" s="38"/>
      <c r="UH125" s="38"/>
      <c r="UI125" s="38"/>
      <c r="UJ125" s="38"/>
      <c r="UK125" s="38"/>
      <c r="UL125" s="38"/>
      <c r="UM125" s="38"/>
      <c r="UN125" s="38"/>
      <c r="UO125" s="38"/>
      <c r="UP125" s="38"/>
      <c r="UQ125" s="38"/>
      <c r="UR125" s="38"/>
      <c r="US125" s="38"/>
      <c r="UT125" s="38"/>
      <c r="UU125" s="38"/>
      <c r="UV125" s="38"/>
      <c r="UW125" s="38"/>
      <c r="UX125" s="38"/>
      <c r="UY125" s="38"/>
      <c r="UZ125" s="38"/>
      <c r="VA125" s="38"/>
      <c r="VB125" s="38"/>
      <c r="VC125" s="38"/>
      <c r="VD125" s="38"/>
      <c r="VE125" s="38"/>
      <c r="VF125" s="38"/>
      <c r="VG125" s="38"/>
      <c r="VH125" s="38"/>
      <c r="VI125" s="38"/>
      <c r="VJ125" s="38"/>
      <c r="VK125" s="38"/>
      <c r="VL125" s="38"/>
      <c r="VM125" s="38"/>
      <c r="VN125" s="38"/>
      <c r="VO125" s="38"/>
      <c r="VP125" s="38"/>
      <c r="VQ125" s="38"/>
      <c r="VR125" s="38"/>
      <c r="VS125" s="38"/>
      <c r="VT125" s="38"/>
      <c r="VU125" s="38"/>
      <c r="VV125" s="38"/>
      <c r="VW125" s="38"/>
      <c r="VX125" s="38"/>
      <c r="VY125" s="38"/>
      <c r="VZ125" s="38"/>
      <c r="WA125" s="38"/>
      <c r="WB125" s="38"/>
      <c r="WC125" s="38"/>
      <c r="WD125" s="38"/>
      <c r="WE125" s="38"/>
      <c r="WF125" s="38"/>
      <c r="WG125" s="38"/>
      <c r="WH125" s="38"/>
      <c r="WI125" s="38"/>
      <c r="WJ125" s="38"/>
      <c r="WK125" s="38"/>
      <c r="WL125" s="38"/>
      <c r="WM125" s="38"/>
      <c r="WN125" s="38"/>
      <c r="WO125" s="38"/>
      <c r="WP125" s="38"/>
      <c r="WQ125" s="38"/>
      <c r="WR125" s="38"/>
      <c r="WS125" s="38"/>
      <c r="WT125" s="38"/>
      <c r="WU125" s="38"/>
      <c r="WV125" s="38"/>
      <c r="WW125" s="38"/>
      <c r="WX125" s="38"/>
      <c r="WY125" s="38"/>
      <c r="WZ125" s="38"/>
      <c r="XA125" s="38"/>
      <c r="XB125" s="38"/>
      <c r="XC125" s="38"/>
      <c r="XD125" s="38"/>
      <c r="XE125" s="38"/>
      <c r="XF125" s="38"/>
      <c r="XG125" s="38"/>
      <c r="XH125" s="38"/>
      <c r="XI125" s="38"/>
      <c r="XJ125" s="38"/>
      <c r="XK125" s="38"/>
      <c r="XL125" s="38"/>
      <c r="XM125" s="38"/>
      <c r="XN125" s="38"/>
      <c r="XO125" s="38"/>
      <c r="XP125" s="38"/>
      <c r="XQ125" s="38"/>
      <c r="XR125" s="38"/>
      <c r="XS125" s="38"/>
      <c r="XT125" s="38"/>
      <c r="XU125" s="38"/>
      <c r="XV125" s="38"/>
      <c r="XW125" s="38"/>
      <c r="XX125" s="38"/>
      <c r="XY125" s="38"/>
      <c r="XZ125" s="38"/>
      <c r="YA125" s="38"/>
      <c r="YB125" s="38"/>
      <c r="YC125" s="38"/>
      <c r="YD125" s="38"/>
      <c r="YE125" s="38"/>
      <c r="YF125" s="38"/>
      <c r="YG125" s="38"/>
      <c r="YH125" s="38"/>
      <c r="YI125" s="38"/>
      <c r="YJ125" s="38"/>
      <c r="YK125" s="38"/>
      <c r="YL125" s="38"/>
      <c r="YM125" s="38"/>
      <c r="YN125" s="38"/>
      <c r="YO125" s="38"/>
      <c r="YP125" s="38"/>
      <c r="YQ125" s="38"/>
      <c r="YR125" s="38"/>
      <c r="YS125" s="38"/>
      <c r="YT125" s="38"/>
      <c r="YU125" s="38"/>
      <c r="YV125" s="38"/>
      <c r="YW125" s="38"/>
      <c r="YX125" s="38"/>
      <c r="YY125" s="38"/>
      <c r="YZ125" s="38"/>
      <c r="ZA125" s="38"/>
      <c r="ZB125" s="38"/>
      <c r="ZC125" s="38"/>
      <c r="ZD125" s="38"/>
      <c r="ZE125" s="38"/>
      <c r="ZF125" s="38"/>
      <c r="ZG125" s="38"/>
      <c r="ZH125" s="38"/>
      <c r="ZI125" s="38"/>
      <c r="ZJ125" s="38"/>
      <c r="ZK125" s="38"/>
      <c r="ZL125" s="38"/>
      <c r="ZM125" s="38"/>
      <c r="ZN125" s="38"/>
      <c r="ZO125" s="38"/>
      <c r="ZP125" s="38"/>
      <c r="ZQ125" s="38"/>
      <c r="ZR125" s="38"/>
      <c r="ZS125" s="38"/>
      <c r="ZT125" s="38"/>
      <c r="ZU125" s="38"/>
      <c r="ZV125" s="38"/>
      <c r="ZW125" s="38"/>
      <c r="ZX125" s="38"/>
      <c r="ZY125" s="38"/>
      <c r="ZZ125" s="38"/>
      <c r="AAA125" s="38"/>
      <c r="AAB125" s="38"/>
      <c r="AAC125" s="38"/>
      <c r="AAD125" s="38"/>
      <c r="AAE125" s="38"/>
      <c r="AAF125" s="38"/>
      <c r="AAG125" s="38"/>
      <c r="AAH125" s="38"/>
      <c r="AAI125" s="38"/>
      <c r="AAJ125" s="38"/>
      <c r="AAK125" s="38"/>
      <c r="AAL125" s="38"/>
      <c r="AAM125" s="38"/>
      <c r="AAN125" s="38"/>
      <c r="AAO125" s="38"/>
      <c r="AAP125" s="38"/>
      <c r="AAQ125" s="38"/>
      <c r="AAR125" s="38"/>
      <c r="AAS125" s="38"/>
      <c r="AAT125" s="38"/>
      <c r="AAU125" s="38"/>
      <c r="AAV125" s="38"/>
      <c r="AAW125" s="38"/>
      <c r="AAX125" s="38"/>
      <c r="AAY125" s="38"/>
      <c r="AAZ125" s="38"/>
      <c r="ABA125" s="38"/>
      <c r="ABB125" s="38"/>
      <c r="ABC125" s="38"/>
      <c r="ABD125" s="38"/>
      <c r="ABE125" s="38"/>
      <c r="ABF125" s="38"/>
      <c r="ABG125" s="38"/>
      <c r="ABH125" s="38"/>
      <c r="ABI125" s="38"/>
      <c r="ABJ125" s="38"/>
      <c r="ABK125" s="38"/>
      <c r="ABL125" s="38"/>
      <c r="ABM125" s="38"/>
      <c r="ABN125" s="38"/>
      <c r="ABO125" s="38"/>
      <c r="ABP125" s="38"/>
      <c r="ABQ125" s="38"/>
      <c r="ABR125" s="38"/>
      <c r="ABS125" s="38"/>
      <c r="ABT125" s="38"/>
      <c r="ABU125" s="38"/>
      <c r="ABV125" s="38"/>
      <c r="ABW125" s="38"/>
      <c r="ABX125" s="38"/>
      <c r="ABY125" s="38"/>
      <c r="ABZ125" s="38"/>
      <c r="ACA125" s="38"/>
      <c r="ACB125" s="38"/>
      <c r="ACC125" s="38"/>
      <c r="ACD125" s="38"/>
      <c r="ACE125" s="38"/>
      <c r="ACF125" s="38"/>
      <c r="ACG125" s="38"/>
      <c r="ACH125" s="38"/>
      <c r="ACI125" s="38"/>
      <c r="ACJ125" s="38"/>
      <c r="ACK125" s="38"/>
      <c r="ACL125" s="38"/>
      <c r="ACM125" s="38"/>
      <c r="ACN125" s="38"/>
      <c r="ACO125" s="38"/>
      <c r="ACP125" s="38"/>
      <c r="ACQ125" s="38"/>
      <c r="ACR125" s="38"/>
      <c r="ACS125" s="38"/>
      <c r="ACT125" s="38"/>
      <c r="ACU125" s="38"/>
      <c r="ACV125" s="38"/>
      <c r="ACW125" s="38"/>
      <c r="ACX125" s="38"/>
      <c r="ACY125" s="38"/>
      <c r="ACZ125" s="38"/>
      <c r="ADA125" s="38"/>
      <c r="ADB125" s="38"/>
      <c r="ADC125" s="38"/>
      <c r="ADD125" s="38"/>
      <c r="ADE125" s="38"/>
      <c r="ADF125" s="38"/>
      <c r="ADG125" s="38"/>
      <c r="ADH125" s="38"/>
      <c r="ADI125" s="38"/>
      <c r="ADJ125" s="38"/>
      <c r="ADK125" s="38"/>
      <c r="ADL125" s="38"/>
      <c r="ADM125" s="38"/>
      <c r="ADN125" s="38"/>
      <c r="ADO125" s="38"/>
      <c r="ADP125" s="38"/>
      <c r="ADQ125" s="38"/>
      <c r="ADR125" s="38"/>
      <c r="ADS125" s="38"/>
      <c r="ADT125" s="38"/>
      <c r="ADU125" s="38"/>
      <c r="ADV125" s="38"/>
      <c r="ADW125" s="38"/>
      <c r="ADX125" s="38"/>
      <c r="ADY125" s="38"/>
      <c r="ADZ125" s="38"/>
      <c r="AEA125" s="38"/>
      <c r="AEB125" s="38"/>
      <c r="AEC125" s="38"/>
      <c r="AED125" s="38"/>
      <c r="AEE125" s="38"/>
      <c r="AEF125" s="38"/>
      <c r="AEG125" s="38"/>
      <c r="AEH125" s="38"/>
      <c r="AEI125" s="38"/>
      <c r="AEJ125" s="38"/>
      <c r="AEK125" s="38"/>
      <c r="AEL125" s="38"/>
      <c r="AEM125" s="38"/>
      <c r="AEN125" s="38"/>
      <c r="AEO125" s="38"/>
      <c r="AEP125" s="38"/>
      <c r="AEQ125" s="38"/>
      <c r="AER125" s="38"/>
      <c r="AES125" s="38"/>
      <c r="AET125" s="38"/>
      <c r="AEU125" s="38"/>
      <c r="AEV125" s="38"/>
      <c r="AEW125" s="38"/>
      <c r="AEX125" s="38"/>
      <c r="AEY125" s="38"/>
      <c r="AEZ125" s="38"/>
      <c r="AFA125" s="38"/>
      <c r="AFB125" s="38"/>
      <c r="AFC125" s="38"/>
      <c r="AFD125" s="38"/>
      <c r="AFE125" s="38"/>
      <c r="AFF125" s="38"/>
      <c r="AFG125" s="38"/>
      <c r="AFH125" s="38"/>
      <c r="AFI125" s="38"/>
      <c r="AFJ125" s="38"/>
      <c r="AFK125" s="38"/>
      <c r="AFL125" s="38"/>
      <c r="AFM125" s="38"/>
      <c r="AFN125" s="38"/>
      <c r="AFO125" s="38"/>
      <c r="AFP125" s="38"/>
      <c r="AFQ125" s="38"/>
      <c r="AFR125" s="38"/>
      <c r="AFS125" s="38"/>
      <c r="AFT125" s="38"/>
      <c r="AFU125" s="38"/>
      <c r="AFV125" s="38"/>
      <c r="AFW125" s="38"/>
      <c r="AFX125" s="38"/>
      <c r="AFY125" s="38"/>
      <c r="AFZ125" s="38"/>
      <c r="AGA125" s="38"/>
      <c r="AGB125" s="38"/>
      <c r="AGC125" s="38"/>
      <c r="AGD125" s="38"/>
      <c r="AGE125" s="38"/>
      <c r="AGF125" s="38"/>
      <c r="AGG125" s="38"/>
      <c r="AGH125" s="38"/>
      <c r="AGI125" s="38"/>
      <c r="AGJ125" s="38"/>
      <c r="AGK125" s="38"/>
      <c r="AGL125" s="38"/>
      <c r="AGM125" s="38"/>
      <c r="AGN125" s="38"/>
      <c r="AGO125" s="38"/>
      <c r="AGP125" s="38"/>
      <c r="AGQ125" s="38"/>
      <c r="AGR125" s="38"/>
      <c r="AGS125" s="38"/>
      <c r="AGT125" s="38"/>
      <c r="AGU125" s="38"/>
      <c r="AGV125" s="38"/>
      <c r="AGW125" s="38"/>
      <c r="AGX125" s="38"/>
      <c r="AGY125" s="38"/>
      <c r="AGZ125" s="38"/>
      <c r="AHA125" s="38"/>
      <c r="AHB125" s="38"/>
      <c r="AHC125" s="38"/>
      <c r="AHD125" s="38"/>
      <c r="AHE125" s="38"/>
      <c r="AHF125" s="38"/>
      <c r="AHG125" s="38"/>
      <c r="AHH125" s="38"/>
      <c r="AHI125" s="38"/>
      <c r="AHJ125" s="38"/>
      <c r="AHK125" s="38"/>
      <c r="AHL125" s="38"/>
      <c r="AHM125" s="38"/>
      <c r="AHN125" s="38"/>
      <c r="AHO125" s="38"/>
      <c r="AHP125" s="38"/>
      <c r="AHQ125" s="38"/>
      <c r="AHR125" s="38"/>
      <c r="AHS125" s="38"/>
      <c r="AHT125" s="38"/>
      <c r="AHU125" s="38"/>
      <c r="AHV125" s="38"/>
    </row>
    <row r="126" spans="1:906" s="27" customFormat="1" x14ac:dyDescent="0.35">
      <c r="A126" s="83">
        <v>121</v>
      </c>
      <c r="B126" s="108" t="s">
        <v>207</v>
      </c>
      <c r="C126" s="109" t="s">
        <v>204</v>
      </c>
      <c r="D126" s="109" t="s">
        <v>208</v>
      </c>
      <c r="E126" s="125">
        <v>29.99</v>
      </c>
      <c r="F126" s="125"/>
      <c r="G126" s="125"/>
      <c r="H126" s="125">
        <v>29</v>
      </c>
      <c r="I126" s="37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  <c r="BN126" s="38"/>
      <c r="BO126" s="38"/>
      <c r="BP126" s="38"/>
      <c r="BQ126" s="38"/>
      <c r="BR126" s="38"/>
      <c r="BS126" s="38"/>
      <c r="BT126" s="38"/>
      <c r="BU126" s="38"/>
      <c r="BV126" s="38"/>
      <c r="BW126" s="38"/>
      <c r="BX126" s="38"/>
      <c r="BY126" s="38"/>
      <c r="BZ126" s="38"/>
      <c r="CA126" s="38"/>
      <c r="CB126" s="38"/>
      <c r="CC126" s="38"/>
      <c r="CD126" s="38"/>
      <c r="CE126" s="38"/>
      <c r="CF126" s="38"/>
      <c r="CG126" s="38"/>
      <c r="CH126" s="38"/>
      <c r="CI126" s="38"/>
      <c r="CJ126" s="38"/>
      <c r="CK126" s="38"/>
      <c r="CL126" s="38"/>
      <c r="CM126" s="38"/>
      <c r="CN126" s="38"/>
      <c r="CO126" s="38"/>
      <c r="CP126" s="38"/>
      <c r="CQ126" s="38"/>
      <c r="CR126" s="38"/>
      <c r="CS126" s="38"/>
      <c r="CT126" s="38"/>
      <c r="CU126" s="38"/>
      <c r="CV126" s="38"/>
      <c r="CW126" s="38"/>
      <c r="CX126" s="38"/>
      <c r="CY126" s="38"/>
      <c r="CZ126" s="38"/>
      <c r="DA126" s="38"/>
      <c r="DB126" s="38"/>
      <c r="DC126" s="38"/>
      <c r="DD126" s="38"/>
      <c r="DE126" s="38"/>
      <c r="DF126" s="38"/>
      <c r="DG126" s="38"/>
      <c r="DH126" s="38"/>
      <c r="DI126" s="38"/>
      <c r="DJ126" s="38"/>
      <c r="DK126" s="38"/>
      <c r="DL126" s="38"/>
      <c r="DM126" s="38"/>
      <c r="DN126" s="38"/>
      <c r="DO126" s="38"/>
      <c r="DP126" s="38"/>
      <c r="DQ126" s="38"/>
      <c r="DR126" s="38"/>
      <c r="DS126" s="38"/>
      <c r="DT126" s="38"/>
      <c r="DU126" s="38"/>
      <c r="DV126" s="38"/>
      <c r="DW126" s="38"/>
      <c r="DX126" s="38"/>
      <c r="DY126" s="38"/>
      <c r="DZ126" s="38"/>
      <c r="EA126" s="38"/>
      <c r="EB126" s="38"/>
      <c r="EC126" s="38"/>
      <c r="ED126" s="38"/>
      <c r="EE126" s="38"/>
      <c r="EF126" s="38"/>
      <c r="EG126" s="38"/>
      <c r="EH126" s="38"/>
      <c r="EI126" s="38"/>
      <c r="EJ126" s="38"/>
      <c r="EK126" s="38"/>
      <c r="EL126" s="38"/>
      <c r="EM126" s="38"/>
      <c r="EN126" s="38"/>
      <c r="EO126" s="38"/>
      <c r="EP126" s="38"/>
      <c r="EQ126" s="38"/>
      <c r="ER126" s="38"/>
      <c r="ES126" s="38"/>
      <c r="ET126" s="38"/>
      <c r="EU126" s="38"/>
      <c r="EV126" s="38"/>
      <c r="EW126" s="38"/>
      <c r="EX126" s="38"/>
      <c r="EY126" s="38"/>
      <c r="EZ126" s="38"/>
      <c r="FA126" s="38"/>
      <c r="FB126" s="38"/>
      <c r="FC126" s="38"/>
      <c r="FD126" s="38"/>
      <c r="FE126" s="38"/>
      <c r="FF126" s="38"/>
      <c r="FG126" s="38"/>
      <c r="FH126" s="38"/>
      <c r="FI126" s="38"/>
      <c r="FJ126" s="38"/>
      <c r="FK126" s="38"/>
      <c r="FL126" s="38"/>
      <c r="FM126" s="38"/>
      <c r="FN126" s="38"/>
      <c r="FO126" s="38"/>
      <c r="FP126" s="38"/>
      <c r="FQ126" s="38"/>
      <c r="FR126" s="38"/>
      <c r="FS126" s="38"/>
      <c r="FT126" s="38"/>
      <c r="FU126" s="38"/>
      <c r="FV126" s="38"/>
      <c r="FW126" s="38"/>
      <c r="FX126" s="38"/>
      <c r="FY126" s="38"/>
      <c r="FZ126" s="38"/>
      <c r="GA126" s="38"/>
      <c r="GB126" s="38"/>
      <c r="GC126" s="38"/>
      <c r="GD126" s="38"/>
      <c r="GE126" s="38"/>
      <c r="GF126" s="38"/>
      <c r="GG126" s="38"/>
      <c r="GH126" s="38"/>
      <c r="GI126" s="38"/>
      <c r="GJ126" s="38"/>
      <c r="GK126" s="38"/>
      <c r="GL126" s="38"/>
      <c r="GM126" s="38"/>
      <c r="GN126" s="38"/>
      <c r="GO126" s="38"/>
      <c r="GP126" s="38"/>
      <c r="GQ126" s="38"/>
      <c r="GR126" s="38"/>
      <c r="GS126" s="38"/>
      <c r="GT126" s="38"/>
      <c r="GU126" s="38"/>
      <c r="GV126" s="38"/>
      <c r="GW126" s="38"/>
      <c r="GX126" s="38"/>
      <c r="GY126" s="38"/>
      <c r="GZ126" s="38"/>
      <c r="HA126" s="38"/>
      <c r="HB126" s="38"/>
      <c r="HC126" s="38"/>
      <c r="HD126" s="38"/>
      <c r="HE126" s="38"/>
      <c r="HF126" s="38"/>
      <c r="HG126" s="38"/>
      <c r="HH126" s="38"/>
      <c r="HI126" s="38"/>
      <c r="HJ126" s="38"/>
      <c r="HK126" s="38"/>
      <c r="HL126" s="38"/>
      <c r="HM126" s="38"/>
      <c r="HN126" s="38"/>
      <c r="HO126" s="38"/>
      <c r="HP126" s="38"/>
      <c r="HQ126" s="38"/>
      <c r="HR126" s="38"/>
      <c r="HS126" s="38"/>
      <c r="HT126" s="38"/>
      <c r="HU126" s="38"/>
      <c r="HV126" s="38"/>
      <c r="HW126" s="38"/>
      <c r="HX126" s="38"/>
      <c r="HY126" s="38"/>
      <c r="HZ126" s="38"/>
      <c r="IA126" s="38"/>
      <c r="IB126" s="38"/>
      <c r="IC126" s="38"/>
      <c r="ID126" s="38"/>
      <c r="IE126" s="38"/>
      <c r="IF126" s="38"/>
      <c r="IG126" s="38"/>
      <c r="IH126" s="38"/>
      <c r="II126" s="38"/>
      <c r="IJ126" s="38"/>
      <c r="IK126" s="38"/>
      <c r="IL126" s="38"/>
      <c r="IM126" s="38"/>
      <c r="IN126" s="38"/>
      <c r="IO126" s="38"/>
      <c r="IP126" s="38"/>
      <c r="IQ126" s="38"/>
      <c r="IR126" s="38"/>
      <c r="IS126" s="38"/>
      <c r="IT126" s="38"/>
      <c r="IU126" s="38"/>
      <c r="IV126" s="38"/>
      <c r="IW126" s="38"/>
      <c r="IX126" s="38"/>
      <c r="IY126" s="38"/>
      <c r="IZ126" s="38"/>
      <c r="JA126" s="38"/>
      <c r="JB126" s="38"/>
      <c r="JC126" s="38"/>
      <c r="JD126" s="38"/>
      <c r="JE126" s="38"/>
      <c r="JF126" s="38"/>
      <c r="JG126" s="38"/>
      <c r="JH126" s="38"/>
      <c r="JI126" s="38"/>
      <c r="JJ126" s="38"/>
      <c r="JK126" s="38"/>
      <c r="JL126" s="38"/>
      <c r="JM126" s="38"/>
      <c r="JN126" s="38"/>
      <c r="JO126" s="38"/>
      <c r="JP126" s="38"/>
      <c r="JQ126" s="38"/>
      <c r="JR126" s="38"/>
      <c r="JS126" s="38"/>
      <c r="JT126" s="38"/>
      <c r="JU126" s="38"/>
      <c r="JV126" s="38"/>
      <c r="JW126" s="38"/>
      <c r="JX126" s="38"/>
      <c r="JY126" s="38"/>
      <c r="JZ126" s="38"/>
      <c r="KA126" s="38"/>
      <c r="KB126" s="38"/>
      <c r="KC126" s="38"/>
      <c r="KD126" s="38"/>
      <c r="KE126" s="38"/>
      <c r="KF126" s="38"/>
      <c r="KG126" s="38"/>
      <c r="KH126" s="38"/>
      <c r="KI126" s="38"/>
      <c r="KJ126" s="38"/>
      <c r="KK126" s="38"/>
      <c r="KL126" s="38"/>
      <c r="KM126" s="38"/>
      <c r="KN126" s="38"/>
      <c r="KO126" s="38"/>
      <c r="KP126" s="38"/>
      <c r="KQ126" s="38"/>
      <c r="KR126" s="38"/>
      <c r="KS126" s="38"/>
      <c r="KT126" s="38"/>
      <c r="KU126" s="38"/>
      <c r="KV126" s="38"/>
      <c r="KW126" s="38"/>
      <c r="KX126" s="38"/>
      <c r="KY126" s="38"/>
      <c r="KZ126" s="38"/>
      <c r="LA126" s="38"/>
      <c r="LB126" s="38"/>
      <c r="LC126" s="38"/>
      <c r="LD126" s="38"/>
      <c r="LE126" s="38"/>
      <c r="LF126" s="38"/>
      <c r="LG126" s="38"/>
      <c r="LH126" s="38"/>
      <c r="LI126" s="38"/>
      <c r="LJ126" s="38"/>
      <c r="LK126" s="38"/>
      <c r="LL126" s="38"/>
      <c r="LM126" s="38"/>
      <c r="LN126" s="38"/>
      <c r="LO126" s="38"/>
      <c r="LP126" s="38"/>
      <c r="LQ126" s="38"/>
      <c r="LR126" s="38"/>
      <c r="LS126" s="38"/>
      <c r="LT126" s="38"/>
      <c r="LU126" s="38"/>
      <c r="LV126" s="38"/>
      <c r="LW126" s="38"/>
      <c r="LX126" s="38"/>
      <c r="LY126" s="38"/>
      <c r="LZ126" s="38"/>
      <c r="MA126" s="38"/>
      <c r="MB126" s="38"/>
      <c r="MC126" s="38"/>
      <c r="MD126" s="38"/>
      <c r="ME126" s="38"/>
      <c r="MF126" s="38"/>
      <c r="MG126" s="38"/>
      <c r="MH126" s="38"/>
      <c r="MI126" s="38"/>
      <c r="MJ126" s="38"/>
      <c r="MK126" s="38"/>
      <c r="ML126" s="38"/>
      <c r="MM126" s="38"/>
      <c r="MN126" s="38"/>
      <c r="MO126" s="38"/>
      <c r="MP126" s="38"/>
      <c r="MQ126" s="38"/>
      <c r="MR126" s="38"/>
      <c r="MS126" s="38"/>
      <c r="MT126" s="38"/>
      <c r="MU126" s="38"/>
      <c r="MV126" s="38"/>
      <c r="MW126" s="38"/>
      <c r="MX126" s="38"/>
      <c r="MY126" s="38"/>
      <c r="MZ126" s="38"/>
      <c r="NA126" s="38"/>
      <c r="NB126" s="38"/>
      <c r="NC126" s="38"/>
      <c r="ND126" s="38"/>
      <c r="NE126" s="38"/>
      <c r="NF126" s="38"/>
      <c r="NG126" s="38"/>
      <c r="NH126" s="38"/>
      <c r="NI126" s="38"/>
      <c r="NJ126" s="38"/>
      <c r="NK126" s="38"/>
      <c r="NL126" s="38"/>
      <c r="NM126" s="38"/>
      <c r="NN126" s="38"/>
      <c r="NO126" s="38"/>
      <c r="NP126" s="38"/>
      <c r="NQ126" s="38"/>
      <c r="NR126" s="38"/>
      <c r="NS126" s="38"/>
      <c r="NT126" s="38"/>
      <c r="NU126" s="38"/>
      <c r="NV126" s="38"/>
      <c r="NW126" s="38"/>
      <c r="NX126" s="38"/>
      <c r="NY126" s="38"/>
      <c r="NZ126" s="38"/>
      <c r="OA126" s="38"/>
      <c r="OB126" s="38"/>
      <c r="OC126" s="38"/>
      <c r="OD126" s="38"/>
      <c r="OE126" s="38"/>
      <c r="OF126" s="38"/>
      <c r="OG126" s="38"/>
      <c r="OH126" s="38"/>
      <c r="OI126" s="38"/>
      <c r="OJ126" s="38"/>
      <c r="OK126" s="38"/>
      <c r="OL126" s="38"/>
      <c r="OM126" s="38"/>
      <c r="ON126" s="38"/>
      <c r="OO126" s="38"/>
      <c r="OP126" s="38"/>
      <c r="OQ126" s="38"/>
      <c r="OR126" s="38"/>
      <c r="OS126" s="38"/>
      <c r="OT126" s="38"/>
      <c r="OU126" s="38"/>
      <c r="OV126" s="38"/>
      <c r="OW126" s="38"/>
      <c r="OX126" s="38"/>
      <c r="OY126" s="38"/>
      <c r="OZ126" s="38"/>
      <c r="PA126" s="38"/>
      <c r="PB126" s="38"/>
      <c r="PC126" s="38"/>
      <c r="PD126" s="38"/>
      <c r="PE126" s="38"/>
      <c r="PF126" s="38"/>
      <c r="PG126" s="38"/>
      <c r="PH126" s="38"/>
      <c r="PI126" s="38"/>
      <c r="PJ126" s="38"/>
      <c r="PK126" s="38"/>
      <c r="PL126" s="38"/>
      <c r="PM126" s="38"/>
      <c r="PN126" s="38"/>
      <c r="PO126" s="38"/>
      <c r="PP126" s="38"/>
      <c r="PQ126" s="38"/>
      <c r="PR126" s="38"/>
      <c r="PS126" s="38"/>
      <c r="PT126" s="38"/>
      <c r="PU126" s="38"/>
      <c r="PV126" s="38"/>
      <c r="PW126" s="38"/>
      <c r="PX126" s="38"/>
      <c r="PY126" s="38"/>
      <c r="PZ126" s="38"/>
      <c r="QA126" s="38"/>
      <c r="QB126" s="38"/>
      <c r="QC126" s="38"/>
      <c r="QD126" s="38"/>
      <c r="QE126" s="38"/>
      <c r="QF126" s="38"/>
      <c r="QG126" s="38"/>
      <c r="QH126" s="38"/>
      <c r="QI126" s="38"/>
      <c r="QJ126" s="38"/>
      <c r="QK126" s="38"/>
      <c r="QL126" s="38"/>
      <c r="QM126" s="38"/>
      <c r="QN126" s="38"/>
      <c r="QO126" s="38"/>
      <c r="QP126" s="38"/>
      <c r="QQ126" s="38"/>
      <c r="QR126" s="38"/>
      <c r="QS126" s="38"/>
      <c r="QT126" s="38"/>
      <c r="QU126" s="38"/>
      <c r="QV126" s="38"/>
      <c r="QW126" s="38"/>
      <c r="QX126" s="38"/>
      <c r="QY126" s="38"/>
      <c r="QZ126" s="38"/>
      <c r="RA126" s="38"/>
      <c r="RB126" s="38"/>
      <c r="RC126" s="38"/>
      <c r="RD126" s="38"/>
      <c r="RE126" s="38"/>
      <c r="RF126" s="38"/>
      <c r="RG126" s="38"/>
      <c r="RH126" s="38"/>
      <c r="RI126" s="38"/>
      <c r="RJ126" s="38"/>
      <c r="RK126" s="38"/>
      <c r="RL126" s="38"/>
      <c r="RM126" s="38"/>
      <c r="RN126" s="38"/>
      <c r="RO126" s="38"/>
      <c r="RP126" s="38"/>
      <c r="RQ126" s="38"/>
      <c r="RR126" s="38"/>
      <c r="RS126" s="38"/>
      <c r="RT126" s="38"/>
      <c r="RU126" s="38"/>
      <c r="RV126" s="38"/>
      <c r="RW126" s="38"/>
      <c r="RX126" s="38"/>
      <c r="RY126" s="38"/>
      <c r="RZ126" s="38"/>
      <c r="SA126" s="38"/>
      <c r="SB126" s="38"/>
      <c r="SC126" s="38"/>
      <c r="SD126" s="38"/>
      <c r="SE126" s="38"/>
      <c r="SF126" s="38"/>
      <c r="SG126" s="38"/>
      <c r="SH126" s="38"/>
      <c r="SI126" s="38"/>
      <c r="SJ126" s="38"/>
      <c r="SK126" s="38"/>
      <c r="SL126" s="38"/>
      <c r="SM126" s="38"/>
      <c r="SN126" s="38"/>
      <c r="SO126" s="38"/>
      <c r="SP126" s="38"/>
      <c r="SQ126" s="38"/>
      <c r="SR126" s="38"/>
      <c r="SS126" s="38"/>
      <c r="ST126" s="38"/>
      <c r="SU126" s="38"/>
      <c r="SV126" s="38"/>
      <c r="SW126" s="38"/>
      <c r="SX126" s="38"/>
      <c r="SY126" s="38"/>
      <c r="SZ126" s="38"/>
      <c r="TA126" s="38"/>
      <c r="TB126" s="38"/>
      <c r="TC126" s="38"/>
      <c r="TD126" s="38"/>
      <c r="TE126" s="38"/>
      <c r="TF126" s="38"/>
      <c r="TG126" s="38"/>
      <c r="TH126" s="38"/>
      <c r="TI126" s="38"/>
      <c r="TJ126" s="38"/>
      <c r="TK126" s="38"/>
      <c r="TL126" s="38"/>
      <c r="TM126" s="38"/>
      <c r="TN126" s="38"/>
      <c r="TO126" s="38"/>
      <c r="TP126" s="38"/>
      <c r="TQ126" s="38"/>
      <c r="TR126" s="38"/>
      <c r="TS126" s="38"/>
      <c r="TT126" s="38"/>
      <c r="TU126" s="38"/>
      <c r="TV126" s="38"/>
      <c r="TW126" s="38"/>
      <c r="TX126" s="38"/>
      <c r="TY126" s="38"/>
      <c r="TZ126" s="38"/>
      <c r="UA126" s="38"/>
      <c r="UB126" s="38"/>
      <c r="UC126" s="38"/>
      <c r="UD126" s="38"/>
      <c r="UE126" s="38"/>
      <c r="UF126" s="38"/>
      <c r="UG126" s="38"/>
      <c r="UH126" s="38"/>
      <c r="UI126" s="38"/>
      <c r="UJ126" s="38"/>
      <c r="UK126" s="38"/>
      <c r="UL126" s="38"/>
      <c r="UM126" s="38"/>
      <c r="UN126" s="38"/>
      <c r="UO126" s="38"/>
      <c r="UP126" s="38"/>
      <c r="UQ126" s="38"/>
      <c r="UR126" s="38"/>
      <c r="US126" s="38"/>
      <c r="UT126" s="38"/>
      <c r="UU126" s="38"/>
      <c r="UV126" s="38"/>
      <c r="UW126" s="38"/>
      <c r="UX126" s="38"/>
      <c r="UY126" s="38"/>
      <c r="UZ126" s="38"/>
      <c r="VA126" s="38"/>
      <c r="VB126" s="38"/>
      <c r="VC126" s="38"/>
      <c r="VD126" s="38"/>
      <c r="VE126" s="38"/>
      <c r="VF126" s="38"/>
      <c r="VG126" s="38"/>
      <c r="VH126" s="38"/>
      <c r="VI126" s="38"/>
      <c r="VJ126" s="38"/>
      <c r="VK126" s="38"/>
      <c r="VL126" s="38"/>
      <c r="VM126" s="38"/>
      <c r="VN126" s="38"/>
      <c r="VO126" s="38"/>
      <c r="VP126" s="38"/>
      <c r="VQ126" s="38"/>
      <c r="VR126" s="38"/>
      <c r="VS126" s="38"/>
      <c r="VT126" s="38"/>
      <c r="VU126" s="38"/>
      <c r="VV126" s="38"/>
      <c r="VW126" s="38"/>
      <c r="VX126" s="38"/>
      <c r="VY126" s="38"/>
      <c r="VZ126" s="38"/>
      <c r="WA126" s="38"/>
      <c r="WB126" s="38"/>
      <c r="WC126" s="38"/>
      <c r="WD126" s="38"/>
      <c r="WE126" s="38"/>
      <c r="WF126" s="38"/>
      <c r="WG126" s="38"/>
      <c r="WH126" s="38"/>
      <c r="WI126" s="38"/>
      <c r="WJ126" s="38"/>
      <c r="WK126" s="38"/>
      <c r="WL126" s="38"/>
      <c r="WM126" s="38"/>
      <c r="WN126" s="38"/>
      <c r="WO126" s="38"/>
      <c r="WP126" s="38"/>
      <c r="WQ126" s="38"/>
      <c r="WR126" s="38"/>
      <c r="WS126" s="38"/>
      <c r="WT126" s="38"/>
      <c r="WU126" s="38"/>
      <c r="WV126" s="38"/>
      <c r="WW126" s="38"/>
      <c r="WX126" s="38"/>
      <c r="WY126" s="38"/>
      <c r="WZ126" s="38"/>
      <c r="XA126" s="38"/>
      <c r="XB126" s="38"/>
      <c r="XC126" s="38"/>
      <c r="XD126" s="38"/>
      <c r="XE126" s="38"/>
      <c r="XF126" s="38"/>
      <c r="XG126" s="38"/>
      <c r="XH126" s="38"/>
      <c r="XI126" s="38"/>
      <c r="XJ126" s="38"/>
      <c r="XK126" s="38"/>
      <c r="XL126" s="38"/>
      <c r="XM126" s="38"/>
      <c r="XN126" s="38"/>
      <c r="XO126" s="38"/>
      <c r="XP126" s="38"/>
      <c r="XQ126" s="38"/>
      <c r="XR126" s="38"/>
      <c r="XS126" s="38"/>
      <c r="XT126" s="38"/>
      <c r="XU126" s="38"/>
      <c r="XV126" s="38"/>
      <c r="XW126" s="38"/>
      <c r="XX126" s="38"/>
      <c r="XY126" s="38"/>
      <c r="XZ126" s="38"/>
      <c r="YA126" s="38"/>
      <c r="YB126" s="38"/>
      <c r="YC126" s="38"/>
      <c r="YD126" s="38"/>
      <c r="YE126" s="38"/>
      <c r="YF126" s="38"/>
      <c r="YG126" s="38"/>
      <c r="YH126" s="38"/>
      <c r="YI126" s="38"/>
      <c r="YJ126" s="38"/>
      <c r="YK126" s="38"/>
      <c r="YL126" s="38"/>
      <c r="YM126" s="38"/>
      <c r="YN126" s="38"/>
      <c r="YO126" s="38"/>
      <c r="YP126" s="38"/>
      <c r="YQ126" s="38"/>
      <c r="YR126" s="38"/>
      <c r="YS126" s="38"/>
      <c r="YT126" s="38"/>
      <c r="YU126" s="38"/>
      <c r="YV126" s="38"/>
      <c r="YW126" s="38"/>
      <c r="YX126" s="38"/>
      <c r="YY126" s="38"/>
      <c r="YZ126" s="38"/>
      <c r="ZA126" s="38"/>
      <c r="ZB126" s="38"/>
      <c r="ZC126" s="38"/>
      <c r="ZD126" s="38"/>
      <c r="ZE126" s="38"/>
      <c r="ZF126" s="38"/>
      <c r="ZG126" s="38"/>
      <c r="ZH126" s="38"/>
      <c r="ZI126" s="38"/>
      <c r="ZJ126" s="38"/>
      <c r="ZK126" s="38"/>
      <c r="ZL126" s="38"/>
      <c r="ZM126" s="38"/>
      <c r="ZN126" s="38"/>
      <c r="ZO126" s="38"/>
      <c r="ZP126" s="38"/>
      <c r="ZQ126" s="38"/>
      <c r="ZR126" s="38"/>
      <c r="ZS126" s="38"/>
      <c r="ZT126" s="38"/>
      <c r="ZU126" s="38"/>
      <c r="ZV126" s="38"/>
      <c r="ZW126" s="38"/>
      <c r="ZX126" s="38"/>
      <c r="ZY126" s="38"/>
      <c r="ZZ126" s="38"/>
      <c r="AAA126" s="38"/>
      <c r="AAB126" s="38"/>
      <c r="AAC126" s="38"/>
      <c r="AAD126" s="38"/>
      <c r="AAE126" s="38"/>
      <c r="AAF126" s="38"/>
      <c r="AAG126" s="38"/>
      <c r="AAH126" s="38"/>
      <c r="AAI126" s="38"/>
      <c r="AAJ126" s="38"/>
      <c r="AAK126" s="38"/>
      <c r="AAL126" s="38"/>
      <c r="AAM126" s="38"/>
      <c r="AAN126" s="38"/>
      <c r="AAO126" s="38"/>
      <c r="AAP126" s="38"/>
      <c r="AAQ126" s="38"/>
      <c r="AAR126" s="38"/>
      <c r="AAS126" s="38"/>
      <c r="AAT126" s="38"/>
      <c r="AAU126" s="38"/>
      <c r="AAV126" s="38"/>
      <c r="AAW126" s="38"/>
      <c r="AAX126" s="38"/>
      <c r="AAY126" s="38"/>
      <c r="AAZ126" s="38"/>
      <c r="ABA126" s="38"/>
      <c r="ABB126" s="38"/>
      <c r="ABC126" s="38"/>
      <c r="ABD126" s="38"/>
      <c r="ABE126" s="38"/>
      <c r="ABF126" s="38"/>
      <c r="ABG126" s="38"/>
      <c r="ABH126" s="38"/>
      <c r="ABI126" s="38"/>
      <c r="ABJ126" s="38"/>
      <c r="ABK126" s="38"/>
      <c r="ABL126" s="38"/>
      <c r="ABM126" s="38"/>
      <c r="ABN126" s="38"/>
      <c r="ABO126" s="38"/>
      <c r="ABP126" s="38"/>
      <c r="ABQ126" s="38"/>
      <c r="ABR126" s="38"/>
      <c r="ABS126" s="38"/>
      <c r="ABT126" s="38"/>
      <c r="ABU126" s="38"/>
      <c r="ABV126" s="38"/>
      <c r="ABW126" s="38"/>
      <c r="ABX126" s="38"/>
      <c r="ABY126" s="38"/>
      <c r="ABZ126" s="38"/>
      <c r="ACA126" s="38"/>
      <c r="ACB126" s="38"/>
      <c r="ACC126" s="38"/>
      <c r="ACD126" s="38"/>
      <c r="ACE126" s="38"/>
      <c r="ACF126" s="38"/>
      <c r="ACG126" s="38"/>
      <c r="ACH126" s="38"/>
      <c r="ACI126" s="38"/>
      <c r="ACJ126" s="38"/>
      <c r="ACK126" s="38"/>
      <c r="ACL126" s="38"/>
      <c r="ACM126" s="38"/>
      <c r="ACN126" s="38"/>
      <c r="ACO126" s="38"/>
      <c r="ACP126" s="38"/>
      <c r="ACQ126" s="38"/>
      <c r="ACR126" s="38"/>
      <c r="ACS126" s="38"/>
      <c r="ACT126" s="38"/>
      <c r="ACU126" s="38"/>
      <c r="ACV126" s="38"/>
      <c r="ACW126" s="38"/>
      <c r="ACX126" s="38"/>
      <c r="ACY126" s="38"/>
      <c r="ACZ126" s="38"/>
      <c r="ADA126" s="38"/>
      <c r="ADB126" s="38"/>
      <c r="ADC126" s="38"/>
      <c r="ADD126" s="38"/>
      <c r="ADE126" s="38"/>
      <c r="ADF126" s="38"/>
      <c r="ADG126" s="38"/>
      <c r="ADH126" s="38"/>
      <c r="ADI126" s="38"/>
      <c r="ADJ126" s="38"/>
      <c r="ADK126" s="38"/>
      <c r="ADL126" s="38"/>
      <c r="ADM126" s="38"/>
      <c r="ADN126" s="38"/>
      <c r="ADO126" s="38"/>
      <c r="ADP126" s="38"/>
      <c r="ADQ126" s="38"/>
      <c r="ADR126" s="38"/>
      <c r="ADS126" s="38"/>
      <c r="ADT126" s="38"/>
      <c r="ADU126" s="38"/>
      <c r="ADV126" s="38"/>
      <c r="ADW126" s="38"/>
      <c r="ADX126" s="38"/>
      <c r="ADY126" s="38"/>
      <c r="ADZ126" s="38"/>
      <c r="AEA126" s="38"/>
      <c r="AEB126" s="38"/>
      <c r="AEC126" s="38"/>
      <c r="AED126" s="38"/>
      <c r="AEE126" s="38"/>
      <c r="AEF126" s="38"/>
      <c r="AEG126" s="38"/>
      <c r="AEH126" s="38"/>
      <c r="AEI126" s="38"/>
      <c r="AEJ126" s="38"/>
      <c r="AEK126" s="38"/>
      <c r="AEL126" s="38"/>
      <c r="AEM126" s="38"/>
      <c r="AEN126" s="38"/>
      <c r="AEO126" s="38"/>
      <c r="AEP126" s="38"/>
      <c r="AEQ126" s="38"/>
      <c r="AER126" s="38"/>
      <c r="AES126" s="38"/>
      <c r="AET126" s="38"/>
      <c r="AEU126" s="38"/>
      <c r="AEV126" s="38"/>
      <c r="AEW126" s="38"/>
      <c r="AEX126" s="38"/>
      <c r="AEY126" s="38"/>
      <c r="AEZ126" s="38"/>
      <c r="AFA126" s="38"/>
      <c r="AFB126" s="38"/>
      <c r="AFC126" s="38"/>
      <c r="AFD126" s="38"/>
      <c r="AFE126" s="38"/>
      <c r="AFF126" s="38"/>
      <c r="AFG126" s="38"/>
      <c r="AFH126" s="38"/>
      <c r="AFI126" s="38"/>
      <c r="AFJ126" s="38"/>
      <c r="AFK126" s="38"/>
      <c r="AFL126" s="38"/>
      <c r="AFM126" s="38"/>
      <c r="AFN126" s="38"/>
      <c r="AFO126" s="38"/>
      <c r="AFP126" s="38"/>
      <c r="AFQ126" s="38"/>
      <c r="AFR126" s="38"/>
      <c r="AFS126" s="38"/>
      <c r="AFT126" s="38"/>
      <c r="AFU126" s="38"/>
      <c r="AFV126" s="38"/>
      <c r="AFW126" s="38"/>
      <c r="AFX126" s="38"/>
      <c r="AFY126" s="38"/>
      <c r="AFZ126" s="38"/>
      <c r="AGA126" s="38"/>
      <c r="AGB126" s="38"/>
      <c r="AGC126" s="38"/>
      <c r="AGD126" s="38"/>
      <c r="AGE126" s="38"/>
      <c r="AGF126" s="38"/>
      <c r="AGG126" s="38"/>
      <c r="AGH126" s="38"/>
      <c r="AGI126" s="38"/>
      <c r="AGJ126" s="38"/>
      <c r="AGK126" s="38"/>
      <c r="AGL126" s="38"/>
      <c r="AGM126" s="38"/>
      <c r="AGN126" s="38"/>
      <c r="AGO126" s="38"/>
      <c r="AGP126" s="38"/>
      <c r="AGQ126" s="38"/>
      <c r="AGR126" s="38"/>
      <c r="AGS126" s="38"/>
      <c r="AGT126" s="38"/>
      <c r="AGU126" s="38"/>
      <c r="AGV126" s="38"/>
      <c r="AGW126" s="38"/>
      <c r="AGX126" s="38"/>
      <c r="AGY126" s="38"/>
      <c r="AGZ126" s="38"/>
      <c r="AHA126" s="38"/>
      <c r="AHB126" s="38"/>
      <c r="AHC126" s="38"/>
      <c r="AHD126" s="38"/>
      <c r="AHE126" s="38"/>
      <c r="AHF126" s="38"/>
      <c r="AHG126" s="38"/>
      <c r="AHH126" s="38"/>
      <c r="AHI126" s="38"/>
      <c r="AHJ126" s="38"/>
      <c r="AHK126" s="38"/>
      <c r="AHL126" s="38"/>
      <c r="AHM126" s="38"/>
      <c r="AHN126" s="38"/>
      <c r="AHO126" s="38"/>
      <c r="AHP126" s="38"/>
      <c r="AHQ126" s="38"/>
      <c r="AHR126" s="38"/>
      <c r="AHS126" s="38"/>
      <c r="AHT126" s="38"/>
      <c r="AHU126" s="38"/>
      <c r="AHV126" s="38"/>
    </row>
    <row r="127" spans="1:906" s="27" customFormat="1" x14ac:dyDescent="0.35">
      <c r="A127" s="83">
        <v>122</v>
      </c>
      <c r="B127" s="108" t="s">
        <v>209</v>
      </c>
      <c r="C127" s="109" t="s">
        <v>210</v>
      </c>
      <c r="D127" s="109" t="s">
        <v>15</v>
      </c>
      <c r="E127" s="125">
        <v>34.6</v>
      </c>
      <c r="F127" s="125">
        <v>29.95</v>
      </c>
      <c r="G127" s="125"/>
      <c r="H127" s="125">
        <v>27.75</v>
      </c>
      <c r="I127" s="37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  <c r="BN127" s="38"/>
      <c r="BO127" s="38"/>
      <c r="BP127" s="38"/>
      <c r="BQ127" s="38"/>
      <c r="BR127" s="38"/>
      <c r="BS127" s="38"/>
      <c r="BT127" s="38"/>
      <c r="BU127" s="38"/>
      <c r="BV127" s="38"/>
      <c r="BW127" s="38"/>
      <c r="BX127" s="38"/>
      <c r="BY127" s="38"/>
      <c r="BZ127" s="38"/>
      <c r="CA127" s="38"/>
      <c r="CB127" s="38"/>
      <c r="CC127" s="38"/>
      <c r="CD127" s="38"/>
      <c r="CE127" s="38"/>
      <c r="CF127" s="38"/>
      <c r="CG127" s="38"/>
      <c r="CH127" s="38"/>
      <c r="CI127" s="38"/>
      <c r="CJ127" s="38"/>
      <c r="CK127" s="38"/>
      <c r="CL127" s="38"/>
      <c r="CM127" s="38"/>
      <c r="CN127" s="38"/>
      <c r="CO127" s="38"/>
      <c r="CP127" s="38"/>
      <c r="CQ127" s="38"/>
      <c r="CR127" s="38"/>
      <c r="CS127" s="38"/>
      <c r="CT127" s="38"/>
      <c r="CU127" s="38"/>
      <c r="CV127" s="38"/>
      <c r="CW127" s="38"/>
      <c r="CX127" s="38"/>
      <c r="CY127" s="38"/>
      <c r="CZ127" s="38"/>
      <c r="DA127" s="38"/>
      <c r="DB127" s="38"/>
      <c r="DC127" s="38"/>
      <c r="DD127" s="38"/>
      <c r="DE127" s="38"/>
      <c r="DF127" s="38"/>
      <c r="DG127" s="38"/>
      <c r="DH127" s="38"/>
      <c r="DI127" s="38"/>
      <c r="DJ127" s="38"/>
      <c r="DK127" s="38"/>
      <c r="DL127" s="38"/>
      <c r="DM127" s="38"/>
      <c r="DN127" s="38"/>
      <c r="DO127" s="38"/>
      <c r="DP127" s="38"/>
      <c r="DQ127" s="38"/>
      <c r="DR127" s="38"/>
      <c r="DS127" s="38"/>
      <c r="DT127" s="38"/>
      <c r="DU127" s="38"/>
      <c r="DV127" s="38"/>
      <c r="DW127" s="38"/>
      <c r="DX127" s="38"/>
      <c r="DY127" s="38"/>
      <c r="DZ127" s="38"/>
      <c r="EA127" s="38"/>
      <c r="EB127" s="38"/>
      <c r="EC127" s="38"/>
      <c r="ED127" s="38"/>
      <c r="EE127" s="38"/>
      <c r="EF127" s="38"/>
      <c r="EG127" s="38"/>
      <c r="EH127" s="38"/>
      <c r="EI127" s="38"/>
      <c r="EJ127" s="38"/>
      <c r="EK127" s="38"/>
      <c r="EL127" s="38"/>
      <c r="EM127" s="38"/>
      <c r="EN127" s="38"/>
      <c r="EO127" s="38"/>
      <c r="EP127" s="38"/>
      <c r="EQ127" s="38"/>
      <c r="ER127" s="38"/>
      <c r="ES127" s="38"/>
      <c r="ET127" s="38"/>
      <c r="EU127" s="38"/>
      <c r="EV127" s="38"/>
      <c r="EW127" s="38"/>
      <c r="EX127" s="38"/>
      <c r="EY127" s="38"/>
      <c r="EZ127" s="38"/>
      <c r="FA127" s="38"/>
      <c r="FB127" s="38"/>
      <c r="FC127" s="38"/>
      <c r="FD127" s="38"/>
      <c r="FE127" s="38"/>
      <c r="FF127" s="38"/>
      <c r="FG127" s="38"/>
      <c r="FH127" s="38"/>
      <c r="FI127" s="38"/>
      <c r="FJ127" s="38"/>
      <c r="FK127" s="38"/>
      <c r="FL127" s="38"/>
      <c r="FM127" s="38"/>
      <c r="FN127" s="38"/>
      <c r="FO127" s="38"/>
      <c r="FP127" s="38"/>
      <c r="FQ127" s="38"/>
      <c r="FR127" s="38"/>
      <c r="FS127" s="38"/>
      <c r="FT127" s="38"/>
      <c r="FU127" s="38"/>
      <c r="FV127" s="38"/>
      <c r="FW127" s="38"/>
      <c r="FX127" s="38"/>
      <c r="FY127" s="38"/>
      <c r="FZ127" s="38"/>
      <c r="GA127" s="38"/>
      <c r="GB127" s="38"/>
      <c r="GC127" s="38"/>
      <c r="GD127" s="38"/>
      <c r="GE127" s="38"/>
      <c r="GF127" s="38"/>
      <c r="GG127" s="38"/>
      <c r="GH127" s="38"/>
      <c r="GI127" s="38"/>
      <c r="GJ127" s="38"/>
      <c r="GK127" s="38"/>
      <c r="GL127" s="38"/>
      <c r="GM127" s="38"/>
      <c r="GN127" s="38"/>
      <c r="GO127" s="38"/>
      <c r="GP127" s="38"/>
      <c r="GQ127" s="38"/>
      <c r="GR127" s="38"/>
      <c r="GS127" s="38"/>
      <c r="GT127" s="38"/>
      <c r="GU127" s="38"/>
      <c r="GV127" s="38"/>
      <c r="GW127" s="38"/>
      <c r="GX127" s="38"/>
      <c r="GY127" s="38"/>
      <c r="GZ127" s="38"/>
      <c r="HA127" s="38"/>
      <c r="HB127" s="38"/>
      <c r="HC127" s="38"/>
      <c r="HD127" s="38"/>
      <c r="HE127" s="38"/>
      <c r="HF127" s="38"/>
      <c r="HG127" s="38"/>
      <c r="HH127" s="38"/>
      <c r="HI127" s="38"/>
      <c r="HJ127" s="38"/>
      <c r="HK127" s="38"/>
      <c r="HL127" s="38"/>
      <c r="HM127" s="38"/>
      <c r="HN127" s="38"/>
      <c r="HO127" s="38"/>
      <c r="HP127" s="38"/>
      <c r="HQ127" s="38"/>
      <c r="HR127" s="38"/>
      <c r="HS127" s="38"/>
      <c r="HT127" s="38"/>
      <c r="HU127" s="38"/>
      <c r="HV127" s="38"/>
      <c r="HW127" s="38"/>
      <c r="HX127" s="38"/>
      <c r="HY127" s="38"/>
      <c r="HZ127" s="38"/>
      <c r="IA127" s="38"/>
      <c r="IB127" s="38"/>
      <c r="IC127" s="38"/>
      <c r="ID127" s="38"/>
      <c r="IE127" s="38"/>
      <c r="IF127" s="38"/>
      <c r="IG127" s="38"/>
      <c r="IH127" s="38"/>
      <c r="II127" s="38"/>
      <c r="IJ127" s="38"/>
      <c r="IK127" s="38"/>
      <c r="IL127" s="38"/>
      <c r="IM127" s="38"/>
      <c r="IN127" s="38"/>
      <c r="IO127" s="38"/>
      <c r="IP127" s="38"/>
      <c r="IQ127" s="38"/>
      <c r="IR127" s="38"/>
      <c r="IS127" s="38"/>
      <c r="IT127" s="38"/>
      <c r="IU127" s="38"/>
      <c r="IV127" s="38"/>
      <c r="IW127" s="38"/>
      <c r="IX127" s="38"/>
      <c r="IY127" s="38"/>
      <c r="IZ127" s="38"/>
      <c r="JA127" s="38"/>
      <c r="JB127" s="38"/>
      <c r="JC127" s="38"/>
      <c r="JD127" s="38"/>
      <c r="JE127" s="38"/>
      <c r="JF127" s="38"/>
      <c r="JG127" s="38"/>
      <c r="JH127" s="38"/>
      <c r="JI127" s="38"/>
      <c r="JJ127" s="38"/>
      <c r="JK127" s="38"/>
      <c r="JL127" s="38"/>
      <c r="JM127" s="38"/>
      <c r="JN127" s="38"/>
      <c r="JO127" s="38"/>
      <c r="JP127" s="38"/>
      <c r="JQ127" s="38"/>
      <c r="JR127" s="38"/>
      <c r="JS127" s="38"/>
      <c r="JT127" s="38"/>
      <c r="JU127" s="38"/>
      <c r="JV127" s="38"/>
      <c r="JW127" s="38"/>
      <c r="JX127" s="38"/>
      <c r="JY127" s="38"/>
      <c r="JZ127" s="38"/>
      <c r="KA127" s="38"/>
      <c r="KB127" s="38"/>
      <c r="KC127" s="38"/>
      <c r="KD127" s="38"/>
      <c r="KE127" s="38"/>
      <c r="KF127" s="38"/>
      <c r="KG127" s="38"/>
      <c r="KH127" s="38"/>
      <c r="KI127" s="38"/>
      <c r="KJ127" s="38"/>
      <c r="KK127" s="38"/>
      <c r="KL127" s="38"/>
      <c r="KM127" s="38"/>
      <c r="KN127" s="38"/>
      <c r="KO127" s="38"/>
      <c r="KP127" s="38"/>
      <c r="KQ127" s="38"/>
      <c r="KR127" s="38"/>
      <c r="KS127" s="38"/>
      <c r="KT127" s="38"/>
      <c r="KU127" s="38"/>
      <c r="KV127" s="38"/>
      <c r="KW127" s="38"/>
      <c r="KX127" s="38"/>
      <c r="KY127" s="38"/>
      <c r="KZ127" s="38"/>
      <c r="LA127" s="38"/>
      <c r="LB127" s="38"/>
      <c r="LC127" s="38"/>
      <c r="LD127" s="38"/>
      <c r="LE127" s="38"/>
      <c r="LF127" s="38"/>
      <c r="LG127" s="38"/>
      <c r="LH127" s="38"/>
      <c r="LI127" s="38"/>
      <c r="LJ127" s="38"/>
      <c r="LK127" s="38"/>
      <c r="LL127" s="38"/>
      <c r="LM127" s="38"/>
      <c r="LN127" s="38"/>
      <c r="LO127" s="38"/>
      <c r="LP127" s="38"/>
      <c r="LQ127" s="38"/>
      <c r="LR127" s="38"/>
      <c r="LS127" s="38"/>
      <c r="LT127" s="38"/>
      <c r="LU127" s="38"/>
      <c r="LV127" s="38"/>
      <c r="LW127" s="38"/>
      <c r="LX127" s="38"/>
      <c r="LY127" s="38"/>
      <c r="LZ127" s="38"/>
      <c r="MA127" s="38"/>
      <c r="MB127" s="38"/>
      <c r="MC127" s="38"/>
      <c r="MD127" s="38"/>
      <c r="ME127" s="38"/>
      <c r="MF127" s="38"/>
      <c r="MG127" s="38"/>
      <c r="MH127" s="38"/>
      <c r="MI127" s="38"/>
      <c r="MJ127" s="38"/>
      <c r="MK127" s="38"/>
      <c r="ML127" s="38"/>
      <c r="MM127" s="38"/>
      <c r="MN127" s="38"/>
      <c r="MO127" s="38"/>
      <c r="MP127" s="38"/>
      <c r="MQ127" s="38"/>
      <c r="MR127" s="38"/>
      <c r="MS127" s="38"/>
      <c r="MT127" s="38"/>
      <c r="MU127" s="38"/>
      <c r="MV127" s="38"/>
      <c r="MW127" s="38"/>
      <c r="MX127" s="38"/>
      <c r="MY127" s="38"/>
      <c r="MZ127" s="38"/>
      <c r="NA127" s="38"/>
      <c r="NB127" s="38"/>
      <c r="NC127" s="38"/>
      <c r="ND127" s="38"/>
      <c r="NE127" s="38"/>
      <c r="NF127" s="38"/>
      <c r="NG127" s="38"/>
      <c r="NH127" s="38"/>
      <c r="NI127" s="38"/>
      <c r="NJ127" s="38"/>
      <c r="NK127" s="38"/>
      <c r="NL127" s="38"/>
      <c r="NM127" s="38"/>
      <c r="NN127" s="38"/>
      <c r="NO127" s="38"/>
      <c r="NP127" s="38"/>
      <c r="NQ127" s="38"/>
      <c r="NR127" s="38"/>
      <c r="NS127" s="38"/>
      <c r="NT127" s="38"/>
      <c r="NU127" s="38"/>
      <c r="NV127" s="38"/>
      <c r="NW127" s="38"/>
      <c r="NX127" s="38"/>
      <c r="NY127" s="38"/>
      <c r="NZ127" s="38"/>
      <c r="OA127" s="38"/>
      <c r="OB127" s="38"/>
      <c r="OC127" s="38"/>
      <c r="OD127" s="38"/>
      <c r="OE127" s="38"/>
      <c r="OF127" s="38"/>
      <c r="OG127" s="38"/>
      <c r="OH127" s="38"/>
      <c r="OI127" s="38"/>
      <c r="OJ127" s="38"/>
      <c r="OK127" s="38"/>
      <c r="OL127" s="38"/>
      <c r="OM127" s="38"/>
      <c r="ON127" s="38"/>
      <c r="OO127" s="38"/>
      <c r="OP127" s="38"/>
      <c r="OQ127" s="38"/>
      <c r="OR127" s="38"/>
      <c r="OS127" s="38"/>
      <c r="OT127" s="38"/>
      <c r="OU127" s="38"/>
      <c r="OV127" s="38"/>
      <c r="OW127" s="38"/>
      <c r="OX127" s="38"/>
      <c r="OY127" s="38"/>
      <c r="OZ127" s="38"/>
      <c r="PA127" s="38"/>
      <c r="PB127" s="38"/>
      <c r="PC127" s="38"/>
      <c r="PD127" s="38"/>
      <c r="PE127" s="38"/>
      <c r="PF127" s="38"/>
      <c r="PG127" s="38"/>
      <c r="PH127" s="38"/>
      <c r="PI127" s="38"/>
      <c r="PJ127" s="38"/>
      <c r="PK127" s="38"/>
      <c r="PL127" s="38"/>
      <c r="PM127" s="38"/>
      <c r="PN127" s="38"/>
      <c r="PO127" s="38"/>
      <c r="PP127" s="38"/>
      <c r="PQ127" s="38"/>
      <c r="PR127" s="38"/>
      <c r="PS127" s="38"/>
      <c r="PT127" s="38"/>
      <c r="PU127" s="38"/>
      <c r="PV127" s="38"/>
      <c r="PW127" s="38"/>
      <c r="PX127" s="38"/>
      <c r="PY127" s="38"/>
      <c r="PZ127" s="38"/>
      <c r="QA127" s="38"/>
      <c r="QB127" s="38"/>
      <c r="QC127" s="38"/>
      <c r="QD127" s="38"/>
      <c r="QE127" s="38"/>
      <c r="QF127" s="38"/>
      <c r="QG127" s="38"/>
      <c r="QH127" s="38"/>
      <c r="QI127" s="38"/>
      <c r="QJ127" s="38"/>
      <c r="QK127" s="38"/>
      <c r="QL127" s="38"/>
      <c r="QM127" s="38"/>
      <c r="QN127" s="38"/>
      <c r="QO127" s="38"/>
      <c r="QP127" s="38"/>
      <c r="QQ127" s="38"/>
      <c r="QR127" s="38"/>
      <c r="QS127" s="38"/>
      <c r="QT127" s="38"/>
      <c r="QU127" s="38"/>
      <c r="QV127" s="38"/>
      <c r="QW127" s="38"/>
      <c r="QX127" s="38"/>
      <c r="QY127" s="38"/>
      <c r="QZ127" s="38"/>
      <c r="RA127" s="38"/>
      <c r="RB127" s="38"/>
      <c r="RC127" s="38"/>
      <c r="RD127" s="38"/>
      <c r="RE127" s="38"/>
      <c r="RF127" s="38"/>
      <c r="RG127" s="38"/>
      <c r="RH127" s="38"/>
      <c r="RI127" s="38"/>
      <c r="RJ127" s="38"/>
      <c r="RK127" s="38"/>
      <c r="RL127" s="38"/>
      <c r="RM127" s="38"/>
      <c r="RN127" s="38"/>
      <c r="RO127" s="38"/>
      <c r="RP127" s="38"/>
      <c r="RQ127" s="38"/>
      <c r="RR127" s="38"/>
      <c r="RS127" s="38"/>
      <c r="RT127" s="38"/>
      <c r="RU127" s="38"/>
      <c r="RV127" s="38"/>
      <c r="RW127" s="38"/>
      <c r="RX127" s="38"/>
      <c r="RY127" s="38"/>
      <c r="RZ127" s="38"/>
      <c r="SA127" s="38"/>
      <c r="SB127" s="38"/>
      <c r="SC127" s="38"/>
      <c r="SD127" s="38"/>
      <c r="SE127" s="38"/>
      <c r="SF127" s="38"/>
      <c r="SG127" s="38"/>
      <c r="SH127" s="38"/>
      <c r="SI127" s="38"/>
      <c r="SJ127" s="38"/>
      <c r="SK127" s="38"/>
      <c r="SL127" s="38"/>
      <c r="SM127" s="38"/>
      <c r="SN127" s="38"/>
      <c r="SO127" s="38"/>
      <c r="SP127" s="38"/>
      <c r="SQ127" s="38"/>
      <c r="SR127" s="38"/>
      <c r="SS127" s="38"/>
      <c r="ST127" s="38"/>
      <c r="SU127" s="38"/>
      <c r="SV127" s="38"/>
      <c r="SW127" s="38"/>
      <c r="SX127" s="38"/>
      <c r="SY127" s="38"/>
      <c r="SZ127" s="38"/>
      <c r="TA127" s="38"/>
      <c r="TB127" s="38"/>
      <c r="TC127" s="38"/>
      <c r="TD127" s="38"/>
      <c r="TE127" s="38"/>
      <c r="TF127" s="38"/>
      <c r="TG127" s="38"/>
      <c r="TH127" s="38"/>
      <c r="TI127" s="38"/>
      <c r="TJ127" s="38"/>
      <c r="TK127" s="38"/>
      <c r="TL127" s="38"/>
      <c r="TM127" s="38"/>
      <c r="TN127" s="38"/>
      <c r="TO127" s="38"/>
      <c r="TP127" s="38"/>
      <c r="TQ127" s="38"/>
      <c r="TR127" s="38"/>
      <c r="TS127" s="38"/>
      <c r="TT127" s="38"/>
      <c r="TU127" s="38"/>
      <c r="TV127" s="38"/>
      <c r="TW127" s="38"/>
      <c r="TX127" s="38"/>
      <c r="TY127" s="38"/>
      <c r="TZ127" s="38"/>
      <c r="UA127" s="38"/>
      <c r="UB127" s="38"/>
      <c r="UC127" s="38"/>
      <c r="UD127" s="38"/>
      <c r="UE127" s="38"/>
      <c r="UF127" s="38"/>
      <c r="UG127" s="38"/>
      <c r="UH127" s="38"/>
      <c r="UI127" s="38"/>
      <c r="UJ127" s="38"/>
      <c r="UK127" s="38"/>
      <c r="UL127" s="38"/>
      <c r="UM127" s="38"/>
      <c r="UN127" s="38"/>
      <c r="UO127" s="38"/>
      <c r="UP127" s="38"/>
      <c r="UQ127" s="38"/>
      <c r="UR127" s="38"/>
      <c r="US127" s="38"/>
      <c r="UT127" s="38"/>
      <c r="UU127" s="38"/>
      <c r="UV127" s="38"/>
      <c r="UW127" s="38"/>
      <c r="UX127" s="38"/>
      <c r="UY127" s="38"/>
      <c r="UZ127" s="38"/>
      <c r="VA127" s="38"/>
      <c r="VB127" s="38"/>
      <c r="VC127" s="38"/>
      <c r="VD127" s="38"/>
      <c r="VE127" s="38"/>
      <c r="VF127" s="38"/>
      <c r="VG127" s="38"/>
      <c r="VH127" s="38"/>
      <c r="VI127" s="38"/>
      <c r="VJ127" s="38"/>
      <c r="VK127" s="38"/>
      <c r="VL127" s="38"/>
      <c r="VM127" s="38"/>
      <c r="VN127" s="38"/>
      <c r="VO127" s="38"/>
      <c r="VP127" s="38"/>
      <c r="VQ127" s="38"/>
      <c r="VR127" s="38"/>
      <c r="VS127" s="38"/>
      <c r="VT127" s="38"/>
      <c r="VU127" s="38"/>
      <c r="VV127" s="38"/>
      <c r="VW127" s="38"/>
      <c r="VX127" s="38"/>
      <c r="VY127" s="38"/>
      <c r="VZ127" s="38"/>
      <c r="WA127" s="38"/>
      <c r="WB127" s="38"/>
      <c r="WC127" s="38"/>
      <c r="WD127" s="38"/>
      <c r="WE127" s="38"/>
      <c r="WF127" s="38"/>
      <c r="WG127" s="38"/>
      <c r="WH127" s="38"/>
      <c r="WI127" s="38"/>
      <c r="WJ127" s="38"/>
      <c r="WK127" s="38"/>
      <c r="WL127" s="38"/>
      <c r="WM127" s="38"/>
      <c r="WN127" s="38"/>
      <c r="WO127" s="38"/>
      <c r="WP127" s="38"/>
      <c r="WQ127" s="38"/>
      <c r="WR127" s="38"/>
      <c r="WS127" s="38"/>
      <c r="WT127" s="38"/>
      <c r="WU127" s="38"/>
      <c r="WV127" s="38"/>
      <c r="WW127" s="38"/>
      <c r="WX127" s="38"/>
      <c r="WY127" s="38"/>
      <c r="WZ127" s="38"/>
      <c r="XA127" s="38"/>
      <c r="XB127" s="38"/>
      <c r="XC127" s="38"/>
      <c r="XD127" s="38"/>
      <c r="XE127" s="38"/>
      <c r="XF127" s="38"/>
      <c r="XG127" s="38"/>
      <c r="XH127" s="38"/>
      <c r="XI127" s="38"/>
      <c r="XJ127" s="38"/>
      <c r="XK127" s="38"/>
      <c r="XL127" s="38"/>
      <c r="XM127" s="38"/>
      <c r="XN127" s="38"/>
      <c r="XO127" s="38"/>
      <c r="XP127" s="38"/>
      <c r="XQ127" s="38"/>
      <c r="XR127" s="38"/>
      <c r="XS127" s="38"/>
      <c r="XT127" s="38"/>
      <c r="XU127" s="38"/>
      <c r="XV127" s="38"/>
      <c r="XW127" s="38"/>
      <c r="XX127" s="38"/>
      <c r="XY127" s="38"/>
      <c r="XZ127" s="38"/>
      <c r="YA127" s="38"/>
      <c r="YB127" s="38"/>
      <c r="YC127" s="38"/>
      <c r="YD127" s="38"/>
      <c r="YE127" s="38"/>
      <c r="YF127" s="38"/>
      <c r="YG127" s="38"/>
      <c r="YH127" s="38"/>
      <c r="YI127" s="38"/>
      <c r="YJ127" s="38"/>
      <c r="YK127" s="38"/>
      <c r="YL127" s="38"/>
      <c r="YM127" s="38"/>
      <c r="YN127" s="38"/>
      <c r="YO127" s="38"/>
      <c r="YP127" s="38"/>
      <c r="YQ127" s="38"/>
      <c r="YR127" s="38"/>
      <c r="YS127" s="38"/>
      <c r="YT127" s="38"/>
      <c r="YU127" s="38"/>
      <c r="YV127" s="38"/>
      <c r="YW127" s="38"/>
      <c r="YX127" s="38"/>
      <c r="YY127" s="38"/>
      <c r="YZ127" s="38"/>
      <c r="ZA127" s="38"/>
      <c r="ZB127" s="38"/>
      <c r="ZC127" s="38"/>
      <c r="ZD127" s="38"/>
      <c r="ZE127" s="38"/>
      <c r="ZF127" s="38"/>
      <c r="ZG127" s="38"/>
      <c r="ZH127" s="38"/>
      <c r="ZI127" s="38"/>
      <c r="ZJ127" s="38"/>
      <c r="ZK127" s="38"/>
      <c r="ZL127" s="38"/>
      <c r="ZM127" s="38"/>
      <c r="ZN127" s="38"/>
      <c r="ZO127" s="38"/>
      <c r="ZP127" s="38"/>
      <c r="ZQ127" s="38"/>
      <c r="ZR127" s="38"/>
      <c r="ZS127" s="38"/>
      <c r="ZT127" s="38"/>
      <c r="ZU127" s="38"/>
      <c r="ZV127" s="38"/>
      <c r="ZW127" s="38"/>
      <c r="ZX127" s="38"/>
      <c r="ZY127" s="38"/>
      <c r="ZZ127" s="38"/>
      <c r="AAA127" s="38"/>
      <c r="AAB127" s="38"/>
      <c r="AAC127" s="38"/>
      <c r="AAD127" s="38"/>
      <c r="AAE127" s="38"/>
      <c r="AAF127" s="38"/>
      <c r="AAG127" s="38"/>
      <c r="AAH127" s="38"/>
      <c r="AAI127" s="38"/>
      <c r="AAJ127" s="38"/>
      <c r="AAK127" s="38"/>
      <c r="AAL127" s="38"/>
      <c r="AAM127" s="38"/>
      <c r="AAN127" s="38"/>
      <c r="AAO127" s="38"/>
      <c r="AAP127" s="38"/>
      <c r="AAQ127" s="38"/>
      <c r="AAR127" s="38"/>
      <c r="AAS127" s="38"/>
      <c r="AAT127" s="38"/>
      <c r="AAU127" s="38"/>
      <c r="AAV127" s="38"/>
      <c r="AAW127" s="38"/>
      <c r="AAX127" s="38"/>
      <c r="AAY127" s="38"/>
      <c r="AAZ127" s="38"/>
      <c r="ABA127" s="38"/>
      <c r="ABB127" s="38"/>
      <c r="ABC127" s="38"/>
      <c r="ABD127" s="38"/>
      <c r="ABE127" s="38"/>
      <c r="ABF127" s="38"/>
      <c r="ABG127" s="38"/>
      <c r="ABH127" s="38"/>
      <c r="ABI127" s="38"/>
      <c r="ABJ127" s="38"/>
      <c r="ABK127" s="38"/>
      <c r="ABL127" s="38"/>
      <c r="ABM127" s="38"/>
      <c r="ABN127" s="38"/>
      <c r="ABO127" s="38"/>
      <c r="ABP127" s="38"/>
      <c r="ABQ127" s="38"/>
      <c r="ABR127" s="38"/>
      <c r="ABS127" s="38"/>
      <c r="ABT127" s="38"/>
      <c r="ABU127" s="38"/>
      <c r="ABV127" s="38"/>
      <c r="ABW127" s="38"/>
      <c r="ABX127" s="38"/>
      <c r="ABY127" s="38"/>
      <c r="ABZ127" s="38"/>
      <c r="ACA127" s="38"/>
      <c r="ACB127" s="38"/>
      <c r="ACC127" s="38"/>
      <c r="ACD127" s="38"/>
      <c r="ACE127" s="38"/>
      <c r="ACF127" s="38"/>
      <c r="ACG127" s="38"/>
      <c r="ACH127" s="38"/>
      <c r="ACI127" s="38"/>
      <c r="ACJ127" s="38"/>
      <c r="ACK127" s="38"/>
      <c r="ACL127" s="38"/>
      <c r="ACM127" s="38"/>
      <c r="ACN127" s="38"/>
      <c r="ACO127" s="38"/>
      <c r="ACP127" s="38"/>
      <c r="ACQ127" s="38"/>
      <c r="ACR127" s="38"/>
      <c r="ACS127" s="38"/>
      <c r="ACT127" s="38"/>
      <c r="ACU127" s="38"/>
      <c r="ACV127" s="38"/>
      <c r="ACW127" s="38"/>
      <c r="ACX127" s="38"/>
      <c r="ACY127" s="38"/>
      <c r="ACZ127" s="38"/>
      <c r="ADA127" s="38"/>
      <c r="ADB127" s="38"/>
      <c r="ADC127" s="38"/>
      <c r="ADD127" s="38"/>
      <c r="ADE127" s="38"/>
      <c r="ADF127" s="38"/>
      <c r="ADG127" s="38"/>
      <c r="ADH127" s="38"/>
      <c r="ADI127" s="38"/>
      <c r="ADJ127" s="38"/>
      <c r="ADK127" s="38"/>
      <c r="ADL127" s="38"/>
      <c r="ADM127" s="38"/>
      <c r="ADN127" s="38"/>
      <c r="ADO127" s="38"/>
      <c r="ADP127" s="38"/>
      <c r="ADQ127" s="38"/>
      <c r="ADR127" s="38"/>
      <c r="ADS127" s="38"/>
      <c r="ADT127" s="38"/>
      <c r="ADU127" s="38"/>
      <c r="ADV127" s="38"/>
      <c r="ADW127" s="38"/>
      <c r="ADX127" s="38"/>
      <c r="ADY127" s="38"/>
      <c r="ADZ127" s="38"/>
      <c r="AEA127" s="38"/>
      <c r="AEB127" s="38"/>
      <c r="AEC127" s="38"/>
      <c r="AED127" s="38"/>
      <c r="AEE127" s="38"/>
      <c r="AEF127" s="38"/>
      <c r="AEG127" s="38"/>
      <c r="AEH127" s="38"/>
      <c r="AEI127" s="38"/>
      <c r="AEJ127" s="38"/>
      <c r="AEK127" s="38"/>
      <c r="AEL127" s="38"/>
      <c r="AEM127" s="38"/>
      <c r="AEN127" s="38"/>
      <c r="AEO127" s="38"/>
      <c r="AEP127" s="38"/>
      <c r="AEQ127" s="38"/>
      <c r="AER127" s="38"/>
      <c r="AES127" s="38"/>
      <c r="AET127" s="38"/>
      <c r="AEU127" s="38"/>
      <c r="AEV127" s="38"/>
      <c r="AEW127" s="38"/>
      <c r="AEX127" s="38"/>
      <c r="AEY127" s="38"/>
      <c r="AEZ127" s="38"/>
      <c r="AFA127" s="38"/>
      <c r="AFB127" s="38"/>
      <c r="AFC127" s="38"/>
      <c r="AFD127" s="38"/>
      <c r="AFE127" s="38"/>
      <c r="AFF127" s="38"/>
      <c r="AFG127" s="38"/>
      <c r="AFH127" s="38"/>
      <c r="AFI127" s="38"/>
      <c r="AFJ127" s="38"/>
      <c r="AFK127" s="38"/>
      <c r="AFL127" s="38"/>
      <c r="AFM127" s="38"/>
      <c r="AFN127" s="38"/>
      <c r="AFO127" s="38"/>
      <c r="AFP127" s="38"/>
      <c r="AFQ127" s="38"/>
      <c r="AFR127" s="38"/>
      <c r="AFS127" s="38"/>
      <c r="AFT127" s="38"/>
      <c r="AFU127" s="38"/>
      <c r="AFV127" s="38"/>
      <c r="AFW127" s="38"/>
      <c r="AFX127" s="38"/>
      <c r="AFY127" s="38"/>
      <c r="AFZ127" s="38"/>
      <c r="AGA127" s="38"/>
      <c r="AGB127" s="38"/>
      <c r="AGC127" s="38"/>
      <c r="AGD127" s="38"/>
      <c r="AGE127" s="38"/>
      <c r="AGF127" s="38"/>
      <c r="AGG127" s="38"/>
      <c r="AGH127" s="38"/>
      <c r="AGI127" s="38"/>
      <c r="AGJ127" s="38"/>
      <c r="AGK127" s="38"/>
      <c r="AGL127" s="38"/>
      <c r="AGM127" s="38"/>
      <c r="AGN127" s="38"/>
      <c r="AGO127" s="38"/>
      <c r="AGP127" s="38"/>
      <c r="AGQ127" s="38"/>
      <c r="AGR127" s="38"/>
      <c r="AGS127" s="38"/>
      <c r="AGT127" s="38"/>
      <c r="AGU127" s="38"/>
      <c r="AGV127" s="38"/>
      <c r="AGW127" s="38"/>
      <c r="AGX127" s="38"/>
      <c r="AGY127" s="38"/>
      <c r="AGZ127" s="38"/>
      <c r="AHA127" s="38"/>
      <c r="AHB127" s="38"/>
      <c r="AHC127" s="38"/>
      <c r="AHD127" s="38"/>
      <c r="AHE127" s="38"/>
      <c r="AHF127" s="38"/>
      <c r="AHG127" s="38"/>
      <c r="AHH127" s="38"/>
      <c r="AHI127" s="38"/>
      <c r="AHJ127" s="38"/>
      <c r="AHK127" s="38"/>
      <c r="AHL127" s="38"/>
      <c r="AHM127" s="38"/>
      <c r="AHN127" s="38"/>
      <c r="AHO127" s="38"/>
      <c r="AHP127" s="38"/>
      <c r="AHQ127" s="38"/>
      <c r="AHR127" s="38"/>
      <c r="AHS127" s="38"/>
      <c r="AHT127" s="38"/>
      <c r="AHU127" s="38"/>
      <c r="AHV127" s="38"/>
    </row>
    <row r="128" spans="1:906" s="27" customFormat="1" x14ac:dyDescent="0.35">
      <c r="A128" s="83">
        <v>123</v>
      </c>
      <c r="B128" s="108" t="s">
        <v>209</v>
      </c>
      <c r="C128" s="109" t="s">
        <v>211</v>
      </c>
      <c r="D128" s="109" t="s">
        <v>212</v>
      </c>
      <c r="E128" s="127">
        <v>12.44</v>
      </c>
      <c r="F128" s="127"/>
      <c r="G128" s="127"/>
      <c r="H128" s="127"/>
      <c r="I128" s="37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  <c r="BP128" s="38"/>
      <c r="BQ128" s="38"/>
      <c r="BR128" s="38"/>
      <c r="BS128" s="38"/>
      <c r="BT128" s="38"/>
      <c r="BU128" s="38"/>
      <c r="BV128" s="38"/>
      <c r="BW128" s="38"/>
      <c r="BX128" s="38"/>
      <c r="BY128" s="38"/>
      <c r="BZ128" s="38"/>
      <c r="CA128" s="38"/>
      <c r="CB128" s="38"/>
      <c r="CC128" s="38"/>
      <c r="CD128" s="38"/>
      <c r="CE128" s="38"/>
      <c r="CF128" s="38"/>
      <c r="CG128" s="38"/>
      <c r="CH128" s="38"/>
      <c r="CI128" s="38"/>
      <c r="CJ128" s="38"/>
      <c r="CK128" s="38"/>
      <c r="CL128" s="38"/>
      <c r="CM128" s="38"/>
      <c r="CN128" s="38"/>
      <c r="CO128" s="38"/>
      <c r="CP128" s="38"/>
      <c r="CQ128" s="38"/>
      <c r="CR128" s="38"/>
      <c r="CS128" s="38"/>
      <c r="CT128" s="38"/>
      <c r="CU128" s="38"/>
      <c r="CV128" s="38"/>
      <c r="CW128" s="38"/>
      <c r="CX128" s="38"/>
      <c r="CY128" s="38"/>
      <c r="CZ128" s="38"/>
      <c r="DA128" s="38"/>
      <c r="DB128" s="38"/>
      <c r="DC128" s="38"/>
      <c r="DD128" s="38"/>
      <c r="DE128" s="38"/>
      <c r="DF128" s="38"/>
      <c r="DG128" s="38"/>
      <c r="DH128" s="38"/>
      <c r="DI128" s="38"/>
      <c r="DJ128" s="38"/>
      <c r="DK128" s="38"/>
      <c r="DL128" s="38"/>
      <c r="DM128" s="38"/>
      <c r="DN128" s="38"/>
      <c r="DO128" s="38"/>
      <c r="DP128" s="38"/>
      <c r="DQ128" s="38"/>
      <c r="DR128" s="38"/>
      <c r="DS128" s="38"/>
      <c r="DT128" s="38"/>
      <c r="DU128" s="38"/>
      <c r="DV128" s="38"/>
      <c r="DW128" s="38"/>
      <c r="DX128" s="38"/>
      <c r="DY128" s="38"/>
      <c r="DZ128" s="38"/>
      <c r="EA128" s="38"/>
      <c r="EB128" s="38"/>
      <c r="EC128" s="38"/>
      <c r="ED128" s="38"/>
      <c r="EE128" s="38"/>
      <c r="EF128" s="38"/>
      <c r="EG128" s="38"/>
      <c r="EH128" s="38"/>
      <c r="EI128" s="38"/>
      <c r="EJ128" s="38"/>
      <c r="EK128" s="38"/>
      <c r="EL128" s="38"/>
      <c r="EM128" s="38"/>
      <c r="EN128" s="38"/>
      <c r="EO128" s="38"/>
      <c r="EP128" s="38"/>
      <c r="EQ128" s="38"/>
      <c r="ER128" s="38"/>
      <c r="ES128" s="38"/>
      <c r="ET128" s="38"/>
      <c r="EU128" s="38"/>
      <c r="EV128" s="38"/>
      <c r="EW128" s="38"/>
      <c r="EX128" s="38"/>
      <c r="EY128" s="38"/>
      <c r="EZ128" s="38"/>
      <c r="FA128" s="38"/>
      <c r="FB128" s="38"/>
      <c r="FC128" s="38"/>
      <c r="FD128" s="38"/>
      <c r="FE128" s="38"/>
      <c r="FF128" s="38"/>
      <c r="FG128" s="38"/>
      <c r="FH128" s="38"/>
      <c r="FI128" s="38"/>
      <c r="FJ128" s="38"/>
      <c r="FK128" s="38"/>
      <c r="FL128" s="38"/>
      <c r="FM128" s="38"/>
      <c r="FN128" s="38"/>
      <c r="FO128" s="38"/>
      <c r="FP128" s="38"/>
      <c r="FQ128" s="38"/>
      <c r="FR128" s="38"/>
      <c r="FS128" s="38"/>
      <c r="FT128" s="38"/>
      <c r="FU128" s="38"/>
      <c r="FV128" s="38"/>
      <c r="FW128" s="38"/>
      <c r="FX128" s="38"/>
      <c r="FY128" s="38"/>
      <c r="FZ128" s="38"/>
      <c r="GA128" s="38"/>
      <c r="GB128" s="38"/>
      <c r="GC128" s="38"/>
      <c r="GD128" s="38"/>
      <c r="GE128" s="38"/>
      <c r="GF128" s="38"/>
      <c r="GG128" s="38"/>
      <c r="GH128" s="38"/>
      <c r="GI128" s="38"/>
      <c r="GJ128" s="38"/>
      <c r="GK128" s="38"/>
      <c r="GL128" s="38"/>
      <c r="GM128" s="38"/>
      <c r="GN128" s="38"/>
      <c r="GO128" s="38"/>
      <c r="GP128" s="38"/>
      <c r="GQ128" s="38"/>
      <c r="GR128" s="38"/>
      <c r="GS128" s="38"/>
      <c r="GT128" s="38"/>
      <c r="GU128" s="38"/>
      <c r="GV128" s="38"/>
      <c r="GW128" s="38"/>
      <c r="GX128" s="38"/>
      <c r="GY128" s="38"/>
      <c r="GZ128" s="38"/>
      <c r="HA128" s="38"/>
      <c r="HB128" s="38"/>
      <c r="HC128" s="38"/>
      <c r="HD128" s="38"/>
      <c r="HE128" s="38"/>
      <c r="HF128" s="38"/>
      <c r="HG128" s="38"/>
      <c r="HH128" s="38"/>
      <c r="HI128" s="38"/>
      <c r="HJ128" s="38"/>
      <c r="HK128" s="38"/>
      <c r="HL128" s="38"/>
      <c r="HM128" s="38"/>
      <c r="HN128" s="38"/>
      <c r="HO128" s="38"/>
      <c r="HP128" s="38"/>
      <c r="HQ128" s="38"/>
      <c r="HR128" s="38"/>
      <c r="HS128" s="38"/>
      <c r="HT128" s="38"/>
      <c r="HU128" s="38"/>
      <c r="HV128" s="38"/>
      <c r="HW128" s="38"/>
      <c r="HX128" s="38"/>
      <c r="HY128" s="38"/>
      <c r="HZ128" s="38"/>
      <c r="IA128" s="38"/>
      <c r="IB128" s="38"/>
      <c r="IC128" s="38"/>
      <c r="ID128" s="38"/>
      <c r="IE128" s="38"/>
      <c r="IF128" s="38"/>
      <c r="IG128" s="38"/>
      <c r="IH128" s="38"/>
      <c r="II128" s="38"/>
      <c r="IJ128" s="38"/>
      <c r="IK128" s="38"/>
      <c r="IL128" s="38"/>
      <c r="IM128" s="38"/>
      <c r="IN128" s="38"/>
      <c r="IO128" s="38"/>
      <c r="IP128" s="38"/>
      <c r="IQ128" s="38"/>
      <c r="IR128" s="38"/>
      <c r="IS128" s="38"/>
      <c r="IT128" s="38"/>
      <c r="IU128" s="38"/>
      <c r="IV128" s="38"/>
      <c r="IW128" s="38"/>
      <c r="IX128" s="38"/>
      <c r="IY128" s="38"/>
      <c r="IZ128" s="38"/>
      <c r="JA128" s="38"/>
      <c r="JB128" s="38"/>
      <c r="JC128" s="38"/>
      <c r="JD128" s="38"/>
      <c r="JE128" s="38"/>
      <c r="JF128" s="38"/>
      <c r="JG128" s="38"/>
      <c r="JH128" s="38"/>
      <c r="JI128" s="38"/>
      <c r="JJ128" s="38"/>
      <c r="JK128" s="38"/>
      <c r="JL128" s="38"/>
      <c r="JM128" s="38"/>
      <c r="JN128" s="38"/>
      <c r="JO128" s="38"/>
      <c r="JP128" s="38"/>
      <c r="JQ128" s="38"/>
      <c r="JR128" s="38"/>
      <c r="JS128" s="38"/>
      <c r="JT128" s="38"/>
      <c r="JU128" s="38"/>
      <c r="JV128" s="38"/>
      <c r="JW128" s="38"/>
      <c r="JX128" s="38"/>
      <c r="JY128" s="38"/>
      <c r="JZ128" s="38"/>
      <c r="KA128" s="38"/>
      <c r="KB128" s="38"/>
      <c r="KC128" s="38"/>
      <c r="KD128" s="38"/>
      <c r="KE128" s="38"/>
      <c r="KF128" s="38"/>
      <c r="KG128" s="38"/>
      <c r="KH128" s="38"/>
      <c r="KI128" s="38"/>
      <c r="KJ128" s="38"/>
      <c r="KK128" s="38"/>
      <c r="KL128" s="38"/>
      <c r="KM128" s="38"/>
      <c r="KN128" s="38"/>
      <c r="KO128" s="38"/>
      <c r="KP128" s="38"/>
      <c r="KQ128" s="38"/>
      <c r="KR128" s="38"/>
      <c r="KS128" s="38"/>
      <c r="KT128" s="38"/>
      <c r="KU128" s="38"/>
      <c r="KV128" s="38"/>
      <c r="KW128" s="38"/>
      <c r="KX128" s="38"/>
      <c r="KY128" s="38"/>
      <c r="KZ128" s="38"/>
      <c r="LA128" s="38"/>
      <c r="LB128" s="38"/>
      <c r="LC128" s="38"/>
      <c r="LD128" s="38"/>
      <c r="LE128" s="38"/>
      <c r="LF128" s="38"/>
      <c r="LG128" s="38"/>
      <c r="LH128" s="38"/>
      <c r="LI128" s="38"/>
      <c r="LJ128" s="38"/>
      <c r="LK128" s="38"/>
      <c r="LL128" s="38"/>
      <c r="LM128" s="38"/>
      <c r="LN128" s="38"/>
      <c r="LO128" s="38"/>
      <c r="LP128" s="38"/>
      <c r="LQ128" s="38"/>
      <c r="LR128" s="38"/>
      <c r="LS128" s="38"/>
      <c r="LT128" s="38"/>
      <c r="LU128" s="38"/>
      <c r="LV128" s="38"/>
      <c r="LW128" s="38"/>
      <c r="LX128" s="38"/>
      <c r="LY128" s="38"/>
      <c r="LZ128" s="38"/>
      <c r="MA128" s="38"/>
      <c r="MB128" s="38"/>
      <c r="MC128" s="38"/>
      <c r="MD128" s="38"/>
      <c r="ME128" s="38"/>
      <c r="MF128" s="38"/>
      <c r="MG128" s="38"/>
      <c r="MH128" s="38"/>
      <c r="MI128" s="38"/>
      <c r="MJ128" s="38"/>
      <c r="MK128" s="38"/>
      <c r="ML128" s="38"/>
      <c r="MM128" s="38"/>
      <c r="MN128" s="38"/>
      <c r="MO128" s="38"/>
      <c r="MP128" s="38"/>
      <c r="MQ128" s="38"/>
      <c r="MR128" s="38"/>
      <c r="MS128" s="38"/>
      <c r="MT128" s="38"/>
      <c r="MU128" s="38"/>
      <c r="MV128" s="38"/>
      <c r="MW128" s="38"/>
      <c r="MX128" s="38"/>
      <c r="MY128" s="38"/>
      <c r="MZ128" s="38"/>
      <c r="NA128" s="38"/>
      <c r="NB128" s="38"/>
      <c r="NC128" s="38"/>
      <c r="ND128" s="38"/>
      <c r="NE128" s="38"/>
      <c r="NF128" s="38"/>
      <c r="NG128" s="38"/>
      <c r="NH128" s="38"/>
      <c r="NI128" s="38"/>
      <c r="NJ128" s="38"/>
      <c r="NK128" s="38"/>
      <c r="NL128" s="38"/>
      <c r="NM128" s="38"/>
      <c r="NN128" s="38"/>
      <c r="NO128" s="38"/>
      <c r="NP128" s="38"/>
      <c r="NQ128" s="38"/>
      <c r="NR128" s="38"/>
      <c r="NS128" s="38"/>
      <c r="NT128" s="38"/>
      <c r="NU128" s="38"/>
      <c r="NV128" s="38"/>
      <c r="NW128" s="38"/>
      <c r="NX128" s="38"/>
      <c r="NY128" s="38"/>
      <c r="NZ128" s="38"/>
      <c r="OA128" s="38"/>
      <c r="OB128" s="38"/>
      <c r="OC128" s="38"/>
      <c r="OD128" s="38"/>
      <c r="OE128" s="38"/>
      <c r="OF128" s="38"/>
      <c r="OG128" s="38"/>
      <c r="OH128" s="38"/>
      <c r="OI128" s="38"/>
      <c r="OJ128" s="38"/>
      <c r="OK128" s="38"/>
      <c r="OL128" s="38"/>
      <c r="OM128" s="38"/>
      <c r="ON128" s="38"/>
      <c r="OO128" s="38"/>
      <c r="OP128" s="38"/>
      <c r="OQ128" s="38"/>
      <c r="OR128" s="38"/>
      <c r="OS128" s="38"/>
      <c r="OT128" s="38"/>
      <c r="OU128" s="38"/>
      <c r="OV128" s="38"/>
      <c r="OW128" s="38"/>
      <c r="OX128" s="38"/>
      <c r="OY128" s="38"/>
      <c r="OZ128" s="38"/>
      <c r="PA128" s="38"/>
      <c r="PB128" s="38"/>
      <c r="PC128" s="38"/>
      <c r="PD128" s="38"/>
      <c r="PE128" s="38"/>
      <c r="PF128" s="38"/>
      <c r="PG128" s="38"/>
      <c r="PH128" s="38"/>
      <c r="PI128" s="38"/>
      <c r="PJ128" s="38"/>
      <c r="PK128" s="38"/>
      <c r="PL128" s="38"/>
      <c r="PM128" s="38"/>
      <c r="PN128" s="38"/>
      <c r="PO128" s="38"/>
      <c r="PP128" s="38"/>
      <c r="PQ128" s="38"/>
      <c r="PR128" s="38"/>
      <c r="PS128" s="38"/>
      <c r="PT128" s="38"/>
      <c r="PU128" s="38"/>
      <c r="PV128" s="38"/>
      <c r="PW128" s="38"/>
      <c r="PX128" s="38"/>
      <c r="PY128" s="38"/>
      <c r="PZ128" s="38"/>
      <c r="QA128" s="38"/>
      <c r="QB128" s="38"/>
      <c r="QC128" s="38"/>
      <c r="QD128" s="38"/>
      <c r="QE128" s="38"/>
      <c r="QF128" s="38"/>
      <c r="QG128" s="38"/>
      <c r="QH128" s="38"/>
      <c r="QI128" s="38"/>
      <c r="QJ128" s="38"/>
      <c r="QK128" s="38"/>
      <c r="QL128" s="38"/>
      <c r="QM128" s="38"/>
      <c r="QN128" s="38"/>
      <c r="QO128" s="38"/>
      <c r="QP128" s="38"/>
      <c r="QQ128" s="38"/>
      <c r="QR128" s="38"/>
      <c r="QS128" s="38"/>
      <c r="QT128" s="38"/>
      <c r="QU128" s="38"/>
      <c r="QV128" s="38"/>
      <c r="QW128" s="38"/>
      <c r="QX128" s="38"/>
      <c r="QY128" s="38"/>
      <c r="QZ128" s="38"/>
      <c r="RA128" s="38"/>
      <c r="RB128" s="38"/>
      <c r="RC128" s="38"/>
      <c r="RD128" s="38"/>
      <c r="RE128" s="38"/>
      <c r="RF128" s="38"/>
      <c r="RG128" s="38"/>
      <c r="RH128" s="38"/>
      <c r="RI128" s="38"/>
      <c r="RJ128" s="38"/>
      <c r="RK128" s="38"/>
      <c r="RL128" s="38"/>
      <c r="RM128" s="38"/>
      <c r="RN128" s="38"/>
      <c r="RO128" s="38"/>
      <c r="RP128" s="38"/>
      <c r="RQ128" s="38"/>
      <c r="RR128" s="38"/>
      <c r="RS128" s="38"/>
      <c r="RT128" s="38"/>
      <c r="RU128" s="38"/>
      <c r="RV128" s="38"/>
      <c r="RW128" s="38"/>
      <c r="RX128" s="38"/>
      <c r="RY128" s="38"/>
      <c r="RZ128" s="38"/>
      <c r="SA128" s="38"/>
      <c r="SB128" s="38"/>
      <c r="SC128" s="38"/>
      <c r="SD128" s="38"/>
      <c r="SE128" s="38"/>
      <c r="SF128" s="38"/>
      <c r="SG128" s="38"/>
      <c r="SH128" s="38"/>
      <c r="SI128" s="38"/>
      <c r="SJ128" s="38"/>
      <c r="SK128" s="38"/>
      <c r="SL128" s="38"/>
      <c r="SM128" s="38"/>
      <c r="SN128" s="38"/>
      <c r="SO128" s="38"/>
      <c r="SP128" s="38"/>
      <c r="SQ128" s="38"/>
      <c r="SR128" s="38"/>
      <c r="SS128" s="38"/>
      <c r="ST128" s="38"/>
      <c r="SU128" s="38"/>
      <c r="SV128" s="38"/>
      <c r="SW128" s="38"/>
      <c r="SX128" s="38"/>
      <c r="SY128" s="38"/>
      <c r="SZ128" s="38"/>
      <c r="TA128" s="38"/>
      <c r="TB128" s="38"/>
      <c r="TC128" s="38"/>
      <c r="TD128" s="38"/>
      <c r="TE128" s="38"/>
      <c r="TF128" s="38"/>
      <c r="TG128" s="38"/>
      <c r="TH128" s="38"/>
      <c r="TI128" s="38"/>
      <c r="TJ128" s="38"/>
      <c r="TK128" s="38"/>
      <c r="TL128" s="38"/>
      <c r="TM128" s="38"/>
      <c r="TN128" s="38"/>
      <c r="TO128" s="38"/>
      <c r="TP128" s="38"/>
      <c r="TQ128" s="38"/>
      <c r="TR128" s="38"/>
      <c r="TS128" s="38"/>
      <c r="TT128" s="38"/>
      <c r="TU128" s="38"/>
      <c r="TV128" s="38"/>
      <c r="TW128" s="38"/>
      <c r="TX128" s="38"/>
      <c r="TY128" s="38"/>
      <c r="TZ128" s="38"/>
      <c r="UA128" s="38"/>
      <c r="UB128" s="38"/>
      <c r="UC128" s="38"/>
      <c r="UD128" s="38"/>
      <c r="UE128" s="38"/>
      <c r="UF128" s="38"/>
      <c r="UG128" s="38"/>
      <c r="UH128" s="38"/>
      <c r="UI128" s="38"/>
      <c r="UJ128" s="38"/>
      <c r="UK128" s="38"/>
      <c r="UL128" s="38"/>
      <c r="UM128" s="38"/>
      <c r="UN128" s="38"/>
      <c r="UO128" s="38"/>
      <c r="UP128" s="38"/>
      <c r="UQ128" s="38"/>
      <c r="UR128" s="38"/>
      <c r="US128" s="38"/>
      <c r="UT128" s="38"/>
      <c r="UU128" s="38"/>
      <c r="UV128" s="38"/>
      <c r="UW128" s="38"/>
      <c r="UX128" s="38"/>
      <c r="UY128" s="38"/>
      <c r="UZ128" s="38"/>
      <c r="VA128" s="38"/>
      <c r="VB128" s="38"/>
      <c r="VC128" s="38"/>
      <c r="VD128" s="38"/>
      <c r="VE128" s="38"/>
      <c r="VF128" s="38"/>
      <c r="VG128" s="38"/>
      <c r="VH128" s="38"/>
      <c r="VI128" s="38"/>
      <c r="VJ128" s="38"/>
      <c r="VK128" s="38"/>
      <c r="VL128" s="38"/>
      <c r="VM128" s="38"/>
      <c r="VN128" s="38"/>
      <c r="VO128" s="38"/>
      <c r="VP128" s="38"/>
      <c r="VQ128" s="38"/>
      <c r="VR128" s="38"/>
      <c r="VS128" s="38"/>
      <c r="VT128" s="38"/>
      <c r="VU128" s="38"/>
      <c r="VV128" s="38"/>
      <c r="VW128" s="38"/>
      <c r="VX128" s="38"/>
      <c r="VY128" s="38"/>
      <c r="VZ128" s="38"/>
      <c r="WA128" s="38"/>
      <c r="WB128" s="38"/>
      <c r="WC128" s="38"/>
      <c r="WD128" s="38"/>
      <c r="WE128" s="38"/>
      <c r="WF128" s="38"/>
      <c r="WG128" s="38"/>
      <c r="WH128" s="38"/>
      <c r="WI128" s="38"/>
      <c r="WJ128" s="38"/>
      <c r="WK128" s="38"/>
      <c r="WL128" s="38"/>
      <c r="WM128" s="38"/>
      <c r="WN128" s="38"/>
      <c r="WO128" s="38"/>
      <c r="WP128" s="38"/>
      <c r="WQ128" s="38"/>
      <c r="WR128" s="38"/>
      <c r="WS128" s="38"/>
      <c r="WT128" s="38"/>
      <c r="WU128" s="38"/>
      <c r="WV128" s="38"/>
      <c r="WW128" s="38"/>
      <c r="WX128" s="38"/>
      <c r="WY128" s="38"/>
      <c r="WZ128" s="38"/>
      <c r="XA128" s="38"/>
      <c r="XB128" s="38"/>
      <c r="XC128" s="38"/>
      <c r="XD128" s="38"/>
      <c r="XE128" s="38"/>
      <c r="XF128" s="38"/>
      <c r="XG128" s="38"/>
      <c r="XH128" s="38"/>
      <c r="XI128" s="38"/>
      <c r="XJ128" s="38"/>
      <c r="XK128" s="38"/>
      <c r="XL128" s="38"/>
      <c r="XM128" s="38"/>
      <c r="XN128" s="38"/>
      <c r="XO128" s="38"/>
      <c r="XP128" s="38"/>
      <c r="XQ128" s="38"/>
      <c r="XR128" s="38"/>
      <c r="XS128" s="38"/>
      <c r="XT128" s="38"/>
      <c r="XU128" s="38"/>
      <c r="XV128" s="38"/>
      <c r="XW128" s="38"/>
      <c r="XX128" s="38"/>
      <c r="XY128" s="38"/>
      <c r="XZ128" s="38"/>
      <c r="YA128" s="38"/>
      <c r="YB128" s="38"/>
      <c r="YC128" s="38"/>
      <c r="YD128" s="38"/>
      <c r="YE128" s="38"/>
      <c r="YF128" s="38"/>
      <c r="YG128" s="38"/>
      <c r="YH128" s="38"/>
      <c r="YI128" s="38"/>
      <c r="YJ128" s="38"/>
      <c r="YK128" s="38"/>
      <c r="YL128" s="38"/>
      <c r="YM128" s="38"/>
      <c r="YN128" s="38"/>
      <c r="YO128" s="38"/>
      <c r="YP128" s="38"/>
      <c r="YQ128" s="38"/>
      <c r="YR128" s="38"/>
      <c r="YS128" s="38"/>
      <c r="YT128" s="38"/>
      <c r="YU128" s="38"/>
      <c r="YV128" s="38"/>
      <c r="YW128" s="38"/>
      <c r="YX128" s="38"/>
      <c r="YY128" s="38"/>
      <c r="YZ128" s="38"/>
      <c r="ZA128" s="38"/>
      <c r="ZB128" s="38"/>
      <c r="ZC128" s="38"/>
      <c r="ZD128" s="38"/>
      <c r="ZE128" s="38"/>
      <c r="ZF128" s="38"/>
      <c r="ZG128" s="38"/>
      <c r="ZH128" s="38"/>
      <c r="ZI128" s="38"/>
      <c r="ZJ128" s="38"/>
      <c r="ZK128" s="38"/>
      <c r="ZL128" s="38"/>
      <c r="ZM128" s="38"/>
      <c r="ZN128" s="38"/>
      <c r="ZO128" s="38"/>
      <c r="ZP128" s="38"/>
      <c r="ZQ128" s="38"/>
      <c r="ZR128" s="38"/>
      <c r="ZS128" s="38"/>
      <c r="ZT128" s="38"/>
      <c r="ZU128" s="38"/>
      <c r="ZV128" s="38"/>
      <c r="ZW128" s="38"/>
      <c r="ZX128" s="38"/>
      <c r="ZY128" s="38"/>
      <c r="ZZ128" s="38"/>
      <c r="AAA128" s="38"/>
      <c r="AAB128" s="38"/>
      <c r="AAC128" s="38"/>
      <c r="AAD128" s="38"/>
      <c r="AAE128" s="38"/>
      <c r="AAF128" s="38"/>
      <c r="AAG128" s="38"/>
      <c r="AAH128" s="38"/>
      <c r="AAI128" s="38"/>
      <c r="AAJ128" s="38"/>
      <c r="AAK128" s="38"/>
      <c r="AAL128" s="38"/>
      <c r="AAM128" s="38"/>
      <c r="AAN128" s="38"/>
      <c r="AAO128" s="38"/>
      <c r="AAP128" s="38"/>
      <c r="AAQ128" s="38"/>
      <c r="AAR128" s="38"/>
      <c r="AAS128" s="38"/>
      <c r="AAT128" s="38"/>
      <c r="AAU128" s="38"/>
      <c r="AAV128" s="38"/>
      <c r="AAW128" s="38"/>
      <c r="AAX128" s="38"/>
      <c r="AAY128" s="38"/>
      <c r="AAZ128" s="38"/>
      <c r="ABA128" s="38"/>
      <c r="ABB128" s="38"/>
      <c r="ABC128" s="38"/>
      <c r="ABD128" s="38"/>
      <c r="ABE128" s="38"/>
      <c r="ABF128" s="38"/>
      <c r="ABG128" s="38"/>
      <c r="ABH128" s="38"/>
      <c r="ABI128" s="38"/>
      <c r="ABJ128" s="38"/>
      <c r="ABK128" s="38"/>
      <c r="ABL128" s="38"/>
      <c r="ABM128" s="38"/>
      <c r="ABN128" s="38"/>
      <c r="ABO128" s="38"/>
      <c r="ABP128" s="38"/>
      <c r="ABQ128" s="38"/>
      <c r="ABR128" s="38"/>
      <c r="ABS128" s="38"/>
      <c r="ABT128" s="38"/>
      <c r="ABU128" s="38"/>
      <c r="ABV128" s="38"/>
      <c r="ABW128" s="38"/>
      <c r="ABX128" s="38"/>
      <c r="ABY128" s="38"/>
      <c r="ABZ128" s="38"/>
      <c r="ACA128" s="38"/>
      <c r="ACB128" s="38"/>
      <c r="ACC128" s="38"/>
      <c r="ACD128" s="38"/>
      <c r="ACE128" s="38"/>
      <c r="ACF128" s="38"/>
      <c r="ACG128" s="38"/>
      <c r="ACH128" s="38"/>
      <c r="ACI128" s="38"/>
      <c r="ACJ128" s="38"/>
      <c r="ACK128" s="38"/>
      <c r="ACL128" s="38"/>
      <c r="ACM128" s="38"/>
      <c r="ACN128" s="38"/>
      <c r="ACO128" s="38"/>
      <c r="ACP128" s="38"/>
      <c r="ACQ128" s="38"/>
      <c r="ACR128" s="38"/>
      <c r="ACS128" s="38"/>
      <c r="ACT128" s="38"/>
      <c r="ACU128" s="38"/>
      <c r="ACV128" s="38"/>
      <c r="ACW128" s="38"/>
      <c r="ACX128" s="38"/>
      <c r="ACY128" s="38"/>
      <c r="ACZ128" s="38"/>
      <c r="ADA128" s="38"/>
      <c r="ADB128" s="38"/>
      <c r="ADC128" s="38"/>
      <c r="ADD128" s="38"/>
      <c r="ADE128" s="38"/>
      <c r="ADF128" s="38"/>
      <c r="ADG128" s="38"/>
      <c r="ADH128" s="38"/>
      <c r="ADI128" s="38"/>
      <c r="ADJ128" s="38"/>
      <c r="ADK128" s="38"/>
      <c r="ADL128" s="38"/>
      <c r="ADM128" s="38"/>
      <c r="ADN128" s="38"/>
      <c r="ADO128" s="38"/>
      <c r="ADP128" s="38"/>
      <c r="ADQ128" s="38"/>
      <c r="ADR128" s="38"/>
      <c r="ADS128" s="38"/>
      <c r="ADT128" s="38"/>
      <c r="ADU128" s="38"/>
      <c r="ADV128" s="38"/>
      <c r="ADW128" s="38"/>
      <c r="ADX128" s="38"/>
      <c r="ADY128" s="38"/>
      <c r="ADZ128" s="38"/>
      <c r="AEA128" s="38"/>
      <c r="AEB128" s="38"/>
      <c r="AEC128" s="38"/>
      <c r="AED128" s="38"/>
      <c r="AEE128" s="38"/>
      <c r="AEF128" s="38"/>
      <c r="AEG128" s="38"/>
      <c r="AEH128" s="38"/>
      <c r="AEI128" s="38"/>
      <c r="AEJ128" s="38"/>
      <c r="AEK128" s="38"/>
      <c r="AEL128" s="38"/>
      <c r="AEM128" s="38"/>
      <c r="AEN128" s="38"/>
      <c r="AEO128" s="38"/>
      <c r="AEP128" s="38"/>
      <c r="AEQ128" s="38"/>
      <c r="AER128" s="38"/>
      <c r="AES128" s="38"/>
      <c r="AET128" s="38"/>
      <c r="AEU128" s="38"/>
      <c r="AEV128" s="38"/>
      <c r="AEW128" s="38"/>
      <c r="AEX128" s="38"/>
      <c r="AEY128" s="38"/>
      <c r="AEZ128" s="38"/>
      <c r="AFA128" s="38"/>
      <c r="AFB128" s="38"/>
      <c r="AFC128" s="38"/>
      <c r="AFD128" s="38"/>
      <c r="AFE128" s="38"/>
      <c r="AFF128" s="38"/>
      <c r="AFG128" s="38"/>
      <c r="AFH128" s="38"/>
      <c r="AFI128" s="38"/>
      <c r="AFJ128" s="38"/>
      <c r="AFK128" s="38"/>
      <c r="AFL128" s="38"/>
      <c r="AFM128" s="38"/>
      <c r="AFN128" s="38"/>
      <c r="AFO128" s="38"/>
      <c r="AFP128" s="38"/>
      <c r="AFQ128" s="38"/>
      <c r="AFR128" s="38"/>
      <c r="AFS128" s="38"/>
      <c r="AFT128" s="38"/>
      <c r="AFU128" s="38"/>
      <c r="AFV128" s="38"/>
      <c r="AFW128" s="38"/>
      <c r="AFX128" s="38"/>
      <c r="AFY128" s="38"/>
      <c r="AFZ128" s="38"/>
      <c r="AGA128" s="38"/>
      <c r="AGB128" s="38"/>
      <c r="AGC128" s="38"/>
      <c r="AGD128" s="38"/>
      <c r="AGE128" s="38"/>
      <c r="AGF128" s="38"/>
      <c r="AGG128" s="38"/>
      <c r="AGH128" s="38"/>
      <c r="AGI128" s="38"/>
      <c r="AGJ128" s="38"/>
      <c r="AGK128" s="38"/>
      <c r="AGL128" s="38"/>
      <c r="AGM128" s="38"/>
      <c r="AGN128" s="38"/>
      <c r="AGO128" s="38"/>
      <c r="AGP128" s="38"/>
      <c r="AGQ128" s="38"/>
      <c r="AGR128" s="38"/>
      <c r="AGS128" s="38"/>
      <c r="AGT128" s="38"/>
      <c r="AGU128" s="38"/>
      <c r="AGV128" s="38"/>
      <c r="AGW128" s="38"/>
      <c r="AGX128" s="38"/>
      <c r="AGY128" s="38"/>
      <c r="AGZ128" s="38"/>
      <c r="AHA128" s="38"/>
      <c r="AHB128" s="38"/>
      <c r="AHC128" s="38"/>
      <c r="AHD128" s="38"/>
      <c r="AHE128" s="38"/>
      <c r="AHF128" s="38"/>
      <c r="AHG128" s="38"/>
      <c r="AHH128" s="38"/>
      <c r="AHI128" s="38"/>
      <c r="AHJ128" s="38"/>
      <c r="AHK128" s="38"/>
      <c r="AHL128" s="38"/>
      <c r="AHM128" s="38"/>
      <c r="AHN128" s="38"/>
      <c r="AHO128" s="38"/>
      <c r="AHP128" s="38"/>
      <c r="AHQ128" s="38"/>
      <c r="AHR128" s="38"/>
      <c r="AHS128" s="38"/>
      <c r="AHT128" s="38"/>
      <c r="AHU128" s="38"/>
      <c r="AHV128" s="38"/>
    </row>
    <row r="129" spans="1:906" s="27" customFormat="1" x14ac:dyDescent="0.35">
      <c r="A129" s="83">
        <v>124</v>
      </c>
      <c r="B129" s="108" t="s">
        <v>213</v>
      </c>
      <c r="C129" s="109" t="s">
        <v>214</v>
      </c>
      <c r="D129" s="109" t="s">
        <v>215</v>
      </c>
      <c r="E129" s="125">
        <v>9.75</v>
      </c>
      <c r="F129" s="125">
        <v>9.9499999999999993</v>
      </c>
      <c r="G129" s="125">
        <v>7.5</v>
      </c>
      <c r="H129" s="125">
        <v>9.25</v>
      </c>
      <c r="I129" s="37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  <c r="BN129" s="38"/>
      <c r="BO129" s="38"/>
      <c r="BP129" s="38"/>
      <c r="BQ129" s="38"/>
      <c r="BR129" s="38"/>
      <c r="BS129" s="38"/>
      <c r="BT129" s="38"/>
      <c r="BU129" s="38"/>
      <c r="BV129" s="38"/>
      <c r="BW129" s="38"/>
      <c r="BX129" s="38"/>
      <c r="BY129" s="38"/>
      <c r="BZ129" s="38"/>
      <c r="CA129" s="38"/>
      <c r="CB129" s="38"/>
      <c r="CC129" s="38"/>
      <c r="CD129" s="38"/>
      <c r="CE129" s="38"/>
      <c r="CF129" s="38"/>
      <c r="CG129" s="38"/>
      <c r="CH129" s="38"/>
      <c r="CI129" s="38"/>
      <c r="CJ129" s="38"/>
      <c r="CK129" s="38"/>
      <c r="CL129" s="38"/>
      <c r="CM129" s="38"/>
      <c r="CN129" s="38"/>
      <c r="CO129" s="38"/>
      <c r="CP129" s="38"/>
      <c r="CQ129" s="38"/>
      <c r="CR129" s="38"/>
      <c r="CS129" s="38"/>
      <c r="CT129" s="38"/>
      <c r="CU129" s="38"/>
      <c r="CV129" s="38"/>
      <c r="CW129" s="38"/>
      <c r="CX129" s="38"/>
      <c r="CY129" s="38"/>
      <c r="CZ129" s="38"/>
      <c r="DA129" s="38"/>
      <c r="DB129" s="38"/>
      <c r="DC129" s="38"/>
      <c r="DD129" s="38"/>
      <c r="DE129" s="38"/>
      <c r="DF129" s="38"/>
      <c r="DG129" s="38"/>
      <c r="DH129" s="38"/>
      <c r="DI129" s="38"/>
      <c r="DJ129" s="38"/>
      <c r="DK129" s="38"/>
      <c r="DL129" s="38"/>
      <c r="DM129" s="38"/>
      <c r="DN129" s="38"/>
      <c r="DO129" s="38"/>
      <c r="DP129" s="38"/>
      <c r="DQ129" s="38"/>
      <c r="DR129" s="38"/>
      <c r="DS129" s="38"/>
      <c r="DT129" s="38"/>
      <c r="DU129" s="38"/>
      <c r="DV129" s="38"/>
      <c r="DW129" s="38"/>
      <c r="DX129" s="38"/>
      <c r="DY129" s="38"/>
      <c r="DZ129" s="38"/>
      <c r="EA129" s="38"/>
      <c r="EB129" s="38"/>
      <c r="EC129" s="38"/>
      <c r="ED129" s="38"/>
      <c r="EE129" s="38"/>
      <c r="EF129" s="38"/>
      <c r="EG129" s="38"/>
      <c r="EH129" s="38"/>
      <c r="EI129" s="38"/>
      <c r="EJ129" s="38"/>
      <c r="EK129" s="38"/>
      <c r="EL129" s="38"/>
      <c r="EM129" s="38"/>
      <c r="EN129" s="38"/>
      <c r="EO129" s="38"/>
      <c r="EP129" s="38"/>
      <c r="EQ129" s="38"/>
      <c r="ER129" s="38"/>
      <c r="ES129" s="38"/>
      <c r="ET129" s="38"/>
      <c r="EU129" s="38"/>
      <c r="EV129" s="38"/>
      <c r="EW129" s="38"/>
      <c r="EX129" s="38"/>
      <c r="EY129" s="38"/>
      <c r="EZ129" s="38"/>
      <c r="FA129" s="38"/>
      <c r="FB129" s="38"/>
      <c r="FC129" s="38"/>
      <c r="FD129" s="38"/>
      <c r="FE129" s="38"/>
      <c r="FF129" s="38"/>
      <c r="FG129" s="38"/>
      <c r="FH129" s="38"/>
      <c r="FI129" s="38"/>
      <c r="FJ129" s="38"/>
      <c r="FK129" s="38"/>
      <c r="FL129" s="38"/>
      <c r="FM129" s="38"/>
      <c r="FN129" s="38"/>
      <c r="FO129" s="38"/>
      <c r="FP129" s="38"/>
      <c r="FQ129" s="38"/>
      <c r="FR129" s="38"/>
      <c r="FS129" s="38"/>
      <c r="FT129" s="38"/>
      <c r="FU129" s="38"/>
      <c r="FV129" s="38"/>
      <c r="FW129" s="38"/>
      <c r="FX129" s="38"/>
      <c r="FY129" s="38"/>
      <c r="FZ129" s="38"/>
      <c r="GA129" s="38"/>
      <c r="GB129" s="38"/>
      <c r="GC129" s="38"/>
      <c r="GD129" s="38"/>
      <c r="GE129" s="38"/>
      <c r="GF129" s="38"/>
      <c r="GG129" s="38"/>
      <c r="GH129" s="38"/>
      <c r="GI129" s="38"/>
      <c r="GJ129" s="38"/>
      <c r="GK129" s="38"/>
      <c r="GL129" s="38"/>
      <c r="GM129" s="38"/>
      <c r="GN129" s="38"/>
      <c r="GO129" s="38"/>
      <c r="GP129" s="38"/>
      <c r="GQ129" s="38"/>
      <c r="GR129" s="38"/>
      <c r="GS129" s="38"/>
      <c r="GT129" s="38"/>
      <c r="GU129" s="38"/>
      <c r="GV129" s="38"/>
      <c r="GW129" s="38"/>
      <c r="GX129" s="38"/>
      <c r="GY129" s="38"/>
      <c r="GZ129" s="38"/>
      <c r="HA129" s="38"/>
      <c r="HB129" s="38"/>
      <c r="HC129" s="38"/>
      <c r="HD129" s="38"/>
      <c r="HE129" s="38"/>
      <c r="HF129" s="38"/>
      <c r="HG129" s="38"/>
      <c r="HH129" s="38"/>
      <c r="HI129" s="38"/>
      <c r="HJ129" s="38"/>
      <c r="HK129" s="38"/>
      <c r="HL129" s="38"/>
      <c r="HM129" s="38"/>
      <c r="HN129" s="38"/>
      <c r="HO129" s="38"/>
      <c r="HP129" s="38"/>
      <c r="HQ129" s="38"/>
      <c r="HR129" s="38"/>
      <c r="HS129" s="38"/>
      <c r="HT129" s="38"/>
      <c r="HU129" s="38"/>
      <c r="HV129" s="38"/>
      <c r="HW129" s="38"/>
      <c r="HX129" s="38"/>
      <c r="HY129" s="38"/>
      <c r="HZ129" s="38"/>
      <c r="IA129" s="38"/>
      <c r="IB129" s="38"/>
      <c r="IC129" s="38"/>
      <c r="ID129" s="38"/>
      <c r="IE129" s="38"/>
      <c r="IF129" s="38"/>
      <c r="IG129" s="38"/>
      <c r="IH129" s="38"/>
      <c r="II129" s="38"/>
      <c r="IJ129" s="38"/>
      <c r="IK129" s="38"/>
      <c r="IL129" s="38"/>
      <c r="IM129" s="38"/>
      <c r="IN129" s="38"/>
      <c r="IO129" s="38"/>
      <c r="IP129" s="38"/>
      <c r="IQ129" s="38"/>
      <c r="IR129" s="38"/>
      <c r="IS129" s="38"/>
      <c r="IT129" s="38"/>
      <c r="IU129" s="38"/>
      <c r="IV129" s="38"/>
      <c r="IW129" s="38"/>
      <c r="IX129" s="38"/>
      <c r="IY129" s="38"/>
      <c r="IZ129" s="38"/>
      <c r="JA129" s="38"/>
      <c r="JB129" s="38"/>
      <c r="JC129" s="38"/>
      <c r="JD129" s="38"/>
      <c r="JE129" s="38"/>
      <c r="JF129" s="38"/>
      <c r="JG129" s="38"/>
      <c r="JH129" s="38"/>
      <c r="JI129" s="38"/>
      <c r="JJ129" s="38"/>
      <c r="JK129" s="38"/>
      <c r="JL129" s="38"/>
      <c r="JM129" s="38"/>
      <c r="JN129" s="38"/>
      <c r="JO129" s="38"/>
      <c r="JP129" s="38"/>
      <c r="JQ129" s="38"/>
      <c r="JR129" s="38"/>
      <c r="JS129" s="38"/>
      <c r="JT129" s="38"/>
      <c r="JU129" s="38"/>
      <c r="JV129" s="38"/>
      <c r="JW129" s="38"/>
      <c r="JX129" s="38"/>
      <c r="JY129" s="38"/>
      <c r="JZ129" s="38"/>
      <c r="KA129" s="38"/>
      <c r="KB129" s="38"/>
      <c r="KC129" s="38"/>
      <c r="KD129" s="38"/>
      <c r="KE129" s="38"/>
      <c r="KF129" s="38"/>
      <c r="KG129" s="38"/>
      <c r="KH129" s="38"/>
      <c r="KI129" s="38"/>
      <c r="KJ129" s="38"/>
      <c r="KK129" s="38"/>
      <c r="KL129" s="38"/>
      <c r="KM129" s="38"/>
      <c r="KN129" s="38"/>
      <c r="KO129" s="38"/>
      <c r="KP129" s="38"/>
      <c r="KQ129" s="38"/>
      <c r="KR129" s="38"/>
      <c r="KS129" s="38"/>
      <c r="KT129" s="38"/>
      <c r="KU129" s="38"/>
      <c r="KV129" s="38"/>
      <c r="KW129" s="38"/>
      <c r="KX129" s="38"/>
      <c r="KY129" s="38"/>
      <c r="KZ129" s="38"/>
      <c r="LA129" s="38"/>
      <c r="LB129" s="38"/>
      <c r="LC129" s="38"/>
      <c r="LD129" s="38"/>
      <c r="LE129" s="38"/>
      <c r="LF129" s="38"/>
      <c r="LG129" s="38"/>
      <c r="LH129" s="38"/>
      <c r="LI129" s="38"/>
      <c r="LJ129" s="38"/>
      <c r="LK129" s="38"/>
      <c r="LL129" s="38"/>
      <c r="LM129" s="38"/>
      <c r="LN129" s="38"/>
      <c r="LO129" s="38"/>
      <c r="LP129" s="38"/>
      <c r="LQ129" s="38"/>
      <c r="LR129" s="38"/>
      <c r="LS129" s="38"/>
      <c r="LT129" s="38"/>
      <c r="LU129" s="38"/>
      <c r="LV129" s="38"/>
      <c r="LW129" s="38"/>
      <c r="LX129" s="38"/>
      <c r="LY129" s="38"/>
      <c r="LZ129" s="38"/>
      <c r="MA129" s="38"/>
      <c r="MB129" s="38"/>
      <c r="MC129" s="38"/>
      <c r="MD129" s="38"/>
      <c r="ME129" s="38"/>
      <c r="MF129" s="38"/>
      <c r="MG129" s="38"/>
      <c r="MH129" s="38"/>
      <c r="MI129" s="38"/>
      <c r="MJ129" s="38"/>
      <c r="MK129" s="38"/>
      <c r="ML129" s="38"/>
      <c r="MM129" s="38"/>
      <c r="MN129" s="38"/>
      <c r="MO129" s="38"/>
      <c r="MP129" s="38"/>
      <c r="MQ129" s="38"/>
      <c r="MR129" s="38"/>
      <c r="MS129" s="38"/>
      <c r="MT129" s="38"/>
      <c r="MU129" s="38"/>
      <c r="MV129" s="38"/>
      <c r="MW129" s="38"/>
      <c r="MX129" s="38"/>
      <c r="MY129" s="38"/>
      <c r="MZ129" s="38"/>
      <c r="NA129" s="38"/>
      <c r="NB129" s="38"/>
      <c r="NC129" s="38"/>
      <c r="ND129" s="38"/>
      <c r="NE129" s="38"/>
      <c r="NF129" s="38"/>
      <c r="NG129" s="38"/>
      <c r="NH129" s="38"/>
      <c r="NI129" s="38"/>
      <c r="NJ129" s="38"/>
      <c r="NK129" s="38"/>
      <c r="NL129" s="38"/>
      <c r="NM129" s="38"/>
      <c r="NN129" s="38"/>
      <c r="NO129" s="38"/>
      <c r="NP129" s="38"/>
      <c r="NQ129" s="38"/>
      <c r="NR129" s="38"/>
      <c r="NS129" s="38"/>
      <c r="NT129" s="38"/>
      <c r="NU129" s="38"/>
      <c r="NV129" s="38"/>
      <c r="NW129" s="38"/>
      <c r="NX129" s="38"/>
      <c r="NY129" s="38"/>
      <c r="NZ129" s="38"/>
      <c r="OA129" s="38"/>
      <c r="OB129" s="38"/>
      <c r="OC129" s="38"/>
      <c r="OD129" s="38"/>
      <c r="OE129" s="38"/>
      <c r="OF129" s="38"/>
      <c r="OG129" s="38"/>
      <c r="OH129" s="38"/>
      <c r="OI129" s="38"/>
      <c r="OJ129" s="38"/>
      <c r="OK129" s="38"/>
      <c r="OL129" s="38"/>
      <c r="OM129" s="38"/>
      <c r="ON129" s="38"/>
      <c r="OO129" s="38"/>
      <c r="OP129" s="38"/>
      <c r="OQ129" s="38"/>
      <c r="OR129" s="38"/>
      <c r="OS129" s="38"/>
      <c r="OT129" s="38"/>
      <c r="OU129" s="38"/>
      <c r="OV129" s="38"/>
      <c r="OW129" s="38"/>
      <c r="OX129" s="38"/>
      <c r="OY129" s="38"/>
      <c r="OZ129" s="38"/>
      <c r="PA129" s="38"/>
      <c r="PB129" s="38"/>
      <c r="PC129" s="38"/>
      <c r="PD129" s="38"/>
      <c r="PE129" s="38"/>
      <c r="PF129" s="38"/>
      <c r="PG129" s="38"/>
      <c r="PH129" s="38"/>
      <c r="PI129" s="38"/>
      <c r="PJ129" s="38"/>
      <c r="PK129" s="38"/>
      <c r="PL129" s="38"/>
      <c r="PM129" s="38"/>
      <c r="PN129" s="38"/>
      <c r="PO129" s="38"/>
      <c r="PP129" s="38"/>
      <c r="PQ129" s="38"/>
      <c r="PR129" s="38"/>
      <c r="PS129" s="38"/>
      <c r="PT129" s="38"/>
      <c r="PU129" s="38"/>
      <c r="PV129" s="38"/>
      <c r="PW129" s="38"/>
      <c r="PX129" s="38"/>
      <c r="PY129" s="38"/>
      <c r="PZ129" s="38"/>
      <c r="QA129" s="38"/>
      <c r="QB129" s="38"/>
      <c r="QC129" s="38"/>
      <c r="QD129" s="38"/>
      <c r="QE129" s="38"/>
      <c r="QF129" s="38"/>
      <c r="QG129" s="38"/>
      <c r="QH129" s="38"/>
      <c r="QI129" s="38"/>
      <c r="QJ129" s="38"/>
      <c r="QK129" s="38"/>
      <c r="QL129" s="38"/>
      <c r="QM129" s="38"/>
      <c r="QN129" s="38"/>
      <c r="QO129" s="38"/>
      <c r="QP129" s="38"/>
      <c r="QQ129" s="38"/>
      <c r="QR129" s="38"/>
      <c r="QS129" s="38"/>
      <c r="QT129" s="38"/>
      <c r="QU129" s="38"/>
      <c r="QV129" s="38"/>
      <c r="QW129" s="38"/>
      <c r="QX129" s="38"/>
      <c r="QY129" s="38"/>
      <c r="QZ129" s="38"/>
      <c r="RA129" s="38"/>
      <c r="RB129" s="38"/>
      <c r="RC129" s="38"/>
      <c r="RD129" s="38"/>
      <c r="RE129" s="38"/>
      <c r="RF129" s="38"/>
      <c r="RG129" s="38"/>
      <c r="RH129" s="38"/>
      <c r="RI129" s="38"/>
      <c r="RJ129" s="38"/>
      <c r="RK129" s="38"/>
      <c r="RL129" s="38"/>
      <c r="RM129" s="38"/>
      <c r="RN129" s="38"/>
      <c r="RO129" s="38"/>
      <c r="RP129" s="38"/>
      <c r="RQ129" s="38"/>
      <c r="RR129" s="38"/>
      <c r="RS129" s="38"/>
      <c r="RT129" s="38"/>
      <c r="RU129" s="38"/>
      <c r="RV129" s="38"/>
      <c r="RW129" s="38"/>
      <c r="RX129" s="38"/>
      <c r="RY129" s="38"/>
      <c r="RZ129" s="38"/>
      <c r="SA129" s="38"/>
      <c r="SB129" s="38"/>
      <c r="SC129" s="38"/>
      <c r="SD129" s="38"/>
      <c r="SE129" s="38"/>
      <c r="SF129" s="38"/>
      <c r="SG129" s="38"/>
      <c r="SH129" s="38"/>
      <c r="SI129" s="38"/>
      <c r="SJ129" s="38"/>
      <c r="SK129" s="38"/>
      <c r="SL129" s="38"/>
      <c r="SM129" s="38"/>
      <c r="SN129" s="38"/>
      <c r="SO129" s="38"/>
      <c r="SP129" s="38"/>
      <c r="SQ129" s="38"/>
      <c r="SR129" s="38"/>
      <c r="SS129" s="38"/>
      <c r="ST129" s="38"/>
      <c r="SU129" s="38"/>
      <c r="SV129" s="38"/>
      <c r="SW129" s="38"/>
      <c r="SX129" s="38"/>
      <c r="SY129" s="38"/>
      <c r="SZ129" s="38"/>
      <c r="TA129" s="38"/>
      <c r="TB129" s="38"/>
      <c r="TC129" s="38"/>
      <c r="TD129" s="38"/>
      <c r="TE129" s="38"/>
      <c r="TF129" s="38"/>
      <c r="TG129" s="38"/>
      <c r="TH129" s="38"/>
      <c r="TI129" s="38"/>
      <c r="TJ129" s="38"/>
      <c r="TK129" s="38"/>
      <c r="TL129" s="38"/>
      <c r="TM129" s="38"/>
      <c r="TN129" s="38"/>
      <c r="TO129" s="38"/>
      <c r="TP129" s="38"/>
      <c r="TQ129" s="38"/>
      <c r="TR129" s="38"/>
      <c r="TS129" s="38"/>
      <c r="TT129" s="38"/>
      <c r="TU129" s="38"/>
      <c r="TV129" s="38"/>
      <c r="TW129" s="38"/>
      <c r="TX129" s="38"/>
      <c r="TY129" s="38"/>
      <c r="TZ129" s="38"/>
      <c r="UA129" s="38"/>
      <c r="UB129" s="38"/>
      <c r="UC129" s="38"/>
      <c r="UD129" s="38"/>
      <c r="UE129" s="38"/>
      <c r="UF129" s="38"/>
      <c r="UG129" s="38"/>
      <c r="UH129" s="38"/>
      <c r="UI129" s="38"/>
      <c r="UJ129" s="38"/>
      <c r="UK129" s="38"/>
      <c r="UL129" s="38"/>
      <c r="UM129" s="38"/>
      <c r="UN129" s="38"/>
      <c r="UO129" s="38"/>
      <c r="UP129" s="38"/>
      <c r="UQ129" s="38"/>
      <c r="UR129" s="38"/>
      <c r="US129" s="38"/>
      <c r="UT129" s="38"/>
      <c r="UU129" s="38"/>
      <c r="UV129" s="38"/>
      <c r="UW129" s="38"/>
      <c r="UX129" s="38"/>
      <c r="UY129" s="38"/>
      <c r="UZ129" s="38"/>
      <c r="VA129" s="38"/>
      <c r="VB129" s="38"/>
      <c r="VC129" s="38"/>
      <c r="VD129" s="38"/>
      <c r="VE129" s="38"/>
      <c r="VF129" s="38"/>
      <c r="VG129" s="38"/>
      <c r="VH129" s="38"/>
      <c r="VI129" s="38"/>
      <c r="VJ129" s="38"/>
      <c r="VK129" s="38"/>
      <c r="VL129" s="38"/>
      <c r="VM129" s="38"/>
      <c r="VN129" s="38"/>
      <c r="VO129" s="38"/>
      <c r="VP129" s="38"/>
      <c r="VQ129" s="38"/>
      <c r="VR129" s="38"/>
      <c r="VS129" s="38"/>
      <c r="VT129" s="38"/>
      <c r="VU129" s="38"/>
      <c r="VV129" s="38"/>
      <c r="VW129" s="38"/>
      <c r="VX129" s="38"/>
      <c r="VY129" s="38"/>
      <c r="VZ129" s="38"/>
      <c r="WA129" s="38"/>
      <c r="WB129" s="38"/>
      <c r="WC129" s="38"/>
      <c r="WD129" s="38"/>
      <c r="WE129" s="38"/>
      <c r="WF129" s="38"/>
      <c r="WG129" s="38"/>
      <c r="WH129" s="38"/>
      <c r="WI129" s="38"/>
      <c r="WJ129" s="38"/>
      <c r="WK129" s="38"/>
      <c r="WL129" s="38"/>
      <c r="WM129" s="38"/>
      <c r="WN129" s="38"/>
      <c r="WO129" s="38"/>
      <c r="WP129" s="38"/>
      <c r="WQ129" s="38"/>
      <c r="WR129" s="38"/>
      <c r="WS129" s="38"/>
      <c r="WT129" s="38"/>
      <c r="WU129" s="38"/>
      <c r="WV129" s="38"/>
      <c r="WW129" s="38"/>
      <c r="WX129" s="38"/>
      <c r="WY129" s="38"/>
      <c r="WZ129" s="38"/>
      <c r="XA129" s="38"/>
      <c r="XB129" s="38"/>
      <c r="XC129" s="38"/>
      <c r="XD129" s="38"/>
      <c r="XE129" s="38"/>
      <c r="XF129" s="38"/>
      <c r="XG129" s="38"/>
      <c r="XH129" s="38"/>
      <c r="XI129" s="38"/>
      <c r="XJ129" s="38"/>
      <c r="XK129" s="38"/>
      <c r="XL129" s="38"/>
      <c r="XM129" s="38"/>
      <c r="XN129" s="38"/>
      <c r="XO129" s="38"/>
      <c r="XP129" s="38"/>
      <c r="XQ129" s="38"/>
      <c r="XR129" s="38"/>
      <c r="XS129" s="38"/>
      <c r="XT129" s="38"/>
      <c r="XU129" s="38"/>
      <c r="XV129" s="38"/>
      <c r="XW129" s="38"/>
      <c r="XX129" s="38"/>
      <c r="XY129" s="38"/>
      <c r="XZ129" s="38"/>
      <c r="YA129" s="38"/>
      <c r="YB129" s="38"/>
      <c r="YC129" s="38"/>
      <c r="YD129" s="38"/>
      <c r="YE129" s="38"/>
      <c r="YF129" s="38"/>
      <c r="YG129" s="38"/>
      <c r="YH129" s="38"/>
      <c r="YI129" s="38"/>
      <c r="YJ129" s="38"/>
      <c r="YK129" s="38"/>
      <c r="YL129" s="38"/>
      <c r="YM129" s="38"/>
      <c r="YN129" s="38"/>
      <c r="YO129" s="38"/>
      <c r="YP129" s="38"/>
      <c r="YQ129" s="38"/>
      <c r="YR129" s="38"/>
      <c r="YS129" s="38"/>
      <c r="YT129" s="38"/>
      <c r="YU129" s="38"/>
      <c r="YV129" s="38"/>
      <c r="YW129" s="38"/>
      <c r="YX129" s="38"/>
      <c r="YY129" s="38"/>
      <c r="YZ129" s="38"/>
      <c r="ZA129" s="38"/>
      <c r="ZB129" s="38"/>
      <c r="ZC129" s="38"/>
      <c r="ZD129" s="38"/>
      <c r="ZE129" s="38"/>
      <c r="ZF129" s="38"/>
      <c r="ZG129" s="38"/>
      <c r="ZH129" s="38"/>
      <c r="ZI129" s="38"/>
      <c r="ZJ129" s="38"/>
      <c r="ZK129" s="38"/>
      <c r="ZL129" s="38"/>
      <c r="ZM129" s="38"/>
      <c r="ZN129" s="38"/>
      <c r="ZO129" s="38"/>
      <c r="ZP129" s="38"/>
      <c r="ZQ129" s="38"/>
      <c r="ZR129" s="38"/>
      <c r="ZS129" s="38"/>
      <c r="ZT129" s="38"/>
      <c r="ZU129" s="38"/>
      <c r="ZV129" s="38"/>
      <c r="ZW129" s="38"/>
      <c r="ZX129" s="38"/>
      <c r="ZY129" s="38"/>
      <c r="ZZ129" s="38"/>
      <c r="AAA129" s="38"/>
      <c r="AAB129" s="38"/>
      <c r="AAC129" s="38"/>
      <c r="AAD129" s="38"/>
      <c r="AAE129" s="38"/>
      <c r="AAF129" s="38"/>
      <c r="AAG129" s="38"/>
      <c r="AAH129" s="38"/>
      <c r="AAI129" s="38"/>
      <c r="AAJ129" s="38"/>
      <c r="AAK129" s="38"/>
      <c r="AAL129" s="38"/>
      <c r="AAM129" s="38"/>
      <c r="AAN129" s="38"/>
      <c r="AAO129" s="38"/>
      <c r="AAP129" s="38"/>
      <c r="AAQ129" s="38"/>
      <c r="AAR129" s="38"/>
      <c r="AAS129" s="38"/>
      <c r="AAT129" s="38"/>
      <c r="AAU129" s="38"/>
      <c r="AAV129" s="38"/>
      <c r="AAW129" s="38"/>
      <c r="AAX129" s="38"/>
      <c r="AAY129" s="38"/>
      <c r="AAZ129" s="38"/>
      <c r="ABA129" s="38"/>
      <c r="ABB129" s="38"/>
      <c r="ABC129" s="38"/>
      <c r="ABD129" s="38"/>
      <c r="ABE129" s="38"/>
      <c r="ABF129" s="38"/>
      <c r="ABG129" s="38"/>
      <c r="ABH129" s="38"/>
      <c r="ABI129" s="38"/>
      <c r="ABJ129" s="38"/>
      <c r="ABK129" s="38"/>
      <c r="ABL129" s="38"/>
      <c r="ABM129" s="38"/>
      <c r="ABN129" s="38"/>
      <c r="ABO129" s="38"/>
      <c r="ABP129" s="38"/>
      <c r="ABQ129" s="38"/>
      <c r="ABR129" s="38"/>
      <c r="ABS129" s="38"/>
      <c r="ABT129" s="38"/>
      <c r="ABU129" s="38"/>
      <c r="ABV129" s="38"/>
      <c r="ABW129" s="38"/>
      <c r="ABX129" s="38"/>
      <c r="ABY129" s="38"/>
      <c r="ABZ129" s="38"/>
      <c r="ACA129" s="38"/>
      <c r="ACB129" s="38"/>
      <c r="ACC129" s="38"/>
      <c r="ACD129" s="38"/>
      <c r="ACE129" s="38"/>
      <c r="ACF129" s="38"/>
      <c r="ACG129" s="38"/>
      <c r="ACH129" s="38"/>
      <c r="ACI129" s="38"/>
      <c r="ACJ129" s="38"/>
      <c r="ACK129" s="38"/>
      <c r="ACL129" s="38"/>
      <c r="ACM129" s="38"/>
      <c r="ACN129" s="38"/>
      <c r="ACO129" s="38"/>
      <c r="ACP129" s="38"/>
      <c r="ACQ129" s="38"/>
      <c r="ACR129" s="38"/>
      <c r="ACS129" s="38"/>
      <c r="ACT129" s="38"/>
      <c r="ACU129" s="38"/>
      <c r="ACV129" s="38"/>
      <c r="ACW129" s="38"/>
      <c r="ACX129" s="38"/>
      <c r="ACY129" s="38"/>
      <c r="ACZ129" s="38"/>
      <c r="ADA129" s="38"/>
      <c r="ADB129" s="38"/>
      <c r="ADC129" s="38"/>
      <c r="ADD129" s="38"/>
      <c r="ADE129" s="38"/>
      <c r="ADF129" s="38"/>
      <c r="ADG129" s="38"/>
      <c r="ADH129" s="38"/>
      <c r="ADI129" s="38"/>
      <c r="ADJ129" s="38"/>
      <c r="ADK129" s="38"/>
      <c r="ADL129" s="38"/>
      <c r="ADM129" s="38"/>
      <c r="ADN129" s="38"/>
      <c r="ADO129" s="38"/>
      <c r="ADP129" s="38"/>
      <c r="ADQ129" s="38"/>
      <c r="ADR129" s="38"/>
      <c r="ADS129" s="38"/>
      <c r="ADT129" s="38"/>
      <c r="ADU129" s="38"/>
      <c r="ADV129" s="38"/>
      <c r="ADW129" s="38"/>
      <c r="ADX129" s="38"/>
      <c r="ADY129" s="38"/>
      <c r="ADZ129" s="38"/>
      <c r="AEA129" s="38"/>
      <c r="AEB129" s="38"/>
      <c r="AEC129" s="38"/>
      <c r="AED129" s="38"/>
      <c r="AEE129" s="38"/>
      <c r="AEF129" s="38"/>
      <c r="AEG129" s="38"/>
      <c r="AEH129" s="38"/>
      <c r="AEI129" s="38"/>
      <c r="AEJ129" s="38"/>
      <c r="AEK129" s="38"/>
      <c r="AEL129" s="38"/>
      <c r="AEM129" s="38"/>
      <c r="AEN129" s="38"/>
      <c r="AEO129" s="38"/>
      <c r="AEP129" s="38"/>
      <c r="AEQ129" s="38"/>
      <c r="AER129" s="38"/>
      <c r="AES129" s="38"/>
      <c r="AET129" s="38"/>
      <c r="AEU129" s="38"/>
      <c r="AEV129" s="38"/>
      <c r="AEW129" s="38"/>
      <c r="AEX129" s="38"/>
      <c r="AEY129" s="38"/>
      <c r="AEZ129" s="38"/>
      <c r="AFA129" s="38"/>
      <c r="AFB129" s="38"/>
      <c r="AFC129" s="38"/>
      <c r="AFD129" s="38"/>
      <c r="AFE129" s="38"/>
      <c r="AFF129" s="38"/>
      <c r="AFG129" s="38"/>
      <c r="AFH129" s="38"/>
      <c r="AFI129" s="38"/>
      <c r="AFJ129" s="38"/>
      <c r="AFK129" s="38"/>
      <c r="AFL129" s="38"/>
      <c r="AFM129" s="38"/>
      <c r="AFN129" s="38"/>
      <c r="AFO129" s="38"/>
      <c r="AFP129" s="38"/>
      <c r="AFQ129" s="38"/>
      <c r="AFR129" s="38"/>
      <c r="AFS129" s="38"/>
      <c r="AFT129" s="38"/>
      <c r="AFU129" s="38"/>
      <c r="AFV129" s="38"/>
      <c r="AFW129" s="38"/>
      <c r="AFX129" s="38"/>
      <c r="AFY129" s="38"/>
      <c r="AFZ129" s="38"/>
      <c r="AGA129" s="38"/>
      <c r="AGB129" s="38"/>
      <c r="AGC129" s="38"/>
      <c r="AGD129" s="38"/>
      <c r="AGE129" s="38"/>
      <c r="AGF129" s="38"/>
      <c r="AGG129" s="38"/>
      <c r="AGH129" s="38"/>
      <c r="AGI129" s="38"/>
      <c r="AGJ129" s="38"/>
      <c r="AGK129" s="38"/>
      <c r="AGL129" s="38"/>
      <c r="AGM129" s="38"/>
      <c r="AGN129" s="38"/>
      <c r="AGO129" s="38"/>
      <c r="AGP129" s="38"/>
      <c r="AGQ129" s="38"/>
      <c r="AGR129" s="38"/>
      <c r="AGS129" s="38"/>
      <c r="AGT129" s="38"/>
      <c r="AGU129" s="38"/>
      <c r="AGV129" s="38"/>
      <c r="AGW129" s="38"/>
      <c r="AGX129" s="38"/>
      <c r="AGY129" s="38"/>
      <c r="AGZ129" s="38"/>
      <c r="AHA129" s="38"/>
      <c r="AHB129" s="38"/>
      <c r="AHC129" s="38"/>
      <c r="AHD129" s="38"/>
      <c r="AHE129" s="38"/>
      <c r="AHF129" s="38"/>
      <c r="AHG129" s="38"/>
      <c r="AHH129" s="38"/>
      <c r="AHI129" s="38"/>
      <c r="AHJ129" s="38"/>
      <c r="AHK129" s="38"/>
      <c r="AHL129" s="38"/>
      <c r="AHM129" s="38"/>
      <c r="AHN129" s="38"/>
      <c r="AHO129" s="38"/>
      <c r="AHP129" s="38"/>
      <c r="AHQ129" s="38"/>
      <c r="AHR129" s="38"/>
      <c r="AHS129" s="38"/>
      <c r="AHT129" s="38"/>
      <c r="AHU129" s="38"/>
      <c r="AHV129" s="38"/>
    </row>
    <row r="130" spans="1:906" s="27" customFormat="1" x14ac:dyDescent="0.35">
      <c r="A130" s="83">
        <v>125</v>
      </c>
      <c r="B130" s="108" t="s">
        <v>216</v>
      </c>
      <c r="C130" s="109" t="s">
        <v>214</v>
      </c>
      <c r="D130" s="109" t="s">
        <v>215</v>
      </c>
      <c r="E130" s="125">
        <v>9.25</v>
      </c>
      <c r="F130" s="125">
        <v>7.95</v>
      </c>
      <c r="G130" s="125">
        <v>6.99</v>
      </c>
      <c r="H130" s="125">
        <v>8.5</v>
      </c>
      <c r="I130" s="37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  <c r="BN130" s="38"/>
      <c r="BO130" s="38"/>
      <c r="BP130" s="38"/>
      <c r="BQ130" s="38"/>
      <c r="BR130" s="38"/>
      <c r="BS130" s="38"/>
      <c r="BT130" s="38"/>
      <c r="BU130" s="38"/>
      <c r="BV130" s="38"/>
      <c r="BW130" s="38"/>
      <c r="BX130" s="38"/>
      <c r="BY130" s="38"/>
      <c r="BZ130" s="38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/>
      <c r="CK130" s="38"/>
      <c r="CL130" s="38"/>
      <c r="CM130" s="38"/>
      <c r="CN130" s="38"/>
      <c r="CO130" s="38"/>
      <c r="CP130" s="38"/>
      <c r="CQ130" s="38"/>
      <c r="CR130" s="38"/>
      <c r="CS130" s="38"/>
      <c r="CT130" s="38"/>
      <c r="CU130" s="38"/>
      <c r="CV130" s="38"/>
      <c r="CW130" s="38"/>
      <c r="CX130" s="38"/>
      <c r="CY130" s="38"/>
      <c r="CZ130" s="38"/>
      <c r="DA130" s="38"/>
      <c r="DB130" s="38"/>
      <c r="DC130" s="38"/>
      <c r="DD130" s="38"/>
      <c r="DE130" s="38"/>
      <c r="DF130" s="38"/>
      <c r="DG130" s="38"/>
      <c r="DH130" s="38"/>
      <c r="DI130" s="38"/>
      <c r="DJ130" s="38"/>
      <c r="DK130" s="38"/>
      <c r="DL130" s="38"/>
      <c r="DM130" s="38"/>
      <c r="DN130" s="38"/>
      <c r="DO130" s="38"/>
      <c r="DP130" s="38"/>
      <c r="DQ130" s="38"/>
      <c r="DR130" s="38"/>
      <c r="DS130" s="38"/>
      <c r="DT130" s="38"/>
      <c r="DU130" s="38"/>
      <c r="DV130" s="38"/>
      <c r="DW130" s="38"/>
      <c r="DX130" s="38"/>
      <c r="DY130" s="38"/>
      <c r="DZ130" s="38"/>
      <c r="EA130" s="38"/>
      <c r="EB130" s="38"/>
      <c r="EC130" s="38"/>
      <c r="ED130" s="38"/>
      <c r="EE130" s="38"/>
      <c r="EF130" s="38"/>
      <c r="EG130" s="38"/>
      <c r="EH130" s="38"/>
      <c r="EI130" s="38"/>
      <c r="EJ130" s="38"/>
      <c r="EK130" s="38"/>
      <c r="EL130" s="38"/>
      <c r="EM130" s="38"/>
      <c r="EN130" s="38"/>
      <c r="EO130" s="38"/>
      <c r="EP130" s="38"/>
      <c r="EQ130" s="38"/>
      <c r="ER130" s="38"/>
      <c r="ES130" s="38"/>
      <c r="ET130" s="38"/>
      <c r="EU130" s="38"/>
      <c r="EV130" s="38"/>
      <c r="EW130" s="38"/>
      <c r="EX130" s="38"/>
      <c r="EY130" s="38"/>
      <c r="EZ130" s="38"/>
      <c r="FA130" s="38"/>
      <c r="FB130" s="38"/>
      <c r="FC130" s="38"/>
      <c r="FD130" s="38"/>
      <c r="FE130" s="38"/>
      <c r="FF130" s="38"/>
      <c r="FG130" s="38"/>
      <c r="FH130" s="38"/>
      <c r="FI130" s="38"/>
      <c r="FJ130" s="38"/>
      <c r="FK130" s="38"/>
      <c r="FL130" s="38"/>
      <c r="FM130" s="38"/>
      <c r="FN130" s="38"/>
      <c r="FO130" s="38"/>
      <c r="FP130" s="38"/>
      <c r="FQ130" s="38"/>
      <c r="FR130" s="38"/>
      <c r="FS130" s="38"/>
      <c r="FT130" s="38"/>
      <c r="FU130" s="38"/>
      <c r="FV130" s="38"/>
      <c r="FW130" s="38"/>
      <c r="FX130" s="38"/>
      <c r="FY130" s="38"/>
      <c r="FZ130" s="38"/>
      <c r="GA130" s="38"/>
      <c r="GB130" s="38"/>
      <c r="GC130" s="38"/>
      <c r="GD130" s="38"/>
      <c r="GE130" s="38"/>
      <c r="GF130" s="38"/>
      <c r="GG130" s="38"/>
      <c r="GH130" s="38"/>
      <c r="GI130" s="38"/>
      <c r="GJ130" s="38"/>
      <c r="GK130" s="38"/>
      <c r="GL130" s="38"/>
      <c r="GM130" s="38"/>
      <c r="GN130" s="38"/>
      <c r="GO130" s="38"/>
      <c r="GP130" s="38"/>
      <c r="GQ130" s="38"/>
      <c r="GR130" s="38"/>
      <c r="GS130" s="38"/>
      <c r="GT130" s="38"/>
      <c r="GU130" s="38"/>
      <c r="GV130" s="38"/>
      <c r="GW130" s="38"/>
      <c r="GX130" s="38"/>
      <c r="GY130" s="38"/>
      <c r="GZ130" s="38"/>
      <c r="HA130" s="38"/>
      <c r="HB130" s="38"/>
      <c r="HC130" s="38"/>
      <c r="HD130" s="38"/>
      <c r="HE130" s="38"/>
      <c r="HF130" s="38"/>
      <c r="HG130" s="38"/>
      <c r="HH130" s="38"/>
      <c r="HI130" s="38"/>
      <c r="HJ130" s="38"/>
      <c r="HK130" s="38"/>
      <c r="HL130" s="38"/>
      <c r="HM130" s="38"/>
      <c r="HN130" s="38"/>
      <c r="HO130" s="38"/>
      <c r="HP130" s="38"/>
      <c r="HQ130" s="38"/>
      <c r="HR130" s="38"/>
      <c r="HS130" s="38"/>
      <c r="HT130" s="38"/>
      <c r="HU130" s="38"/>
      <c r="HV130" s="38"/>
      <c r="HW130" s="38"/>
      <c r="HX130" s="38"/>
      <c r="HY130" s="38"/>
      <c r="HZ130" s="38"/>
      <c r="IA130" s="38"/>
      <c r="IB130" s="38"/>
      <c r="IC130" s="38"/>
      <c r="ID130" s="38"/>
      <c r="IE130" s="38"/>
      <c r="IF130" s="38"/>
      <c r="IG130" s="38"/>
      <c r="IH130" s="38"/>
      <c r="II130" s="38"/>
      <c r="IJ130" s="38"/>
      <c r="IK130" s="38"/>
      <c r="IL130" s="38"/>
      <c r="IM130" s="38"/>
      <c r="IN130" s="38"/>
      <c r="IO130" s="38"/>
      <c r="IP130" s="38"/>
      <c r="IQ130" s="38"/>
      <c r="IR130" s="38"/>
      <c r="IS130" s="38"/>
      <c r="IT130" s="38"/>
      <c r="IU130" s="38"/>
      <c r="IV130" s="38"/>
      <c r="IW130" s="38"/>
      <c r="IX130" s="38"/>
      <c r="IY130" s="38"/>
      <c r="IZ130" s="38"/>
      <c r="JA130" s="38"/>
      <c r="JB130" s="38"/>
      <c r="JC130" s="38"/>
      <c r="JD130" s="38"/>
      <c r="JE130" s="38"/>
      <c r="JF130" s="38"/>
      <c r="JG130" s="38"/>
      <c r="JH130" s="38"/>
      <c r="JI130" s="38"/>
      <c r="JJ130" s="38"/>
      <c r="JK130" s="38"/>
      <c r="JL130" s="38"/>
      <c r="JM130" s="38"/>
      <c r="JN130" s="38"/>
      <c r="JO130" s="38"/>
      <c r="JP130" s="38"/>
      <c r="JQ130" s="38"/>
      <c r="JR130" s="38"/>
      <c r="JS130" s="38"/>
      <c r="JT130" s="38"/>
      <c r="JU130" s="38"/>
      <c r="JV130" s="38"/>
      <c r="JW130" s="38"/>
      <c r="JX130" s="38"/>
      <c r="JY130" s="38"/>
      <c r="JZ130" s="38"/>
      <c r="KA130" s="38"/>
      <c r="KB130" s="38"/>
      <c r="KC130" s="38"/>
      <c r="KD130" s="38"/>
      <c r="KE130" s="38"/>
      <c r="KF130" s="38"/>
      <c r="KG130" s="38"/>
      <c r="KH130" s="38"/>
      <c r="KI130" s="38"/>
      <c r="KJ130" s="38"/>
      <c r="KK130" s="38"/>
      <c r="KL130" s="38"/>
      <c r="KM130" s="38"/>
      <c r="KN130" s="38"/>
      <c r="KO130" s="38"/>
      <c r="KP130" s="38"/>
      <c r="KQ130" s="38"/>
      <c r="KR130" s="38"/>
      <c r="KS130" s="38"/>
      <c r="KT130" s="38"/>
      <c r="KU130" s="38"/>
      <c r="KV130" s="38"/>
      <c r="KW130" s="38"/>
      <c r="KX130" s="38"/>
      <c r="KY130" s="38"/>
      <c r="KZ130" s="38"/>
      <c r="LA130" s="38"/>
      <c r="LB130" s="38"/>
      <c r="LC130" s="38"/>
      <c r="LD130" s="38"/>
      <c r="LE130" s="38"/>
      <c r="LF130" s="38"/>
      <c r="LG130" s="38"/>
      <c r="LH130" s="38"/>
      <c r="LI130" s="38"/>
      <c r="LJ130" s="38"/>
      <c r="LK130" s="38"/>
      <c r="LL130" s="38"/>
      <c r="LM130" s="38"/>
      <c r="LN130" s="38"/>
      <c r="LO130" s="38"/>
      <c r="LP130" s="38"/>
      <c r="LQ130" s="38"/>
      <c r="LR130" s="38"/>
      <c r="LS130" s="38"/>
      <c r="LT130" s="38"/>
      <c r="LU130" s="38"/>
      <c r="LV130" s="38"/>
      <c r="LW130" s="38"/>
      <c r="LX130" s="38"/>
      <c r="LY130" s="38"/>
      <c r="LZ130" s="38"/>
      <c r="MA130" s="38"/>
      <c r="MB130" s="38"/>
      <c r="MC130" s="38"/>
      <c r="MD130" s="38"/>
      <c r="ME130" s="38"/>
      <c r="MF130" s="38"/>
      <c r="MG130" s="38"/>
      <c r="MH130" s="38"/>
      <c r="MI130" s="38"/>
      <c r="MJ130" s="38"/>
      <c r="MK130" s="38"/>
      <c r="ML130" s="38"/>
      <c r="MM130" s="38"/>
      <c r="MN130" s="38"/>
      <c r="MO130" s="38"/>
      <c r="MP130" s="38"/>
      <c r="MQ130" s="38"/>
      <c r="MR130" s="38"/>
      <c r="MS130" s="38"/>
      <c r="MT130" s="38"/>
      <c r="MU130" s="38"/>
      <c r="MV130" s="38"/>
      <c r="MW130" s="38"/>
      <c r="MX130" s="38"/>
      <c r="MY130" s="38"/>
      <c r="MZ130" s="38"/>
      <c r="NA130" s="38"/>
      <c r="NB130" s="38"/>
      <c r="NC130" s="38"/>
      <c r="ND130" s="38"/>
      <c r="NE130" s="38"/>
      <c r="NF130" s="38"/>
      <c r="NG130" s="38"/>
      <c r="NH130" s="38"/>
      <c r="NI130" s="38"/>
      <c r="NJ130" s="38"/>
      <c r="NK130" s="38"/>
      <c r="NL130" s="38"/>
      <c r="NM130" s="38"/>
      <c r="NN130" s="38"/>
      <c r="NO130" s="38"/>
      <c r="NP130" s="38"/>
      <c r="NQ130" s="38"/>
      <c r="NR130" s="38"/>
      <c r="NS130" s="38"/>
      <c r="NT130" s="38"/>
      <c r="NU130" s="38"/>
      <c r="NV130" s="38"/>
      <c r="NW130" s="38"/>
      <c r="NX130" s="38"/>
      <c r="NY130" s="38"/>
      <c r="NZ130" s="38"/>
      <c r="OA130" s="38"/>
      <c r="OB130" s="38"/>
      <c r="OC130" s="38"/>
      <c r="OD130" s="38"/>
      <c r="OE130" s="38"/>
      <c r="OF130" s="38"/>
      <c r="OG130" s="38"/>
      <c r="OH130" s="38"/>
      <c r="OI130" s="38"/>
      <c r="OJ130" s="38"/>
      <c r="OK130" s="38"/>
      <c r="OL130" s="38"/>
      <c r="OM130" s="38"/>
      <c r="ON130" s="38"/>
      <c r="OO130" s="38"/>
      <c r="OP130" s="38"/>
      <c r="OQ130" s="38"/>
      <c r="OR130" s="38"/>
      <c r="OS130" s="38"/>
      <c r="OT130" s="38"/>
      <c r="OU130" s="38"/>
      <c r="OV130" s="38"/>
      <c r="OW130" s="38"/>
      <c r="OX130" s="38"/>
      <c r="OY130" s="38"/>
      <c r="OZ130" s="38"/>
      <c r="PA130" s="38"/>
      <c r="PB130" s="38"/>
      <c r="PC130" s="38"/>
      <c r="PD130" s="38"/>
      <c r="PE130" s="38"/>
      <c r="PF130" s="38"/>
      <c r="PG130" s="38"/>
      <c r="PH130" s="38"/>
      <c r="PI130" s="38"/>
      <c r="PJ130" s="38"/>
      <c r="PK130" s="38"/>
      <c r="PL130" s="38"/>
      <c r="PM130" s="38"/>
      <c r="PN130" s="38"/>
      <c r="PO130" s="38"/>
      <c r="PP130" s="38"/>
      <c r="PQ130" s="38"/>
      <c r="PR130" s="38"/>
      <c r="PS130" s="38"/>
      <c r="PT130" s="38"/>
      <c r="PU130" s="38"/>
      <c r="PV130" s="38"/>
      <c r="PW130" s="38"/>
      <c r="PX130" s="38"/>
      <c r="PY130" s="38"/>
      <c r="PZ130" s="38"/>
      <c r="QA130" s="38"/>
      <c r="QB130" s="38"/>
      <c r="QC130" s="38"/>
      <c r="QD130" s="38"/>
      <c r="QE130" s="38"/>
      <c r="QF130" s="38"/>
      <c r="QG130" s="38"/>
      <c r="QH130" s="38"/>
      <c r="QI130" s="38"/>
      <c r="QJ130" s="38"/>
      <c r="QK130" s="38"/>
      <c r="QL130" s="38"/>
      <c r="QM130" s="38"/>
      <c r="QN130" s="38"/>
      <c r="QO130" s="38"/>
      <c r="QP130" s="38"/>
      <c r="QQ130" s="38"/>
      <c r="QR130" s="38"/>
      <c r="QS130" s="38"/>
      <c r="QT130" s="38"/>
      <c r="QU130" s="38"/>
      <c r="QV130" s="38"/>
      <c r="QW130" s="38"/>
      <c r="QX130" s="38"/>
      <c r="QY130" s="38"/>
      <c r="QZ130" s="38"/>
      <c r="RA130" s="38"/>
      <c r="RB130" s="38"/>
      <c r="RC130" s="38"/>
      <c r="RD130" s="38"/>
      <c r="RE130" s="38"/>
      <c r="RF130" s="38"/>
      <c r="RG130" s="38"/>
      <c r="RH130" s="38"/>
      <c r="RI130" s="38"/>
      <c r="RJ130" s="38"/>
      <c r="RK130" s="38"/>
      <c r="RL130" s="38"/>
      <c r="RM130" s="38"/>
      <c r="RN130" s="38"/>
      <c r="RO130" s="38"/>
      <c r="RP130" s="38"/>
      <c r="RQ130" s="38"/>
      <c r="RR130" s="38"/>
      <c r="RS130" s="38"/>
      <c r="RT130" s="38"/>
      <c r="RU130" s="38"/>
      <c r="RV130" s="38"/>
      <c r="RW130" s="38"/>
      <c r="RX130" s="38"/>
      <c r="RY130" s="38"/>
      <c r="RZ130" s="38"/>
      <c r="SA130" s="38"/>
      <c r="SB130" s="38"/>
      <c r="SC130" s="38"/>
      <c r="SD130" s="38"/>
      <c r="SE130" s="38"/>
      <c r="SF130" s="38"/>
      <c r="SG130" s="38"/>
      <c r="SH130" s="38"/>
      <c r="SI130" s="38"/>
      <c r="SJ130" s="38"/>
      <c r="SK130" s="38"/>
      <c r="SL130" s="38"/>
      <c r="SM130" s="38"/>
      <c r="SN130" s="38"/>
      <c r="SO130" s="38"/>
      <c r="SP130" s="38"/>
      <c r="SQ130" s="38"/>
      <c r="SR130" s="38"/>
      <c r="SS130" s="38"/>
      <c r="ST130" s="38"/>
      <c r="SU130" s="38"/>
      <c r="SV130" s="38"/>
      <c r="SW130" s="38"/>
      <c r="SX130" s="38"/>
      <c r="SY130" s="38"/>
      <c r="SZ130" s="38"/>
      <c r="TA130" s="38"/>
      <c r="TB130" s="38"/>
      <c r="TC130" s="38"/>
      <c r="TD130" s="38"/>
      <c r="TE130" s="38"/>
      <c r="TF130" s="38"/>
      <c r="TG130" s="38"/>
      <c r="TH130" s="38"/>
      <c r="TI130" s="38"/>
      <c r="TJ130" s="38"/>
      <c r="TK130" s="38"/>
      <c r="TL130" s="38"/>
      <c r="TM130" s="38"/>
      <c r="TN130" s="38"/>
      <c r="TO130" s="38"/>
      <c r="TP130" s="38"/>
      <c r="TQ130" s="38"/>
      <c r="TR130" s="38"/>
      <c r="TS130" s="38"/>
      <c r="TT130" s="38"/>
      <c r="TU130" s="38"/>
      <c r="TV130" s="38"/>
      <c r="TW130" s="38"/>
      <c r="TX130" s="38"/>
      <c r="TY130" s="38"/>
      <c r="TZ130" s="38"/>
      <c r="UA130" s="38"/>
      <c r="UB130" s="38"/>
      <c r="UC130" s="38"/>
      <c r="UD130" s="38"/>
      <c r="UE130" s="38"/>
      <c r="UF130" s="38"/>
      <c r="UG130" s="38"/>
      <c r="UH130" s="38"/>
      <c r="UI130" s="38"/>
      <c r="UJ130" s="38"/>
      <c r="UK130" s="38"/>
      <c r="UL130" s="38"/>
      <c r="UM130" s="38"/>
      <c r="UN130" s="38"/>
      <c r="UO130" s="38"/>
      <c r="UP130" s="38"/>
      <c r="UQ130" s="38"/>
      <c r="UR130" s="38"/>
      <c r="US130" s="38"/>
      <c r="UT130" s="38"/>
      <c r="UU130" s="38"/>
      <c r="UV130" s="38"/>
      <c r="UW130" s="38"/>
      <c r="UX130" s="38"/>
      <c r="UY130" s="38"/>
      <c r="UZ130" s="38"/>
      <c r="VA130" s="38"/>
      <c r="VB130" s="38"/>
      <c r="VC130" s="38"/>
      <c r="VD130" s="38"/>
      <c r="VE130" s="38"/>
      <c r="VF130" s="38"/>
      <c r="VG130" s="38"/>
      <c r="VH130" s="38"/>
      <c r="VI130" s="38"/>
      <c r="VJ130" s="38"/>
      <c r="VK130" s="38"/>
      <c r="VL130" s="38"/>
      <c r="VM130" s="38"/>
      <c r="VN130" s="38"/>
      <c r="VO130" s="38"/>
      <c r="VP130" s="38"/>
      <c r="VQ130" s="38"/>
      <c r="VR130" s="38"/>
      <c r="VS130" s="38"/>
      <c r="VT130" s="38"/>
      <c r="VU130" s="38"/>
      <c r="VV130" s="38"/>
      <c r="VW130" s="38"/>
      <c r="VX130" s="38"/>
      <c r="VY130" s="38"/>
      <c r="VZ130" s="38"/>
      <c r="WA130" s="38"/>
      <c r="WB130" s="38"/>
      <c r="WC130" s="38"/>
      <c r="WD130" s="38"/>
      <c r="WE130" s="38"/>
      <c r="WF130" s="38"/>
      <c r="WG130" s="38"/>
      <c r="WH130" s="38"/>
      <c r="WI130" s="38"/>
      <c r="WJ130" s="38"/>
      <c r="WK130" s="38"/>
      <c r="WL130" s="38"/>
      <c r="WM130" s="38"/>
      <c r="WN130" s="38"/>
      <c r="WO130" s="38"/>
      <c r="WP130" s="38"/>
      <c r="WQ130" s="38"/>
      <c r="WR130" s="38"/>
      <c r="WS130" s="38"/>
      <c r="WT130" s="38"/>
      <c r="WU130" s="38"/>
      <c r="WV130" s="38"/>
      <c r="WW130" s="38"/>
      <c r="WX130" s="38"/>
      <c r="WY130" s="38"/>
      <c r="WZ130" s="38"/>
      <c r="XA130" s="38"/>
      <c r="XB130" s="38"/>
      <c r="XC130" s="38"/>
      <c r="XD130" s="38"/>
      <c r="XE130" s="38"/>
      <c r="XF130" s="38"/>
      <c r="XG130" s="38"/>
      <c r="XH130" s="38"/>
      <c r="XI130" s="38"/>
      <c r="XJ130" s="38"/>
      <c r="XK130" s="38"/>
      <c r="XL130" s="38"/>
      <c r="XM130" s="38"/>
      <c r="XN130" s="38"/>
      <c r="XO130" s="38"/>
      <c r="XP130" s="38"/>
      <c r="XQ130" s="38"/>
      <c r="XR130" s="38"/>
      <c r="XS130" s="38"/>
      <c r="XT130" s="38"/>
      <c r="XU130" s="38"/>
      <c r="XV130" s="38"/>
      <c r="XW130" s="38"/>
      <c r="XX130" s="38"/>
      <c r="XY130" s="38"/>
      <c r="XZ130" s="38"/>
      <c r="YA130" s="38"/>
      <c r="YB130" s="38"/>
      <c r="YC130" s="38"/>
      <c r="YD130" s="38"/>
      <c r="YE130" s="38"/>
      <c r="YF130" s="38"/>
      <c r="YG130" s="38"/>
      <c r="YH130" s="38"/>
      <c r="YI130" s="38"/>
      <c r="YJ130" s="38"/>
      <c r="YK130" s="38"/>
      <c r="YL130" s="38"/>
      <c r="YM130" s="38"/>
      <c r="YN130" s="38"/>
      <c r="YO130" s="38"/>
      <c r="YP130" s="38"/>
      <c r="YQ130" s="38"/>
      <c r="YR130" s="38"/>
      <c r="YS130" s="38"/>
      <c r="YT130" s="38"/>
      <c r="YU130" s="38"/>
      <c r="YV130" s="38"/>
      <c r="YW130" s="38"/>
      <c r="YX130" s="38"/>
      <c r="YY130" s="38"/>
      <c r="YZ130" s="38"/>
      <c r="ZA130" s="38"/>
      <c r="ZB130" s="38"/>
      <c r="ZC130" s="38"/>
      <c r="ZD130" s="38"/>
      <c r="ZE130" s="38"/>
      <c r="ZF130" s="38"/>
      <c r="ZG130" s="38"/>
      <c r="ZH130" s="38"/>
      <c r="ZI130" s="38"/>
      <c r="ZJ130" s="38"/>
      <c r="ZK130" s="38"/>
      <c r="ZL130" s="38"/>
      <c r="ZM130" s="38"/>
      <c r="ZN130" s="38"/>
      <c r="ZO130" s="38"/>
      <c r="ZP130" s="38"/>
      <c r="ZQ130" s="38"/>
      <c r="ZR130" s="38"/>
      <c r="ZS130" s="38"/>
      <c r="ZT130" s="38"/>
      <c r="ZU130" s="38"/>
      <c r="ZV130" s="38"/>
      <c r="ZW130" s="38"/>
      <c r="ZX130" s="38"/>
      <c r="ZY130" s="38"/>
      <c r="ZZ130" s="38"/>
      <c r="AAA130" s="38"/>
      <c r="AAB130" s="38"/>
      <c r="AAC130" s="38"/>
      <c r="AAD130" s="38"/>
      <c r="AAE130" s="38"/>
      <c r="AAF130" s="38"/>
      <c r="AAG130" s="38"/>
      <c r="AAH130" s="38"/>
      <c r="AAI130" s="38"/>
      <c r="AAJ130" s="38"/>
      <c r="AAK130" s="38"/>
      <c r="AAL130" s="38"/>
      <c r="AAM130" s="38"/>
      <c r="AAN130" s="38"/>
      <c r="AAO130" s="38"/>
      <c r="AAP130" s="38"/>
      <c r="AAQ130" s="38"/>
      <c r="AAR130" s="38"/>
      <c r="AAS130" s="38"/>
      <c r="AAT130" s="38"/>
      <c r="AAU130" s="38"/>
      <c r="AAV130" s="38"/>
      <c r="AAW130" s="38"/>
      <c r="AAX130" s="38"/>
      <c r="AAY130" s="38"/>
      <c r="AAZ130" s="38"/>
      <c r="ABA130" s="38"/>
      <c r="ABB130" s="38"/>
      <c r="ABC130" s="38"/>
      <c r="ABD130" s="38"/>
      <c r="ABE130" s="38"/>
      <c r="ABF130" s="38"/>
      <c r="ABG130" s="38"/>
      <c r="ABH130" s="38"/>
      <c r="ABI130" s="38"/>
      <c r="ABJ130" s="38"/>
      <c r="ABK130" s="38"/>
      <c r="ABL130" s="38"/>
      <c r="ABM130" s="38"/>
      <c r="ABN130" s="38"/>
      <c r="ABO130" s="38"/>
      <c r="ABP130" s="38"/>
      <c r="ABQ130" s="38"/>
      <c r="ABR130" s="38"/>
      <c r="ABS130" s="38"/>
      <c r="ABT130" s="38"/>
      <c r="ABU130" s="38"/>
      <c r="ABV130" s="38"/>
      <c r="ABW130" s="38"/>
      <c r="ABX130" s="38"/>
      <c r="ABY130" s="38"/>
      <c r="ABZ130" s="38"/>
      <c r="ACA130" s="38"/>
      <c r="ACB130" s="38"/>
      <c r="ACC130" s="38"/>
      <c r="ACD130" s="38"/>
      <c r="ACE130" s="38"/>
      <c r="ACF130" s="38"/>
      <c r="ACG130" s="38"/>
      <c r="ACH130" s="38"/>
      <c r="ACI130" s="38"/>
      <c r="ACJ130" s="38"/>
      <c r="ACK130" s="38"/>
      <c r="ACL130" s="38"/>
      <c r="ACM130" s="38"/>
      <c r="ACN130" s="38"/>
      <c r="ACO130" s="38"/>
      <c r="ACP130" s="38"/>
      <c r="ACQ130" s="38"/>
      <c r="ACR130" s="38"/>
      <c r="ACS130" s="38"/>
      <c r="ACT130" s="38"/>
      <c r="ACU130" s="38"/>
      <c r="ACV130" s="38"/>
      <c r="ACW130" s="38"/>
      <c r="ACX130" s="38"/>
      <c r="ACY130" s="38"/>
      <c r="ACZ130" s="38"/>
      <c r="ADA130" s="38"/>
      <c r="ADB130" s="38"/>
      <c r="ADC130" s="38"/>
      <c r="ADD130" s="38"/>
      <c r="ADE130" s="38"/>
      <c r="ADF130" s="38"/>
      <c r="ADG130" s="38"/>
      <c r="ADH130" s="38"/>
      <c r="ADI130" s="38"/>
      <c r="ADJ130" s="38"/>
      <c r="ADK130" s="38"/>
      <c r="ADL130" s="38"/>
      <c r="ADM130" s="38"/>
      <c r="ADN130" s="38"/>
      <c r="ADO130" s="38"/>
      <c r="ADP130" s="38"/>
      <c r="ADQ130" s="38"/>
      <c r="ADR130" s="38"/>
      <c r="ADS130" s="38"/>
      <c r="ADT130" s="38"/>
      <c r="ADU130" s="38"/>
      <c r="ADV130" s="38"/>
      <c r="ADW130" s="38"/>
      <c r="ADX130" s="38"/>
      <c r="ADY130" s="38"/>
      <c r="ADZ130" s="38"/>
      <c r="AEA130" s="38"/>
      <c r="AEB130" s="38"/>
      <c r="AEC130" s="38"/>
      <c r="AED130" s="38"/>
      <c r="AEE130" s="38"/>
      <c r="AEF130" s="38"/>
      <c r="AEG130" s="38"/>
      <c r="AEH130" s="38"/>
      <c r="AEI130" s="38"/>
      <c r="AEJ130" s="38"/>
      <c r="AEK130" s="38"/>
      <c r="AEL130" s="38"/>
      <c r="AEM130" s="38"/>
      <c r="AEN130" s="38"/>
      <c r="AEO130" s="38"/>
      <c r="AEP130" s="38"/>
      <c r="AEQ130" s="38"/>
      <c r="AER130" s="38"/>
      <c r="AES130" s="38"/>
      <c r="AET130" s="38"/>
      <c r="AEU130" s="38"/>
      <c r="AEV130" s="38"/>
      <c r="AEW130" s="38"/>
      <c r="AEX130" s="38"/>
      <c r="AEY130" s="38"/>
      <c r="AEZ130" s="38"/>
      <c r="AFA130" s="38"/>
      <c r="AFB130" s="38"/>
      <c r="AFC130" s="38"/>
      <c r="AFD130" s="38"/>
      <c r="AFE130" s="38"/>
      <c r="AFF130" s="38"/>
      <c r="AFG130" s="38"/>
      <c r="AFH130" s="38"/>
      <c r="AFI130" s="38"/>
      <c r="AFJ130" s="38"/>
      <c r="AFK130" s="38"/>
      <c r="AFL130" s="38"/>
      <c r="AFM130" s="38"/>
      <c r="AFN130" s="38"/>
      <c r="AFO130" s="38"/>
      <c r="AFP130" s="38"/>
      <c r="AFQ130" s="38"/>
      <c r="AFR130" s="38"/>
      <c r="AFS130" s="38"/>
      <c r="AFT130" s="38"/>
      <c r="AFU130" s="38"/>
      <c r="AFV130" s="38"/>
      <c r="AFW130" s="38"/>
      <c r="AFX130" s="38"/>
      <c r="AFY130" s="38"/>
      <c r="AFZ130" s="38"/>
      <c r="AGA130" s="38"/>
      <c r="AGB130" s="38"/>
      <c r="AGC130" s="38"/>
      <c r="AGD130" s="38"/>
      <c r="AGE130" s="38"/>
      <c r="AGF130" s="38"/>
      <c r="AGG130" s="38"/>
      <c r="AGH130" s="38"/>
      <c r="AGI130" s="38"/>
      <c r="AGJ130" s="38"/>
      <c r="AGK130" s="38"/>
      <c r="AGL130" s="38"/>
      <c r="AGM130" s="38"/>
      <c r="AGN130" s="38"/>
      <c r="AGO130" s="38"/>
      <c r="AGP130" s="38"/>
      <c r="AGQ130" s="38"/>
      <c r="AGR130" s="38"/>
      <c r="AGS130" s="38"/>
      <c r="AGT130" s="38"/>
      <c r="AGU130" s="38"/>
      <c r="AGV130" s="38"/>
      <c r="AGW130" s="38"/>
      <c r="AGX130" s="38"/>
      <c r="AGY130" s="38"/>
      <c r="AGZ130" s="38"/>
      <c r="AHA130" s="38"/>
      <c r="AHB130" s="38"/>
      <c r="AHC130" s="38"/>
      <c r="AHD130" s="38"/>
      <c r="AHE130" s="38"/>
      <c r="AHF130" s="38"/>
      <c r="AHG130" s="38"/>
      <c r="AHH130" s="38"/>
      <c r="AHI130" s="38"/>
      <c r="AHJ130" s="38"/>
      <c r="AHK130" s="38"/>
      <c r="AHL130" s="38"/>
      <c r="AHM130" s="38"/>
      <c r="AHN130" s="38"/>
      <c r="AHO130" s="38"/>
      <c r="AHP130" s="38"/>
      <c r="AHQ130" s="38"/>
      <c r="AHR130" s="38"/>
      <c r="AHS130" s="38"/>
      <c r="AHT130" s="38"/>
      <c r="AHU130" s="38"/>
      <c r="AHV130" s="38"/>
    </row>
    <row r="131" spans="1:906" s="27" customFormat="1" x14ac:dyDescent="0.35">
      <c r="A131" s="83">
        <v>126</v>
      </c>
      <c r="B131" s="108" t="s">
        <v>217</v>
      </c>
      <c r="C131" s="109" t="s">
        <v>214</v>
      </c>
      <c r="D131" s="109" t="s">
        <v>215</v>
      </c>
      <c r="E131" s="125"/>
      <c r="F131" s="125">
        <v>9.9499999999999993</v>
      </c>
      <c r="G131" s="125">
        <v>8.75</v>
      </c>
      <c r="H131" s="125"/>
      <c r="I131" s="37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  <c r="BP131" s="38"/>
      <c r="BQ131" s="38"/>
      <c r="BR131" s="38"/>
      <c r="BS131" s="38"/>
      <c r="BT131" s="38"/>
      <c r="BU131" s="38"/>
      <c r="BV131" s="38"/>
      <c r="BW131" s="38"/>
      <c r="BX131" s="38"/>
      <c r="BY131" s="38"/>
      <c r="BZ131" s="38"/>
      <c r="CA131" s="38"/>
      <c r="CB131" s="38"/>
      <c r="CC131" s="38"/>
      <c r="CD131" s="38"/>
      <c r="CE131" s="38"/>
      <c r="CF131" s="38"/>
      <c r="CG131" s="38"/>
      <c r="CH131" s="38"/>
      <c r="CI131" s="38"/>
      <c r="CJ131" s="38"/>
      <c r="CK131" s="38"/>
      <c r="CL131" s="38"/>
      <c r="CM131" s="38"/>
      <c r="CN131" s="38"/>
      <c r="CO131" s="38"/>
      <c r="CP131" s="38"/>
      <c r="CQ131" s="38"/>
      <c r="CR131" s="38"/>
      <c r="CS131" s="38"/>
      <c r="CT131" s="38"/>
      <c r="CU131" s="38"/>
      <c r="CV131" s="38"/>
      <c r="CW131" s="38"/>
      <c r="CX131" s="38"/>
      <c r="CY131" s="38"/>
      <c r="CZ131" s="38"/>
      <c r="DA131" s="38"/>
      <c r="DB131" s="38"/>
      <c r="DC131" s="38"/>
      <c r="DD131" s="38"/>
      <c r="DE131" s="38"/>
      <c r="DF131" s="38"/>
      <c r="DG131" s="38"/>
      <c r="DH131" s="38"/>
      <c r="DI131" s="38"/>
      <c r="DJ131" s="38"/>
      <c r="DK131" s="38"/>
      <c r="DL131" s="38"/>
      <c r="DM131" s="38"/>
      <c r="DN131" s="38"/>
      <c r="DO131" s="38"/>
      <c r="DP131" s="38"/>
      <c r="DQ131" s="38"/>
      <c r="DR131" s="38"/>
      <c r="DS131" s="38"/>
      <c r="DT131" s="38"/>
      <c r="DU131" s="38"/>
      <c r="DV131" s="38"/>
      <c r="DW131" s="38"/>
      <c r="DX131" s="38"/>
      <c r="DY131" s="38"/>
      <c r="DZ131" s="38"/>
      <c r="EA131" s="38"/>
      <c r="EB131" s="38"/>
      <c r="EC131" s="38"/>
      <c r="ED131" s="38"/>
      <c r="EE131" s="38"/>
      <c r="EF131" s="38"/>
      <c r="EG131" s="38"/>
      <c r="EH131" s="38"/>
      <c r="EI131" s="38"/>
      <c r="EJ131" s="38"/>
      <c r="EK131" s="38"/>
      <c r="EL131" s="38"/>
      <c r="EM131" s="38"/>
      <c r="EN131" s="38"/>
      <c r="EO131" s="38"/>
      <c r="EP131" s="38"/>
      <c r="EQ131" s="38"/>
      <c r="ER131" s="38"/>
      <c r="ES131" s="38"/>
      <c r="ET131" s="38"/>
      <c r="EU131" s="38"/>
      <c r="EV131" s="38"/>
      <c r="EW131" s="38"/>
      <c r="EX131" s="38"/>
      <c r="EY131" s="38"/>
      <c r="EZ131" s="38"/>
      <c r="FA131" s="38"/>
      <c r="FB131" s="38"/>
      <c r="FC131" s="38"/>
      <c r="FD131" s="38"/>
      <c r="FE131" s="38"/>
      <c r="FF131" s="38"/>
      <c r="FG131" s="38"/>
      <c r="FH131" s="38"/>
      <c r="FI131" s="38"/>
      <c r="FJ131" s="38"/>
      <c r="FK131" s="38"/>
      <c r="FL131" s="38"/>
      <c r="FM131" s="38"/>
      <c r="FN131" s="38"/>
      <c r="FO131" s="38"/>
      <c r="FP131" s="38"/>
      <c r="FQ131" s="38"/>
      <c r="FR131" s="38"/>
      <c r="FS131" s="38"/>
      <c r="FT131" s="38"/>
      <c r="FU131" s="38"/>
      <c r="FV131" s="38"/>
      <c r="FW131" s="38"/>
      <c r="FX131" s="38"/>
      <c r="FY131" s="38"/>
      <c r="FZ131" s="38"/>
      <c r="GA131" s="38"/>
      <c r="GB131" s="38"/>
      <c r="GC131" s="38"/>
      <c r="GD131" s="38"/>
      <c r="GE131" s="38"/>
      <c r="GF131" s="38"/>
      <c r="GG131" s="38"/>
      <c r="GH131" s="38"/>
      <c r="GI131" s="38"/>
      <c r="GJ131" s="38"/>
      <c r="GK131" s="38"/>
      <c r="GL131" s="38"/>
      <c r="GM131" s="38"/>
      <c r="GN131" s="38"/>
      <c r="GO131" s="38"/>
      <c r="GP131" s="38"/>
      <c r="GQ131" s="38"/>
      <c r="GR131" s="38"/>
      <c r="GS131" s="38"/>
      <c r="GT131" s="38"/>
      <c r="GU131" s="38"/>
      <c r="GV131" s="38"/>
      <c r="GW131" s="38"/>
      <c r="GX131" s="38"/>
      <c r="GY131" s="38"/>
      <c r="GZ131" s="38"/>
      <c r="HA131" s="38"/>
      <c r="HB131" s="38"/>
      <c r="HC131" s="38"/>
      <c r="HD131" s="38"/>
      <c r="HE131" s="38"/>
      <c r="HF131" s="38"/>
      <c r="HG131" s="38"/>
      <c r="HH131" s="38"/>
      <c r="HI131" s="38"/>
      <c r="HJ131" s="38"/>
      <c r="HK131" s="38"/>
      <c r="HL131" s="38"/>
      <c r="HM131" s="38"/>
      <c r="HN131" s="38"/>
      <c r="HO131" s="38"/>
      <c r="HP131" s="38"/>
      <c r="HQ131" s="38"/>
      <c r="HR131" s="38"/>
      <c r="HS131" s="38"/>
      <c r="HT131" s="38"/>
      <c r="HU131" s="38"/>
      <c r="HV131" s="38"/>
      <c r="HW131" s="38"/>
      <c r="HX131" s="38"/>
      <c r="HY131" s="38"/>
      <c r="HZ131" s="38"/>
      <c r="IA131" s="38"/>
      <c r="IB131" s="38"/>
      <c r="IC131" s="38"/>
      <c r="ID131" s="38"/>
      <c r="IE131" s="38"/>
      <c r="IF131" s="38"/>
      <c r="IG131" s="38"/>
      <c r="IH131" s="38"/>
      <c r="II131" s="38"/>
      <c r="IJ131" s="38"/>
      <c r="IK131" s="38"/>
      <c r="IL131" s="38"/>
      <c r="IM131" s="38"/>
      <c r="IN131" s="38"/>
      <c r="IO131" s="38"/>
      <c r="IP131" s="38"/>
      <c r="IQ131" s="38"/>
      <c r="IR131" s="38"/>
      <c r="IS131" s="38"/>
      <c r="IT131" s="38"/>
      <c r="IU131" s="38"/>
      <c r="IV131" s="38"/>
      <c r="IW131" s="38"/>
      <c r="IX131" s="38"/>
      <c r="IY131" s="38"/>
      <c r="IZ131" s="38"/>
      <c r="JA131" s="38"/>
      <c r="JB131" s="38"/>
      <c r="JC131" s="38"/>
      <c r="JD131" s="38"/>
      <c r="JE131" s="38"/>
      <c r="JF131" s="38"/>
      <c r="JG131" s="38"/>
      <c r="JH131" s="38"/>
      <c r="JI131" s="38"/>
      <c r="JJ131" s="38"/>
      <c r="JK131" s="38"/>
      <c r="JL131" s="38"/>
      <c r="JM131" s="38"/>
      <c r="JN131" s="38"/>
      <c r="JO131" s="38"/>
      <c r="JP131" s="38"/>
      <c r="JQ131" s="38"/>
      <c r="JR131" s="38"/>
      <c r="JS131" s="38"/>
      <c r="JT131" s="38"/>
      <c r="JU131" s="38"/>
      <c r="JV131" s="38"/>
      <c r="JW131" s="38"/>
      <c r="JX131" s="38"/>
      <c r="JY131" s="38"/>
      <c r="JZ131" s="38"/>
      <c r="KA131" s="38"/>
      <c r="KB131" s="38"/>
      <c r="KC131" s="38"/>
      <c r="KD131" s="38"/>
      <c r="KE131" s="38"/>
      <c r="KF131" s="38"/>
      <c r="KG131" s="38"/>
      <c r="KH131" s="38"/>
      <c r="KI131" s="38"/>
      <c r="KJ131" s="38"/>
      <c r="KK131" s="38"/>
      <c r="KL131" s="38"/>
      <c r="KM131" s="38"/>
      <c r="KN131" s="38"/>
      <c r="KO131" s="38"/>
      <c r="KP131" s="38"/>
      <c r="KQ131" s="38"/>
      <c r="KR131" s="38"/>
      <c r="KS131" s="38"/>
      <c r="KT131" s="38"/>
      <c r="KU131" s="38"/>
      <c r="KV131" s="38"/>
      <c r="KW131" s="38"/>
      <c r="KX131" s="38"/>
      <c r="KY131" s="38"/>
      <c r="KZ131" s="38"/>
      <c r="LA131" s="38"/>
      <c r="LB131" s="38"/>
      <c r="LC131" s="38"/>
      <c r="LD131" s="38"/>
      <c r="LE131" s="38"/>
      <c r="LF131" s="38"/>
      <c r="LG131" s="38"/>
      <c r="LH131" s="38"/>
      <c r="LI131" s="38"/>
      <c r="LJ131" s="38"/>
      <c r="LK131" s="38"/>
      <c r="LL131" s="38"/>
      <c r="LM131" s="38"/>
      <c r="LN131" s="38"/>
      <c r="LO131" s="38"/>
      <c r="LP131" s="38"/>
      <c r="LQ131" s="38"/>
      <c r="LR131" s="38"/>
      <c r="LS131" s="38"/>
      <c r="LT131" s="38"/>
      <c r="LU131" s="38"/>
      <c r="LV131" s="38"/>
      <c r="LW131" s="38"/>
      <c r="LX131" s="38"/>
      <c r="LY131" s="38"/>
      <c r="LZ131" s="38"/>
      <c r="MA131" s="38"/>
      <c r="MB131" s="38"/>
      <c r="MC131" s="38"/>
      <c r="MD131" s="38"/>
      <c r="ME131" s="38"/>
      <c r="MF131" s="38"/>
      <c r="MG131" s="38"/>
      <c r="MH131" s="38"/>
      <c r="MI131" s="38"/>
      <c r="MJ131" s="38"/>
      <c r="MK131" s="38"/>
      <c r="ML131" s="38"/>
      <c r="MM131" s="38"/>
      <c r="MN131" s="38"/>
      <c r="MO131" s="38"/>
      <c r="MP131" s="38"/>
      <c r="MQ131" s="38"/>
      <c r="MR131" s="38"/>
      <c r="MS131" s="38"/>
      <c r="MT131" s="38"/>
      <c r="MU131" s="38"/>
      <c r="MV131" s="38"/>
      <c r="MW131" s="38"/>
      <c r="MX131" s="38"/>
      <c r="MY131" s="38"/>
      <c r="MZ131" s="38"/>
      <c r="NA131" s="38"/>
      <c r="NB131" s="38"/>
      <c r="NC131" s="38"/>
      <c r="ND131" s="38"/>
      <c r="NE131" s="38"/>
      <c r="NF131" s="38"/>
      <c r="NG131" s="38"/>
      <c r="NH131" s="38"/>
      <c r="NI131" s="38"/>
      <c r="NJ131" s="38"/>
      <c r="NK131" s="38"/>
      <c r="NL131" s="38"/>
      <c r="NM131" s="38"/>
      <c r="NN131" s="38"/>
      <c r="NO131" s="38"/>
      <c r="NP131" s="38"/>
      <c r="NQ131" s="38"/>
      <c r="NR131" s="38"/>
      <c r="NS131" s="38"/>
      <c r="NT131" s="38"/>
      <c r="NU131" s="38"/>
      <c r="NV131" s="38"/>
      <c r="NW131" s="38"/>
      <c r="NX131" s="38"/>
      <c r="NY131" s="38"/>
      <c r="NZ131" s="38"/>
      <c r="OA131" s="38"/>
      <c r="OB131" s="38"/>
      <c r="OC131" s="38"/>
      <c r="OD131" s="38"/>
      <c r="OE131" s="38"/>
      <c r="OF131" s="38"/>
      <c r="OG131" s="38"/>
      <c r="OH131" s="38"/>
      <c r="OI131" s="38"/>
      <c r="OJ131" s="38"/>
      <c r="OK131" s="38"/>
      <c r="OL131" s="38"/>
      <c r="OM131" s="38"/>
      <c r="ON131" s="38"/>
      <c r="OO131" s="38"/>
      <c r="OP131" s="38"/>
      <c r="OQ131" s="38"/>
      <c r="OR131" s="38"/>
      <c r="OS131" s="38"/>
      <c r="OT131" s="38"/>
      <c r="OU131" s="38"/>
      <c r="OV131" s="38"/>
      <c r="OW131" s="38"/>
      <c r="OX131" s="38"/>
      <c r="OY131" s="38"/>
      <c r="OZ131" s="38"/>
      <c r="PA131" s="38"/>
      <c r="PB131" s="38"/>
      <c r="PC131" s="38"/>
      <c r="PD131" s="38"/>
      <c r="PE131" s="38"/>
      <c r="PF131" s="38"/>
      <c r="PG131" s="38"/>
      <c r="PH131" s="38"/>
      <c r="PI131" s="38"/>
      <c r="PJ131" s="38"/>
      <c r="PK131" s="38"/>
      <c r="PL131" s="38"/>
      <c r="PM131" s="38"/>
      <c r="PN131" s="38"/>
      <c r="PO131" s="38"/>
      <c r="PP131" s="38"/>
      <c r="PQ131" s="38"/>
      <c r="PR131" s="38"/>
      <c r="PS131" s="38"/>
      <c r="PT131" s="38"/>
      <c r="PU131" s="38"/>
      <c r="PV131" s="38"/>
      <c r="PW131" s="38"/>
      <c r="PX131" s="38"/>
      <c r="PY131" s="38"/>
      <c r="PZ131" s="38"/>
      <c r="QA131" s="38"/>
      <c r="QB131" s="38"/>
      <c r="QC131" s="38"/>
      <c r="QD131" s="38"/>
      <c r="QE131" s="38"/>
      <c r="QF131" s="38"/>
      <c r="QG131" s="38"/>
      <c r="QH131" s="38"/>
      <c r="QI131" s="38"/>
      <c r="QJ131" s="38"/>
      <c r="QK131" s="38"/>
      <c r="QL131" s="38"/>
      <c r="QM131" s="38"/>
      <c r="QN131" s="38"/>
      <c r="QO131" s="38"/>
      <c r="QP131" s="38"/>
      <c r="QQ131" s="38"/>
      <c r="QR131" s="38"/>
      <c r="QS131" s="38"/>
      <c r="QT131" s="38"/>
      <c r="QU131" s="38"/>
      <c r="QV131" s="38"/>
      <c r="QW131" s="38"/>
      <c r="QX131" s="38"/>
      <c r="QY131" s="38"/>
      <c r="QZ131" s="38"/>
      <c r="RA131" s="38"/>
      <c r="RB131" s="38"/>
      <c r="RC131" s="38"/>
      <c r="RD131" s="38"/>
      <c r="RE131" s="38"/>
      <c r="RF131" s="38"/>
      <c r="RG131" s="38"/>
      <c r="RH131" s="38"/>
      <c r="RI131" s="38"/>
      <c r="RJ131" s="38"/>
      <c r="RK131" s="38"/>
      <c r="RL131" s="38"/>
      <c r="RM131" s="38"/>
      <c r="RN131" s="38"/>
      <c r="RO131" s="38"/>
      <c r="RP131" s="38"/>
      <c r="RQ131" s="38"/>
      <c r="RR131" s="38"/>
      <c r="RS131" s="38"/>
      <c r="RT131" s="38"/>
      <c r="RU131" s="38"/>
      <c r="RV131" s="38"/>
      <c r="RW131" s="38"/>
      <c r="RX131" s="38"/>
      <c r="RY131" s="38"/>
      <c r="RZ131" s="38"/>
      <c r="SA131" s="38"/>
      <c r="SB131" s="38"/>
      <c r="SC131" s="38"/>
      <c r="SD131" s="38"/>
      <c r="SE131" s="38"/>
      <c r="SF131" s="38"/>
      <c r="SG131" s="38"/>
      <c r="SH131" s="38"/>
      <c r="SI131" s="38"/>
      <c r="SJ131" s="38"/>
      <c r="SK131" s="38"/>
      <c r="SL131" s="38"/>
      <c r="SM131" s="38"/>
      <c r="SN131" s="38"/>
      <c r="SO131" s="38"/>
      <c r="SP131" s="38"/>
      <c r="SQ131" s="38"/>
      <c r="SR131" s="38"/>
      <c r="SS131" s="38"/>
      <c r="ST131" s="38"/>
      <c r="SU131" s="38"/>
      <c r="SV131" s="38"/>
      <c r="SW131" s="38"/>
      <c r="SX131" s="38"/>
      <c r="SY131" s="38"/>
      <c r="SZ131" s="38"/>
      <c r="TA131" s="38"/>
      <c r="TB131" s="38"/>
      <c r="TC131" s="38"/>
      <c r="TD131" s="38"/>
      <c r="TE131" s="38"/>
      <c r="TF131" s="38"/>
      <c r="TG131" s="38"/>
      <c r="TH131" s="38"/>
      <c r="TI131" s="38"/>
      <c r="TJ131" s="38"/>
      <c r="TK131" s="38"/>
      <c r="TL131" s="38"/>
      <c r="TM131" s="38"/>
      <c r="TN131" s="38"/>
      <c r="TO131" s="38"/>
      <c r="TP131" s="38"/>
      <c r="TQ131" s="38"/>
      <c r="TR131" s="38"/>
      <c r="TS131" s="38"/>
      <c r="TT131" s="38"/>
      <c r="TU131" s="38"/>
      <c r="TV131" s="38"/>
      <c r="TW131" s="38"/>
      <c r="TX131" s="38"/>
      <c r="TY131" s="38"/>
      <c r="TZ131" s="38"/>
      <c r="UA131" s="38"/>
      <c r="UB131" s="38"/>
      <c r="UC131" s="38"/>
      <c r="UD131" s="38"/>
      <c r="UE131" s="38"/>
      <c r="UF131" s="38"/>
      <c r="UG131" s="38"/>
      <c r="UH131" s="38"/>
      <c r="UI131" s="38"/>
      <c r="UJ131" s="38"/>
      <c r="UK131" s="38"/>
      <c r="UL131" s="38"/>
      <c r="UM131" s="38"/>
      <c r="UN131" s="38"/>
      <c r="UO131" s="38"/>
      <c r="UP131" s="38"/>
      <c r="UQ131" s="38"/>
      <c r="UR131" s="38"/>
      <c r="US131" s="38"/>
      <c r="UT131" s="38"/>
      <c r="UU131" s="38"/>
      <c r="UV131" s="38"/>
      <c r="UW131" s="38"/>
      <c r="UX131" s="38"/>
      <c r="UY131" s="38"/>
      <c r="UZ131" s="38"/>
      <c r="VA131" s="38"/>
      <c r="VB131" s="38"/>
      <c r="VC131" s="38"/>
      <c r="VD131" s="38"/>
      <c r="VE131" s="38"/>
      <c r="VF131" s="38"/>
      <c r="VG131" s="38"/>
      <c r="VH131" s="38"/>
      <c r="VI131" s="38"/>
      <c r="VJ131" s="38"/>
      <c r="VK131" s="38"/>
      <c r="VL131" s="38"/>
      <c r="VM131" s="38"/>
      <c r="VN131" s="38"/>
      <c r="VO131" s="38"/>
      <c r="VP131" s="38"/>
      <c r="VQ131" s="38"/>
      <c r="VR131" s="38"/>
      <c r="VS131" s="38"/>
      <c r="VT131" s="38"/>
      <c r="VU131" s="38"/>
      <c r="VV131" s="38"/>
      <c r="VW131" s="38"/>
      <c r="VX131" s="38"/>
      <c r="VY131" s="38"/>
      <c r="VZ131" s="38"/>
      <c r="WA131" s="38"/>
      <c r="WB131" s="38"/>
      <c r="WC131" s="38"/>
      <c r="WD131" s="38"/>
      <c r="WE131" s="38"/>
      <c r="WF131" s="38"/>
      <c r="WG131" s="38"/>
      <c r="WH131" s="38"/>
      <c r="WI131" s="38"/>
      <c r="WJ131" s="38"/>
      <c r="WK131" s="38"/>
      <c r="WL131" s="38"/>
      <c r="WM131" s="38"/>
      <c r="WN131" s="38"/>
      <c r="WO131" s="38"/>
      <c r="WP131" s="38"/>
      <c r="WQ131" s="38"/>
      <c r="WR131" s="38"/>
      <c r="WS131" s="38"/>
      <c r="WT131" s="38"/>
      <c r="WU131" s="38"/>
      <c r="WV131" s="38"/>
      <c r="WW131" s="38"/>
      <c r="WX131" s="38"/>
      <c r="WY131" s="38"/>
      <c r="WZ131" s="38"/>
      <c r="XA131" s="38"/>
      <c r="XB131" s="38"/>
      <c r="XC131" s="38"/>
      <c r="XD131" s="38"/>
      <c r="XE131" s="38"/>
      <c r="XF131" s="38"/>
      <c r="XG131" s="38"/>
      <c r="XH131" s="38"/>
      <c r="XI131" s="38"/>
      <c r="XJ131" s="38"/>
      <c r="XK131" s="38"/>
      <c r="XL131" s="38"/>
      <c r="XM131" s="38"/>
      <c r="XN131" s="38"/>
      <c r="XO131" s="38"/>
      <c r="XP131" s="38"/>
      <c r="XQ131" s="38"/>
      <c r="XR131" s="38"/>
      <c r="XS131" s="38"/>
      <c r="XT131" s="38"/>
      <c r="XU131" s="38"/>
      <c r="XV131" s="38"/>
      <c r="XW131" s="38"/>
      <c r="XX131" s="38"/>
      <c r="XY131" s="38"/>
      <c r="XZ131" s="38"/>
      <c r="YA131" s="38"/>
      <c r="YB131" s="38"/>
      <c r="YC131" s="38"/>
      <c r="YD131" s="38"/>
      <c r="YE131" s="38"/>
      <c r="YF131" s="38"/>
      <c r="YG131" s="38"/>
      <c r="YH131" s="38"/>
      <c r="YI131" s="38"/>
      <c r="YJ131" s="38"/>
      <c r="YK131" s="38"/>
      <c r="YL131" s="38"/>
      <c r="YM131" s="38"/>
      <c r="YN131" s="38"/>
      <c r="YO131" s="38"/>
      <c r="YP131" s="38"/>
      <c r="YQ131" s="38"/>
      <c r="YR131" s="38"/>
      <c r="YS131" s="38"/>
      <c r="YT131" s="38"/>
      <c r="YU131" s="38"/>
      <c r="YV131" s="38"/>
      <c r="YW131" s="38"/>
      <c r="YX131" s="38"/>
      <c r="YY131" s="38"/>
      <c r="YZ131" s="38"/>
      <c r="ZA131" s="38"/>
      <c r="ZB131" s="38"/>
      <c r="ZC131" s="38"/>
      <c r="ZD131" s="38"/>
      <c r="ZE131" s="38"/>
      <c r="ZF131" s="38"/>
      <c r="ZG131" s="38"/>
      <c r="ZH131" s="38"/>
      <c r="ZI131" s="38"/>
      <c r="ZJ131" s="38"/>
      <c r="ZK131" s="38"/>
      <c r="ZL131" s="38"/>
      <c r="ZM131" s="38"/>
      <c r="ZN131" s="38"/>
      <c r="ZO131" s="38"/>
      <c r="ZP131" s="38"/>
      <c r="ZQ131" s="38"/>
      <c r="ZR131" s="38"/>
      <c r="ZS131" s="38"/>
      <c r="ZT131" s="38"/>
      <c r="ZU131" s="38"/>
      <c r="ZV131" s="38"/>
      <c r="ZW131" s="38"/>
      <c r="ZX131" s="38"/>
      <c r="ZY131" s="38"/>
      <c r="ZZ131" s="38"/>
      <c r="AAA131" s="38"/>
      <c r="AAB131" s="38"/>
      <c r="AAC131" s="38"/>
      <c r="AAD131" s="38"/>
      <c r="AAE131" s="38"/>
      <c r="AAF131" s="38"/>
      <c r="AAG131" s="38"/>
      <c r="AAH131" s="38"/>
      <c r="AAI131" s="38"/>
      <c r="AAJ131" s="38"/>
      <c r="AAK131" s="38"/>
      <c r="AAL131" s="38"/>
      <c r="AAM131" s="38"/>
      <c r="AAN131" s="38"/>
      <c r="AAO131" s="38"/>
      <c r="AAP131" s="38"/>
      <c r="AAQ131" s="38"/>
      <c r="AAR131" s="38"/>
      <c r="AAS131" s="38"/>
      <c r="AAT131" s="38"/>
      <c r="AAU131" s="38"/>
      <c r="AAV131" s="38"/>
      <c r="AAW131" s="38"/>
      <c r="AAX131" s="38"/>
      <c r="AAY131" s="38"/>
      <c r="AAZ131" s="38"/>
      <c r="ABA131" s="38"/>
      <c r="ABB131" s="38"/>
      <c r="ABC131" s="38"/>
      <c r="ABD131" s="38"/>
      <c r="ABE131" s="38"/>
      <c r="ABF131" s="38"/>
      <c r="ABG131" s="38"/>
      <c r="ABH131" s="38"/>
      <c r="ABI131" s="38"/>
      <c r="ABJ131" s="38"/>
      <c r="ABK131" s="38"/>
      <c r="ABL131" s="38"/>
      <c r="ABM131" s="38"/>
      <c r="ABN131" s="38"/>
      <c r="ABO131" s="38"/>
      <c r="ABP131" s="38"/>
      <c r="ABQ131" s="38"/>
      <c r="ABR131" s="38"/>
      <c r="ABS131" s="38"/>
      <c r="ABT131" s="38"/>
      <c r="ABU131" s="38"/>
      <c r="ABV131" s="38"/>
      <c r="ABW131" s="38"/>
      <c r="ABX131" s="38"/>
      <c r="ABY131" s="38"/>
      <c r="ABZ131" s="38"/>
      <c r="ACA131" s="38"/>
      <c r="ACB131" s="38"/>
      <c r="ACC131" s="38"/>
      <c r="ACD131" s="38"/>
      <c r="ACE131" s="38"/>
      <c r="ACF131" s="38"/>
      <c r="ACG131" s="38"/>
      <c r="ACH131" s="38"/>
      <c r="ACI131" s="38"/>
      <c r="ACJ131" s="38"/>
      <c r="ACK131" s="38"/>
      <c r="ACL131" s="38"/>
      <c r="ACM131" s="38"/>
      <c r="ACN131" s="38"/>
      <c r="ACO131" s="38"/>
      <c r="ACP131" s="38"/>
      <c r="ACQ131" s="38"/>
      <c r="ACR131" s="38"/>
      <c r="ACS131" s="38"/>
      <c r="ACT131" s="38"/>
      <c r="ACU131" s="38"/>
      <c r="ACV131" s="38"/>
      <c r="ACW131" s="38"/>
      <c r="ACX131" s="38"/>
      <c r="ACY131" s="38"/>
      <c r="ACZ131" s="38"/>
      <c r="ADA131" s="38"/>
      <c r="ADB131" s="38"/>
      <c r="ADC131" s="38"/>
      <c r="ADD131" s="38"/>
      <c r="ADE131" s="38"/>
      <c r="ADF131" s="38"/>
      <c r="ADG131" s="38"/>
      <c r="ADH131" s="38"/>
      <c r="ADI131" s="38"/>
      <c r="ADJ131" s="38"/>
      <c r="ADK131" s="38"/>
      <c r="ADL131" s="38"/>
      <c r="ADM131" s="38"/>
      <c r="ADN131" s="38"/>
      <c r="ADO131" s="38"/>
      <c r="ADP131" s="38"/>
      <c r="ADQ131" s="38"/>
      <c r="ADR131" s="38"/>
      <c r="ADS131" s="38"/>
      <c r="ADT131" s="38"/>
      <c r="ADU131" s="38"/>
      <c r="ADV131" s="38"/>
      <c r="ADW131" s="38"/>
      <c r="ADX131" s="38"/>
      <c r="ADY131" s="38"/>
      <c r="ADZ131" s="38"/>
      <c r="AEA131" s="38"/>
      <c r="AEB131" s="38"/>
      <c r="AEC131" s="38"/>
      <c r="AED131" s="38"/>
      <c r="AEE131" s="38"/>
      <c r="AEF131" s="38"/>
      <c r="AEG131" s="38"/>
      <c r="AEH131" s="38"/>
      <c r="AEI131" s="38"/>
      <c r="AEJ131" s="38"/>
      <c r="AEK131" s="38"/>
      <c r="AEL131" s="38"/>
      <c r="AEM131" s="38"/>
      <c r="AEN131" s="38"/>
      <c r="AEO131" s="38"/>
      <c r="AEP131" s="38"/>
      <c r="AEQ131" s="38"/>
      <c r="AER131" s="38"/>
      <c r="AES131" s="38"/>
      <c r="AET131" s="38"/>
      <c r="AEU131" s="38"/>
      <c r="AEV131" s="38"/>
      <c r="AEW131" s="38"/>
      <c r="AEX131" s="38"/>
      <c r="AEY131" s="38"/>
      <c r="AEZ131" s="38"/>
      <c r="AFA131" s="38"/>
      <c r="AFB131" s="38"/>
      <c r="AFC131" s="38"/>
      <c r="AFD131" s="38"/>
      <c r="AFE131" s="38"/>
      <c r="AFF131" s="38"/>
      <c r="AFG131" s="38"/>
      <c r="AFH131" s="38"/>
      <c r="AFI131" s="38"/>
      <c r="AFJ131" s="38"/>
      <c r="AFK131" s="38"/>
      <c r="AFL131" s="38"/>
      <c r="AFM131" s="38"/>
      <c r="AFN131" s="38"/>
      <c r="AFO131" s="38"/>
      <c r="AFP131" s="38"/>
      <c r="AFQ131" s="38"/>
      <c r="AFR131" s="38"/>
      <c r="AFS131" s="38"/>
      <c r="AFT131" s="38"/>
      <c r="AFU131" s="38"/>
      <c r="AFV131" s="38"/>
      <c r="AFW131" s="38"/>
      <c r="AFX131" s="38"/>
      <c r="AFY131" s="38"/>
      <c r="AFZ131" s="38"/>
      <c r="AGA131" s="38"/>
      <c r="AGB131" s="38"/>
      <c r="AGC131" s="38"/>
      <c r="AGD131" s="38"/>
      <c r="AGE131" s="38"/>
      <c r="AGF131" s="38"/>
      <c r="AGG131" s="38"/>
      <c r="AGH131" s="38"/>
      <c r="AGI131" s="38"/>
      <c r="AGJ131" s="38"/>
      <c r="AGK131" s="38"/>
      <c r="AGL131" s="38"/>
      <c r="AGM131" s="38"/>
      <c r="AGN131" s="38"/>
      <c r="AGO131" s="38"/>
      <c r="AGP131" s="38"/>
      <c r="AGQ131" s="38"/>
      <c r="AGR131" s="38"/>
      <c r="AGS131" s="38"/>
      <c r="AGT131" s="38"/>
      <c r="AGU131" s="38"/>
      <c r="AGV131" s="38"/>
      <c r="AGW131" s="38"/>
      <c r="AGX131" s="38"/>
      <c r="AGY131" s="38"/>
      <c r="AGZ131" s="38"/>
      <c r="AHA131" s="38"/>
      <c r="AHB131" s="38"/>
      <c r="AHC131" s="38"/>
      <c r="AHD131" s="38"/>
      <c r="AHE131" s="38"/>
      <c r="AHF131" s="38"/>
      <c r="AHG131" s="38"/>
      <c r="AHH131" s="38"/>
      <c r="AHI131" s="38"/>
      <c r="AHJ131" s="38"/>
      <c r="AHK131" s="38"/>
      <c r="AHL131" s="38"/>
      <c r="AHM131" s="38"/>
      <c r="AHN131" s="38"/>
      <c r="AHO131" s="38"/>
      <c r="AHP131" s="38"/>
      <c r="AHQ131" s="38"/>
      <c r="AHR131" s="38"/>
      <c r="AHS131" s="38"/>
      <c r="AHT131" s="38"/>
      <c r="AHU131" s="38"/>
      <c r="AHV131" s="38"/>
    </row>
    <row r="132" spans="1:906" s="27" customFormat="1" x14ac:dyDescent="0.35">
      <c r="A132" s="83">
        <v>127</v>
      </c>
      <c r="B132" s="108" t="s">
        <v>218</v>
      </c>
      <c r="C132" s="109" t="s">
        <v>214</v>
      </c>
      <c r="D132" s="109" t="s">
        <v>215</v>
      </c>
      <c r="E132" s="125"/>
      <c r="F132" s="125"/>
      <c r="G132" s="125">
        <v>8</v>
      </c>
      <c r="H132" s="125"/>
      <c r="I132" s="37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  <c r="BP132" s="38"/>
      <c r="BQ132" s="38"/>
      <c r="BR132" s="38"/>
      <c r="BS132" s="38"/>
      <c r="BT132" s="38"/>
      <c r="BU132" s="38"/>
      <c r="BV132" s="38"/>
      <c r="BW132" s="38"/>
      <c r="BX132" s="38"/>
      <c r="BY132" s="38"/>
      <c r="BZ132" s="38"/>
      <c r="CA132" s="38"/>
      <c r="CB132" s="38"/>
      <c r="CC132" s="38"/>
      <c r="CD132" s="38"/>
      <c r="CE132" s="38"/>
      <c r="CF132" s="38"/>
      <c r="CG132" s="38"/>
      <c r="CH132" s="38"/>
      <c r="CI132" s="38"/>
      <c r="CJ132" s="38"/>
      <c r="CK132" s="38"/>
      <c r="CL132" s="38"/>
      <c r="CM132" s="38"/>
      <c r="CN132" s="38"/>
      <c r="CO132" s="38"/>
      <c r="CP132" s="38"/>
      <c r="CQ132" s="38"/>
      <c r="CR132" s="38"/>
      <c r="CS132" s="38"/>
      <c r="CT132" s="38"/>
      <c r="CU132" s="38"/>
      <c r="CV132" s="38"/>
      <c r="CW132" s="38"/>
      <c r="CX132" s="38"/>
      <c r="CY132" s="38"/>
      <c r="CZ132" s="38"/>
      <c r="DA132" s="38"/>
      <c r="DB132" s="38"/>
      <c r="DC132" s="38"/>
      <c r="DD132" s="38"/>
      <c r="DE132" s="38"/>
      <c r="DF132" s="38"/>
      <c r="DG132" s="38"/>
      <c r="DH132" s="38"/>
      <c r="DI132" s="38"/>
      <c r="DJ132" s="38"/>
      <c r="DK132" s="38"/>
      <c r="DL132" s="38"/>
      <c r="DM132" s="38"/>
      <c r="DN132" s="38"/>
      <c r="DO132" s="38"/>
      <c r="DP132" s="38"/>
      <c r="DQ132" s="38"/>
      <c r="DR132" s="38"/>
      <c r="DS132" s="38"/>
      <c r="DT132" s="38"/>
      <c r="DU132" s="38"/>
      <c r="DV132" s="38"/>
      <c r="DW132" s="38"/>
      <c r="DX132" s="38"/>
      <c r="DY132" s="38"/>
      <c r="DZ132" s="38"/>
      <c r="EA132" s="38"/>
      <c r="EB132" s="38"/>
      <c r="EC132" s="38"/>
      <c r="ED132" s="38"/>
      <c r="EE132" s="38"/>
      <c r="EF132" s="38"/>
      <c r="EG132" s="38"/>
      <c r="EH132" s="38"/>
      <c r="EI132" s="38"/>
      <c r="EJ132" s="38"/>
      <c r="EK132" s="38"/>
      <c r="EL132" s="38"/>
      <c r="EM132" s="38"/>
      <c r="EN132" s="38"/>
      <c r="EO132" s="38"/>
      <c r="EP132" s="38"/>
      <c r="EQ132" s="38"/>
      <c r="ER132" s="38"/>
      <c r="ES132" s="38"/>
      <c r="ET132" s="38"/>
      <c r="EU132" s="38"/>
      <c r="EV132" s="38"/>
      <c r="EW132" s="38"/>
      <c r="EX132" s="38"/>
      <c r="EY132" s="38"/>
      <c r="EZ132" s="38"/>
      <c r="FA132" s="38"/>
      <c r="FB132" s="38"/>
      <c r="FC132" s="38"/>
      <c r="FD132" s="38"/>
      <c r="FE132" s="38"/>
      <c r="FF132" s="38"/>
      <c r="FG132" s="38"/>
      <c r="FH132" s="38"/>
      <c r="FI132" s="38"/>
      <c r="FJ132" s="38"/>
      <c r="FK132" s="38"/>
      <c r="FL132" s="38"/>
      <c r="FM132" s="38"/>
      <c r="FN132" s="38"/>
      <c r="FO132" s="38"/>
      <c r="FP132" s="38"/>
      <c r="FQ132" s="38"/>
      <c r="FR132" s="38"/>
      <c r="FS132" s="38"/>
      <c r="FT132" s="38"/>
      <c r="FU132" s="38"/>
      <c r="FV132" s="38"/>
      <c r="FW132" s="38"/>
      <c r="FX132" s="38"/>
      <c r="FY132" s="38"/>
      <c r="FZ132" s="38"/>
      <c r="GA132" s="38"/>
      <c r="GB132" s="38"/>
      <c r="GC132" s="38"/>
      <c r="GD132" s="38"/>
      <c r="GE132" s="38"/>
      <c r="GF132" s="38"/>
      <c r="GG132" s="38"/>
      <c r="GH132" s="38"/>
      <c r="GI132" s="38"/>
      <c r="GJ132" s="38"/>
      <c r="GK132" s="38"/>
      <c r="GL132" s="38"/>
      <c r="GM132" s="38"/>
      <c r="GN132" s="38"/>
      <c r="GO132" s="38"/>
      <c r="GP132" s="38"/>
      <c r="GQ132" s="38"/>
      <c r="GR132" s="38"/>
      <c r="GS132" s="38"/>
      <c r="GT132" s="38"/>
      <c r="GU132" s="38"/>
      <c r="GV132" s="38"/>
      <c r="GW132" s="38"/>
      <c r="GX132" s="38"/>
      <c r="GY132" s="38"/>
      <c r="GZ132" s="38"/>
      <c r="HA132" s="38"/>
      <c r="HB132" s="38"/>
      <c r="HC132" s="38"/>
      <c r="HD132" s="38"/>
      <c r="HE132" s="38"/>
      <c r="HF132" s="38"/>
      <c r="HG132" s="38"/>
      <c r="HH132" s="38"/>
      <c r="HI132" s="38"/>
      <c r="HJ132" s="38"/>
      <c r="HK132" s="38"/>
      <c r="HL132" s="38"/>
      <c r="HM132" s="38"/>
      <c r="HN132" s="38"/>
      <c r="HO132" s="38"/>
      <c r="HP132" s="38"/>
      <c r="HQ132" s="38"/>
      <c r="HR132" s="38"/>
      <c r="HS132" s="38"/>
      <c r="HT132" s="38"/>
      <c r="HU132" s="38"/>
      <c r="HV132" s="38"/>
      <c r="HW132" s="38"/>
      <c r="HX132" s="38"/>
      <c r="HY132" s="38"/>
      <c r="HZ132" s="38"/>
      <c r="IA132" s="38"/>
      <c r="IB132" s="38"/>
      <c r="IC132" s="38"/>
      <c r="ID132" s="38"/>
      <c r="IE132" s="38"/>
      <c r="IF132" s="38"/>
      <c r="IG132" s="38"/>
      <c r="IH132" s="38"/>
      <c r="II132" s="38"/>
      <c r="IJ132" s="38"/>
      <c r="IK132" s="38"/>
      <c r="IL132" s="38"/>
      <c r="IM132" s="38"/>
      <c r="IN132" s="38"/>
      <c r="IO132" s="38"/>
      <c r="IP132" s="38"/>
      <c r="IQ132" s="38"/>
      <c r="IR132" s="38"/>
      <c r="IS132" s="38"/>
      <c r="IT132" s="38"/>
      <c r="IU132" s="38"/>
      <c r="IV132" s="38"/>
      <c r="IW132" s="38"/>
      <c r="IX132" s="38"/>
      <c r="IY132" s="38"/>
      <c r="IZ132" s="38"/>
      <c r="JA132" s="38"/>
      <c r="JB132" s="38"/>
      <c r="JC132" s="38"/>
      <c r="JD132" s="38"/>
      <c r="JE132" s="38"/>
      <c r="JF132" s="38"/>
      <c r="JG132" s="38"/>
      <c r="JH132" s="38"/>
      <c r="JI132" s="38"/>
      <c r="JJ132" s="38"/>
      <c r="JK132" s="38"/>
      <c r="JL132" s="38"/>
      <c r="JM132" s="38"/>
      <c r="JN132" s="38"/>
      <c r="JO132" s="38"/>
      <c r="JP132" s="38"/>
      <c r="JQ132" s="38"/>
      <c r="JR132" s="38"/>
      <c r="JS132" s="38"/>
      <c r="JT132" s="38"/>
      <c r="JU132" s="38"/>
      <c r="JV132" s="38"/>
      <c r="JW132" s="38"/>
      <c r="JX132" s="38"/>
      <c r="JY132" s="38"/>
      <c r="JZ132" s="38"/>
      <c r="KA132" s="38"/>
      <c r="KB132" s="38"/>
      <c r="KC132" s="38"/>
      <c r="KD132" s="38"/>
      <c r="KE132" s="38"/>
      <c r="KF132" s="38"/>
      <c r="KG132" s="38"/>
      <c r="KH132" s="38"/>
      <c r="KI132" s="38"/>
      <c r="KJ132" s="38"/>
      <c r="KK132" s="38"/>
      <c r="KL132" s="38"/>
      <c r="KM132" s="38"/>
      <c r="KN132" s="38"/>
      <c r="KO132" s="38"/>
      <c r="KP132" s="38"/>
      <c r="KQ132" s="38"/>
      <c r="KR132" s="38"/>
      <c r="KS132" s="38"/>
      <c r="KT132" s="38"/>
      <c r="KU132" s="38"/>
      <c r="KV132" s="38"/>
      <c r="KW132" s="38"/>
      <c r="KX132" s="38"/>
      <c r="KY132" s="38"/>
      <c r="KZ132" s="38"/>
      <c r="LA132" s="38"/>
      <c r="LB132" s="38"/>
      <c r="LC132" s="38"/>
      <c r="LD132" s="38"/>
      <c r="LE132" s="38"/>
      <c r="LF132" s="38"/>
      <c r="LG132" s="38"/>
      <c r="LH132" s="38"/>
      <c r="LI132" s="38"/>
      <c r="LJ132" s="38"/>
      <c r="LK132" s="38"/>
      <c r="LL132" s="38"/>
      <c r="LM132" s="38"/>
      <c r="LN132" s="38"/>
      <c r="LO132" s="38"/>
      <c r="LP132" s="38"/>
      <c r="LQ132" s="38"/>
      <c r="LR132" s="38"/>
      <c r="LS132" s="38"/>
      <c r="LT132" s="38"/>
      <c r="LU132" s="38"/>
      <c r="LV132" s="38"/>
      <c r="LW132" s="38"/>
      <c r="LX132" s="38"/>
      <c r="LY132" s="38"/>
      <c r="LZ132" s="38"/>
      <c r="MA132" s="38"/>
      <c r="MB132" s="38"/>
      <c r="MC132" s="38"/>
      <c r="MD132" s="38"/>
      <c r="ME132" s="38"/>
      <c r="MF132" s="38"/>
      <c r="MG132" s="38"/>
      <c r="MH132" s="38"/>
      <c r="MI132" s="38"/>
      <c r="MJ132" s="38"/>
      <c r="MK132" s="38"/>
      <c r="ML132" s="38"/>
      <c r="MM132" s="38"/>
      <c r="MN132" s="38"/>
      <c r="MO132" s="38"/>
      <c r="MP132" s="38"/>
      <c r="MQ132" s="38"/>
      <c r="MR132" s="38"/>
      <c r="MS132" s="38"/>
      <c r="MT132" s="38"/>
      <c r="MU132" s="38"/>
      <c r="MV132" s="38"/>
      <c r="MW132" s="38"/>
      <c r="MX132" s="38"/>
      <c r="MY132" s="38"/>
      <c r="MZ132" s="38"/>
      <c r="NA132" s="38"/>
      <c r="NB132" s="38"/>
      <c r="NC132" s="38"/>
      <c r="ND132" s="38"/>
      <c r="NE132" s="38"/>
      <c r="NF132" s="38"/>
      <c r="NG132" s="38"/>
      <c r="NH132" s="38"/>
      <c r="NI132" s="38"/>
      <c r="NJ132" s="38"/>
      <c r="NK132" s="38"/>
      <c r="NL132" s="38"/>
      <c r="NM132" s="38"/>
      <c r="NN132" s="38"/>
      <c r="NO132" s="38"/>
      <c r="NP132" s="38"/>
      <c r="NQ132" s="38"/>
      <c r="NR132" s="38"/>
      <c r="NS132" s="38"/>
      <c r="NT132" s="38"/>
      <c r="NU132" s="38"/>
      <c r="NV132" s="38"/>
      <c r="NW132" s="38"/>
      <c r="NX132" s="38"/>
      <c r="NY132" s="38"/>
      <c r="NZ132" s="38"/>
      <c r="OA132" s="38"/>
      <c r="OB132" s="38"/>
      <c r="OC132" s="38"/>
      <c r="OD132" s="38"/>
      <c r="OE132" s="38"/>
      <c r="OF132" s="38"/>
      <c r="OG132" s="38"/>
      <c r="OH132" s="38"/>
      <c r="OI132" s="38"/>
      <c r="OJ132" s="38"/>
      <c r="OK132" s="38"/>
      <c r="OL132" s="38"/>
      <c r="OM132" s="38"/>
      <c r="ON132" s="38"/>
      <c r="OO132" s="38"/>
      <c r="OP132" s="38"/>
      <c r="OQ132" s="38"/>
      <c r="OR132" s="38"/>
      <c r="OS132" s="38"/>
      <c r="OT132" s="38"/>
      <c r="OU132" s="38"/>
      <c r="OV132" s="38"/>
      <c r="OW132" s="38"/>
      <c r="OX132" s="38"/>
      <c r="OY132" s="38"/>
      <c r="OZ132" s="38"/>
      <c r="PA132" s="38"/>
      <c r="PB132" s="38"/>
      <c r="PC132" s="38"/>
      <c r="PD132" s="38"/>
      <c r="PE132" s="38"/>
      <c r="PF132" s="38"/>
      <c r="PG132" s="38"/>
      <c r="PH132" s="38"/>
      <c r="PI132" s="38"/>
      <c r="PJ132" s="38"/>
      <c r="PK132" s="38"/>
      <c r="PL132" s="38"/>
      <c r="PM132" s="38"/>
      <c r="PN132" s="38"/>
      <c r="PO132" s="38"/>
      <c r="PP132" s="38"/>
      <c r="PQ132" s="38"/>
      <c r="PR132" s="38"/>
      <c r="PS132" s="38"/>
      <c r="PT132" s="38"/>
      <c r="PU132" s="38"/>
      <c r="PV132" s="38"/>
      <c r="PW132" s="38"/>
      <c r="PX132" s="38"/>
      <c r="PY132" s="38"/>
      <c r="PZ132" s="38"/>
      <c r="QA132" s="38"/>
      <c r="QB132" s="38"/>
      <c r="QC132" s="38"/>
      <c r="QD132" s="38"/>
      <c r="QE132" s="38"/>
      <c r="QF132" s="38"/>
      <c r="QG132" s="38"/>
      <c r="QH132" s="38"/>
      <c r="QI132" s="38"/>
      <c r="QJ132" s="38"/>
      <c r="QK132" s="38"/>
      <c r="QL132" s="38"/>
      <c r="QM132" s="38"/>
      <c r="QN132" s="38"/>
      <c r="QO132" s="38"/>
      <c r="QP132" s="38"/>
      <c r="QQ132" s="38"/>
      <c r="QR132" s="38"/>
      <c r="QS132" s="38"/>
      <c r="QT132" s="38"/>
      <c r="QU132" s="38"/>
      <c r="QV132" s="38"/>
      <c r="QW132" s="38"/>
      <c r="QX132" s="38"/>
      <c r="QY132" s="38"/>
      <c r="QZ132" s="38"/>
      <c r="RA132" s="38"/>
      <c r="RB132" s="38"/>
      <c r="RC132" s="38"/>
      <c r="RD132" s="38"/>
      <c r="RE132" s="38"/>
      <c r="RF132" s="38"/>
      <c r="RG132" s="38"/>
      <c r="RH132" s="38"/>
      <c r="RI132" s="38"/>
      <c r="RJ132" s="38"/>
      <c r="RK132" s="38"/>
      <c r="RL132" s="38"/>
      <c r="RM132" s="38"/>
      <c r="RN132" s="38"/>
      <c r="RO132" s="38"/>
      <c r="RP132" s="38"/>
      <c r="RQ132" s="38"/>
      <c r="RR132" s="38"/>
      <c r="RS132" s="38"/>
      <c r="RT132" s="38"/>
      <c r="RU132" s="38"/>
      <c r="RV132" s="38"/>
      <c r="RW132" s="38"/>
      <c r="RX132" s="38"/>
      <c r="RY132" s="38"/>
      <c r="RZ132" s="38"/>
      <c r="SA132" s="38"/>
      <c r="SB132" s="38"/>
      <c r="SC132" s="38"/>
      <c r="SD132" s="38"/>
      <c r="SE132" s="38"/>
      <c r="SF132" s="38"/>
      <c r="SG132" s="38"/>
      <c r="SH132" s="38"/>
      <c r="SI132" s="38"/>
      <c r="SJ132" s="38"/>
      <c r="SK132" s="38"/>
      <c r="SL132" s="38"/>
      <c r="SM132" s="38"/>
      <c r="SN132" s="38"/>
      <c r="SO132" s="38"/>
      <c r="SP132" s="38"/>
      <c r="SQ132" s="38"/>
      <c r="SR132" s="38"/>
      <c r="SS132" s="38"/>
      <c r="ST132" s="38"/>
      <c r="SU132" s="38"/>
      <c r="SV132" s="38"/>
      <c r="SW132" s="38"/>
      <c r="SX132" s="38"/>
      <c r="SY132" s="38"/>
      <c r="SZ132" s="38"/>
      <c r="TA132" s="38"/>
      <c r="TB132" s="38"/>
      <c r="TC132" s="38"/>
      <c r="TD132" s="38"/>
      <c r="TE132" s="38"/>
      <c r="TF132" s="38"/>
      <c r="TG132" s="38"/>
      <c r="TH132" s="38"/>
      <c r="TI132" s="38"/>
      <c r="TJ132" s="38"/>
      <c r="TK132" s="38"/>
      <c r="TL132" s="38"/>
      <c r="TM132" s="38"/>
      <c r="TN132" s="38"/>
      <c r="TO132" s="38"/>
      <c r="TP132" s="38"/>
      <c r="TQ132" s="38"/>
      <c r="TR132" s="38"/>
      <c r="TS132" s="38"/>
      <c r="TT132" s="38"/>
      <c r="TU132" s="38"/>
      <c r="TV132" s="38"/>
      <c r="TW132" s="38"/>
      <c r="TX132" s="38"/>
      <c r="TY132" s="38"/>
      <c r="TZ132" s="38"/>
      <c r="UA132" s="38"/>
      <c r="UB132" s="38"/>
      <c r="UC132" s="38"/>
      <c r="UD132" s="38"/>
      <c r="UE132" s="38"/>
      <c r="UF132" s="38"/>
      <c r="UG132" s="38"/>
      <c r="UH132" s="38"/>
      <c r="UI132" s="38"/>
      <c r="UJ132" s="38"/>
      <c r="UK132" s="38"/>
      <c r="UL132" s="38"/>
      <c r="UM132" s="38"/>
      <c r="UN132" s="38"/>
      <c r="UO132" s="38"/>
      <c r="UP132" s="38"/>
      <c r="UQ132" s="38"/>
      <c r="UR132" s="38"/>
      <c r="US132" s="38"/>
      <c r="UT132" s="38"/>
      <c r="UU132" s="38"/>
      <c r="UV132" s="38"/>
      <c r="UW132" s="38"/>
      <c r="UX132" s="38"/>
      <c r="UY132" s="38"/>
      <c r="UZ132" s="38"/>
      <c r="VA132" s="38"/>
      <c r="VB132" s="38"/>
      <c r="VC132" s="38"/>
      <c r="VD132" s="38"/>
      <c r="VE132" s="38"/>
      <c r="VF132" s="38"/>
      <c r="VG132" s="38"/>
      <c r="VH132" s="38"/>
      <c r="VI132" s="38"/>
      <c r="VJ132" s="38"/>
      <c r="VK132" s="38"/>
      <c r="VL132" s="38"/>
      <c r="VM132" s="38"/>
      <c r="VN132" s="38"/>
      <c r="VO132" s="38"/>
      <c r="VP132" s="38"/>
      <c r="VQ132" s="38"/>
      <c r="VR132" s="38"/>
      <c r="VS132" s="38"/>
      <c r="VT132" s="38"/>
      <c r="VU132" s="38"/>
      <c r="VV132" s="38"/>
      <c r="VW132" s="38"/>
      <c r="VX132" s="38"/>
      <c r="VY132" s="38"/>
      <c r="VZ132" s="38"/>
      <c r="WA132" s="38"/>
      <c r="WB132" s="38"/>
      <c r="WC132" s="38"/>
      <c r="WD132" s="38"/>
      <c r="WE132" s="38"/>
      <c r="WF132" s="38"/>
      <c r="WG132" s="38"/>
      <c r="WH132" s="38"/>
      <c r="WI132" s="38"/>
      <c r="WJ132" s="38"/>
      <c r="WK132" s="38"/>
      <c r="WL132" s="38"/>
      <c r="WM132" s="38"/>
      <c r="WN132" s="38"/>
      <c r="WO132" s="38"/>
      <c r="WP132" s="38"/>
      <c r="WQ132" s="38"/>
      <c r="WR132" s="38"/>
      <c r="WS132" s="38"/>
      <c r="WT132" s="38"/>
      <c r="WU132" s="38"/>
      <c r="WV132" s="38"/>
      <c r="WW132" s="38"/>
      <c r="WX132" s="38"/>
      <c r="WY132" s="38"/>
      <c r="WZ132" s="38"/>
      <c r="XA132" s="38"/>
      <c r="XB132" s="38"/>
      <c r="XC132" s="38"/>
      <c r="XD132" s="38"/>
      <c r="XE132" s="38"/>
      <c r="XF132" s="38"/>
      <c r="XG132" s="38"/>
      <c r="XH132" s="38"/>
      <c r="XI132" s="38"/>
      <c r="XJ132" s="38"/>
      <c r="XK132" s="38"/>
      <c r="XL132" s="38"/>
      <c r="XM132" s="38"/>
      <c r="XN132" s="38"/>
      <c r="XO132" s="38"/>
      <c r="XP132" s="38"/>
      <c r="XQ132" s="38"/>
      <c r="XR132" s="38"/>
      <c r="XS132" s="38"/>
      <c r="XT132" s="38"/>
      <c r="XU132" s="38"/>
      <c r="XV132" s="38"/>
      <c r="XW132" s="38"/>
      <c r="XX132" s="38"/>
      <c r="XY132" s="38"/>
      <c r="XZ132" s="38"/>
      <c r="YA132" s="38"/>
      <c r="YB132" s="38"/>
      <c r="YC132" s="38"/>
      <c r="YD132" s="38"/>
      <c r="YE132" s="38"/>
      <c r="YF132" s="38"/>
      <c r="YG132" s="38"/>
      <c r="YH132" s="38"/>
      <c r="YI132" s="38"/>
      <c r="YJ132" s="38"/>
      <c r="YK132" s="38"/>
      <c r="YL132" s="38"/>
      <c r="YM132" s="38"/>
      <c r="YN132" s="38"/>
      <c r="YO132" s="38"/>
      <c r="YP132" s="38"/>
      <c r="YQ132" s="38"/>
      <c r="YR132" s="38"/>
      <c r="YS132" s="38"/>
      <c r="YT132" s="38"/>
      <c r="YU132" s="38"/>
      <c r="YV132" s="38"/>
      <c r="YW132" s="38"/>
      <c r="YX132" s="38"/>
      <c r="YY132" s="38"/>
      <c r="YZ132" s="38"/>
      <c r="ZA132" s="38"/>
      <c r="ZB132" s="38"/>
      <c r="ZC132" s="38"/>
      <c r="ZD132" s="38"/>
      <c r="ZE132" s="38"/>
      <c r="ZF132" s="38"/>
      <c r="ZG132" s="38"/>
      <c r="ZH132" s="38"/>
      <c r="ZI132" s="38"/>
      <c r="ZJ132" s="38"/>
      <c r="ZK132" s="38"/>
      <c r="ZL132" s="38"/>
      <c r="ZM132" s="38"/>
      <c r="ZN132" s="38"/>
      <c r="ZO132" s="38"/>
      <c r="ZP132" s="38"/>
      <c r="ZQ132" s="38"/>
      <c r="ZR132" s="38"/>
      <c r="ZS132" s="38"/>
      <c r="ZT132" s="38"/>
      <c r="ZU132" s="38"/>
      <c r="ZV132" s="38"/>
      <c r="ZW132" s="38"/>
      <c r="ZX132" s="38"/>
      <c r="ZY132" s="38"/>
      <c r="ZZ132" s="38"/>
      <c r="AAA132" s="38"/>
      <c r="AAB132" s="38"/>
      <c r="AAC132" s="38"/>
      <c r="AAD132" s="38"/>
      <c r="AAE132" s="38"/>
      <c r="AAF132" s="38"/>
      <c r="AAG132" s="38"/>
      <c r="AAH132" s="38"/>
      <c r="AAI132" s="38"/>
      <c r="AAJ132" s="38"/>
      <c r="AAK132" s="38"/>
      <c r="AAL132" s="38"/>
      <c r="AAM132" s="38"/>
      <c r="AAN132" s="38"/>
      <c r="AAO132" s="38"/>
      <c r="AAP132" s="38"/>
      <c r="AAQ132" s="38"/>
      <c r="AAR132" s="38"/>
      <c r="AAS132" s="38"/>
      <c r="AAT132" s="38"/>
      <c r="AAU132" s="38"/>
      <c r="AAV132" s="38"/>
      <c r="AAW132" s="38"/>
      <c r="AAX132" s="38"/>
      <c r="AAY132" s="38"/>
      <c r="AAZ132" s="38"/>
      <c r="ABA132" s="38"/>
      <c r="ABB132" s="38"/>
      <c r="ABC132" s="38"/>
      <c r="ABD132" s="38"/>
      <c r="ABE132" s="38"/>
      <c r="ABF132" s="38"/>
      <c r="ABG132" s="38"/>
      <c r="ABH132" s="38"/>
      <c r="ABI132" s="38"/>
      <c r="ABJ132" s="38"/>
      <c r="ABK132" s="38"/>
      <c r="ABL132" s="38"/>
      <c r="ABM132" s="38"/>
      <c r="ABN132" s="38"/>
      <c r="ABO132" s="38"/>
      <c r="ABP132" s="38"/>
      <c r="ABQ132" s="38"/>
      <c r="ABR132" s="38"/>
      <c r="ABS132" s="38"/>
      <c r="ABT132" s="38"/>
      <c r="ABU132" s="38"/>
      <c r="ABV132" s="38"/>
      <c r="ABW132" s="38"/>
      <c r="ABX132" s="38"/>
      <c r="ABY132" s="38"/>
      <c r="ABZ132" s="38"/>
      <c r="ACA132" s="38"/>
      <c r="ACB132" s="38"/>
      <c r="ACC132" s="38"/>
      <c r="ACD132" s="38"/>
      <c r="ACE132" s="38"/>
      <c r="ACF132" s="38"/>
      <c r="ACG132" s="38"/>
      <c r="ACH132" s="38"/>
      <c r="ACI132" s="38"/>
      <c r="ACJ132" s="38"/>
      <c r="ACK132" s="38"/>
      <c r="ACL132" s="38"/>
      <c r="ACM132" s="38"/>
      <c r="ACN132" s="38"/>
      <c r="ACO132" s="38"/>
      <c r="ACP132" s="38"/>
      <c r="ACQ132" s="38"/>
      <c r="ACR132" s="38"/>
      <c r="ACS132" s="38"/>
      <c r="ACT132" s="38"/>
      <c r="ACU132" s="38"/>
      <c r="ACV132" s="38"/>
      <c r="ACW132" s="38"/>
      <c r="ACX132" s="38"/>
      <c r="ACY132" s="38"/>
      <c r="ACZ132" s="38"/>
      <c r="ADA132" s="38"/>
      <c r="ADB132" s="38"/>
      <c r="ADC132" s="38"/>
      <c r="ADD132" s="38"/>
      <c r="ADE132" s="38"/>
      <c r="ADF132" s="38"/>
      <c r="ADG132" s="38"/>
      <c r="ADH132" s="38"/>
      <c r="ADI132" s="38"/>
      <c r="ADJ132" s="38"/>
      <c r="ADK132" s="38"/>
      <c r="ADL132" s="38"/>
      <c r="ADM132" s="38"/>
      <c r="ADN132" s="38"/>
      <c r="ADO132" s="38"/>
      <c r="ADP132" s="38"/>
      <c r="ADQ132" s="38"/>
      <c r="ADR132" s="38"/>
      <c r="ADS132" s="38"/>
      <c r="ADT132" s="38"/>
      <c r="ADU132" s="38"/>
      <c r="ADV132" s="38"/>
      <c r="ADW132" s="38"/>
      <c r="ADX132" s="38"/>
      <c r="ADY132" s="38"/>
      <c r="ADZ132" s="38"/>
      <c r="AEA132" s="38"/>
      <c r="AEB132" s="38"/>
      <c r="AEC132" s="38"/>
      <c r="AED132" s="38"/>
      <c r="AEE132" s="38"/>
      <c r="AEF132" s="38"/>
      <c r="AEG132" s="38"/>
      <c r="AEH132" s="38"/>
      <c r="AEI132" s="38"/>
      <c r="AEJ132" s="38"/>
      <c r="AEK132" s="38"/>
      <c r="AEL132" s="38"/>
      <c r="AEM132" s="38"/>
      <c r="AEN132" s="38"/>
      <c r="AEO132" s="38"/>
      <c r="AEP132" s="38"/>
      <c r="AEQ132" s="38"/>
      <c r="AER132" s="38"/>
      <c r="AES132" s="38"/>
      <c r="AET132" s="38"/>
      <c r="AEU132" s="38"/>
      <c r="AEV132" s="38"/>
      <c r="AEW132" s="38"/>
      <c r="AEX132" s="38"/>
      <c r="AEY132" s="38"/>
      <c r="AEZ132" s="38"/>
      <c r="AFA132" s="38"/>
      <c r="AFB132" s="38"/>
      <c r="AFC132" s="38"/>
      <c r="AFD132" s="38"/>
      <c r="AFE132" s="38"/>
      <c r="AFF132" s="38"/>
      <c r="AFG132" s="38"/>
      <c r="AFH132" s="38"/>
      <c r="AFI132" s="38"/>
      <c r="AFJ132" s="38"/>
      <c r="AFK132" s="38"/>
      <c r="AFL132" s="38"/>
      <c r="AFM132" s="38"/>
      <c r="AFN132" s="38"/>
      <c r="AFO132" s="38"/>
      <c r="AFP132" s="38"/>
      <c r="AFQ132" s="38"/>
      <c r="AFR132" s="38"/>
      <c r="AFS132" s="38"/>
      <c r="AFT132" s="38"/>
      <c r="AFU132" s="38"/>
      <c r="AFV132" s="38"/>
      <c r="AFW132" s="38"/>
      <c r="AFX132" s="38"/>
      <c r="AFY132" s="38"/>
      <c r="AFZ132" s="38"/>
      <c r="AGA132" s="38"/>
      <c r="AGB132" s="38"/>
      <c r="AGC132" s="38"/>
      <c r="AGD132" s="38"/>
      <c r="AGE132" s="38"/>
      <c r="AGF132" s="38"/>
      <c r="AGG132" s="38"/>
      <c r="AGH132" s="38"/>
      <c r="AGI132" s="38"/>
      <c r="AGJ132" s="38"/>
      <c r="AGK132" s="38"/>
      <c r="AGL132" s="38"/>
      <c r="AGM132" s="38"/>
      <c r="AGN132" s="38"/>
      <c r="AGO132" s="38"/>
      <c r="AGP132" s="38"/>
      <c r="AGQ132" s="38"/>
      <c r="AGR132" s="38"/>
      <c r="AGS132" s="38"/>
      <c r="AGT132" s="38"/>
      <c r="AGU132" s="38"/>
      <c r="AGV132" s="38"/>
      <c r="AGW132" s="38"/>
      <c r="AGX132" s="38"/>
      <c r="AGY132" s="38"/>
      <c r="AGZ132" s="38"/>
      <c r="AHA132" s="38"/>
      <c r="AHB132" s="38"/>
      <c r="AHC132" s="38"/>
      <c r="AHD132" s="38"/>
      <c r="AHE132" s="38"/>
      <c r="AHF132" s="38"/>
      <c r="AHG132" s="38"/>
      <c r="AHH132" s="38"/>
      <c r="AHI132" s="38"/>
      <c r="AHJ132" s="38"/>
      <c r="AHK132" s="38"/>
      <c r="AHL132" s="38"/>
      <c r="AHM132" s="38"/>
      <c r="AHN132" s="38"/>
      <c r="AHO132" s="38"/>
      <c r="AHP132" s="38"/>
      <c r="AHQ132" s="38"/>
      <c r="AHR132" s="38"/>
      <c r="AHS132" s="38"/>
      <c r="AHT132" s="38"/>
      <c r="AHU132" s="38"/>
      <c r="AHV132" s="38"/>
    </row>
    <row r="133" spans="1:906" s="27" customFormat="1" x14ac:dyDescent="0.35">
      <c r="A133" s="83">
        <v>128</v>
      </c>
      <c r="B133" s="108" t="s">
        <v>219</v>
      </c>
      <c r="C133" s="109" t="s">
        <v>214</v>
      </c>
      <c r="D133" s="109" t="s">
        <v>215</v>
      </c>
      <c r="E133" s="125">
        <v>10.75</v>
      </c>
      <c r="F133" s="125">
        <v>9.9499999999999993</v>
      </c>
      <c r="G133" s="125">
        <v>9.5</v>
      </c>
      <c r="H133" s="125">
        <v>10.5</v>
      </c>
      <c r="I133" s="37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  <c r="BO133" s="38"/>
      <c r="BP133" s="38"/>
      <c r="BQ133" s="38"/>
      <c r="BR133" s="38"/>
      <c r="BS133" s="38"/>
      <c r="BT133" s="38"/>
      <c r="BU133" s="38"/>
      <c r="BV133" s="38"/>
      <c r="BW133" s="38"/>
      <c r="BX133" s="38"/>
      <c r="BY133" s="38"/>
      <c r="BZ133" s="38"/>
      <c r="CA133" s="38"/>
      <c r="CB133" s="38"/>
      <c r="CC133" s="38"/>
      <c r="CD133" s="38"/>
      <c r="CE133" s="38"/>
      <c r="CF133" s="38"/>
      <c r="CG133" s="38"/>
      <c r="CH133" s="38"/>
      <c r="CI133" s="38"/>
      <c r="CJ133" s="38"/>
      <c r="CK133" s="38"/>
      <c r="CL133" s="38"/>
      <c r="CM133" s="38"/>
      <c r="CN133" s="38"/>
      <c r="CO133" s="38"/>
      <c r="CP133" s="38"/>
      <c r="CQ133" s="38"/>
      <c r="CR133" s="38"/>
      <c r="CS133" s="38"/>
      <c r="CT133" s="38"/>
      <c r="CU133" s="38"/>
      <c r="CV133" s="38"/>
      <c r="CW133" s="38"/>
      <c r="CX133" s="38"/>
      <c r="CY133" s="38"/>
      <c r="CZ133" s="38"/>
      <c r="DA133" s="38"/>
      <c r="DB133" s="38"/>
      <c r="DC133" s="38"/>
      <c r="DD133" s="38"/>
      <c r="DE133" s="38"/>
      <c r="DF133" s="38"/>
      <c r="DG133" s="38"/>
      <c r="DH133" s="38"/>
      <c r="DI133" s="38"/>
      <c r="DJ133" s="38"/>
      <c r="DK133" s="38"/>
      <c r="DL133" s="38"/>
      <c r="DM133" s="38"/>
      <c r="DN133" s="38"/>
      <c r="DO133" s="38"/>
      <c r="DP133" s="38"/>
      <c r="DQ133" s="38"/>
      <c r="DR133" s="38"/>
      <c r="DS133" s="38"/>
      <c r="DT133" s="38"/>
      <c r="DU133" s="38"/>
      <c r="DV133" s="38"/>
      <c r="DW133" s="38"/>
      <c r="DX133" s="38"/>
      <c r="DY133" s="38"/>
      <c r="DZ133" s="38"/>
      <c r="EA133" s="38"/>
      <c r="EB133" s="38"/>
      <c r="EC133" s="38"/>
      <c r="ED133" s="38"/>
      <c r="EE133" s="38"/>
      <c r="EF133" s="38"/>
      <c r="EG133" s="38"/>
      <c r="EH133" s="38"/>
      <c r="EI133" s="38"/>
      <c r="EJ133" s="38"/>
      <c r="EK133" s="38"/>
      <c r="EL133" s="38"/>
      <c r="EM133" s="38"/>
      <c r="EN133" s="38"/>
      <c r="EO133" s="38"/>
      <c r="EP133" s="38"/>
      <c r="EQ133" s="38"/>
      <c r="ER133" s="38"/>
      <c r="ES133" s="38"/>
      <c r="ET133" s="38"/>
      <c r="EU133" s="38"/>
      <c r="EV133" s="38"/>
      <c r="EW133" s="38"/>
      <c r="EX133" s="38"/>
      <c r="EY133" s="38"/>
      <c r="EZ133" s="38"/>
      <c r="FA133" s="38"/>
      <c r="FB133" s="38"/>
      <c r="FC133" s="38"/>
      <c r="FD133" s="38"/>
      <c r="FE133" s="38"/>
      <c r="FF133" s="38"/>
      <c r="FG133" s="38"/>
      <c r="FH133" s="38"/>
      <c r="FI133" s="38"/>
      <c r="FJ133" s="38"/>
      <c r="FK133" s="38"/>
      <c r="FL133" s="38"/>
      <c r="FM133" s="38"/>
      <c r="FN133" s="38"/>
      <c r="FO133" s="38"/>
      <c r="FP133" s="38"/>
      <c r="FQ133" s="38"/>
      <c r="FR133" s="38"/>
      <c r="FS133" s="38"/>
      <c r="FT133" s="38"/>
      <c r="FU133" s="38"/>
      <c r="FV133" s="38"/>
      <c r="FW133" s="38"/>
      <c r="FX133" s="38"/>
      <c r="FY133" s="38"/>
      <c r="FZ133" s="38"/>
      <c r="GA133" s="38"/>
      <c r="GB133" s="38"/>
      <c r="GC133" s="38"/>
      <c r="GD133" s="38"/>
      <c r="GE133" s="38"/>
      <c r="GF133" s="38"/>
      <c r="GG133" s="38"/>
      <c r="GH133" s="38"/>
      <c r="GI133" s="38"/>
      <c r="GJ133" s="38"/>
      <c r="GK133" s="38"/>
      <c r="GL133" s="38"/>
      <c r="GM133" s="38"/>
      <c r="GN133" s="38"/>
      <c r="GO133" s="38"/>
      <c r="GP133" s="38"/>
      <c r="GQ133" s="38"/>
      <c r="GR133" s="38"/>
      <c r="GS133" s="38"/>
      <c r="GT133" s="38"/>
      <c r="GU133" s="38"/>
      <c r="GV133" s="38"/>
      <c r="GW133" s="38"/>
      <c r="GX133" s="38"/>
      <c r="GY133" s="38"/>
      <c r="GZ133" s="38"/>
      <c r="HA133" s="38"/>
      <c r="HB133" s="38"/>
      <c r="HC133" s="38"/>
      <c r="HD133" s="38"/>
      <c r="HE133" s="38"/>
      <c r="HF133" s="38"/>
      <c r="HG133" s="38"/>
      <c r="HH133" s="38"/>
      <c r="HI133" s="38"/>
      <c r="HJ133" s="38"/>
      <c r="HK133" s="38"/>
      <c r="HL133" s="38"/>
      <c r="HM133" s="38"/>
      <c r="HN133" s="38"/>
      <c r="HO133" s="38"/>
      <c r="HP133" s="38"/>
      <c r="HQ133" s="38"/>
      <c r="HR133" s="38"/>
      <c r="HS133" s="38"/>
      <c r="HT133" s="38"/>
      <c r="HU133" s="38"/>
      <c r="HV133" s="38"/>
      <c r="HW133" s="38"/>
      <c r="HX133" s="38"/>
      <c r="HY133" s="38"/>
      <c r="HZ133" s="38"/>
      <c r="IA133" s="38"/>
      <c r="IB133" s="38"/>
      <c r="IC133" s="38"/>
      <c r="ID133" s="38"/>
      <c r="IE133" s="38"/>
      <c r="IF133" s="38"/>
      <c r="IG133" s="38"/>
      <c r="IH133" s="38"/>
      <c r="II133" s="38"/>
      <c r="IJ133" s="38"/>
      <c r="IK133" s="38"/>
      <c r="IL133" s="38"/>
      <c r="IM133" s="38"/>
      <c r="IN133" s="38"/>
      <c r="IO133" s="38"/>
      <c r="IP133" s="38"/>
      <c r="IQ133" s="38"/>
      <c r="IR133" s="38"/>
      <c r="IS133" s="38"/>
      <c r="IT133" s="38"/>
      <c r="IU133" s="38"/>
      <c r="IV133" s="38"/>
      <c r="IW133" s="38"/>
      <c r="IX133" s="38"/>
      <c r="IY133" s="38"/>
      <c r="IZ133" s="38"/>
      <c r="JA133" s="38"/>
      <c r="JB133" s="38"/>
      <c r="JC133" s="38"/>
      <c r="JD133" s="38"/>
      <c r="JE133" s="38"/>
      <c r="JF133" s="38"/>
      <c r="JG133" s="38"/>
      <c r="JH133" s="38"/>
      <c r="JI133" s="38"/>
      <c r="JJ133" s="38"/>
      <c r="JK133" s="38"/>
      <c r="JL133" s="38"/>
      <c r="JM133" s="38"/>
      <c r="JN133" s="38"/>
      <c r="JO133" s="38"/>
      <c r="JP133" s="38"/>
      <c r="JQ133" s="38"/>
      <c r="JR133" s="38"/>
      <c r="JS133" s="38"/>
      <c r="JT133" s="38"/>
      <c r="JU133" s="38"/>
      <c r="JV133" s="38"/>
      <c r="JW133" s="38"/>
      <c r="JX133" s="38"/>
      <c r="JY133" s="38"/>
      <c r="JZ133" s="38"/>
      <c r="KA133" s="38"/>
      <c r="KB133" s="38"/>
      <c r="KC133" s="38"/>
      <c r="KD133" s="38"/>
      <c r="KE133" s="38"/>
      <c r="KF133" s="38"/>
      <c r="KG133" s="38"/>
      <c r="KH133" s="38"/>
      <c r="KI133" s="38"/>
      <c r="KJ133" s="38"/>
      <c r="KK133" s="38"/>
      <c r="KL133" s="38"/>
      <c r="KM133" s="38"/>
      <c r="KN133" s="38"/>
      <c r="KO133" s="38"/>
      <c r="KP133" s="38"/>
      <c r="KQ133" s="38"/>
      <c r="KR133" s="38"/>
      <c r="KS133" s="38"/>
      <c r="KT133" s="38"/>
      <c r="KU133" s="38"/>
      <c r="KV133" s="38"/>
      <c r="KW133" s="38"/>
      <c r="KX133" s="38"/>
      <c r="KY133" s="38"/>
      <c r="KZ133" s="38"/>
      <c r="LA133" s="38"/>
      <c r="LB133" s="38"/>
      <c r="LC133" s="38"/>
      <c r="LD133" s="38"/>
      <c r="LE133" s="38"/>
      <c r="LF133" s="38"/>
      <c r="LG133" s="38"/>
      <c r="LH133" s="38"/>
      <c r="LI133" s="38"/>
      <c r="LJ133" s="38"/>
      <c r="LK133" s="38"/>
      <c r="LL133" s="38"/>
      <c r="LM133" s="38"/>
      <c r="LN133" s="38"/>
      <c r="LO133" s="38"/>
      <c r="LP133" s="38"/>
      <c r="LQ133" s="38"/>
      <c r="LR133" s="38"/>
      <c r="LS133" s="38"/>
      <c r="LT133" s="38"/>
      <c r="LU133" s="38"/>
      <c r="LV133" s="38"/>
      <c r="LW133" s="38"/>
      <c r="LX133" s="38"/>
      <c r="LY133" s="38"/>
      <c r="LZ133" s="38"/>
      <c r="MA133" s="38"/>
      <c r="MB133" s="38"/>
      <c r="MC133" s="38"/>
      <c r="MD133" s="38"/>
      <c r="ME133" s="38"/>
      <c r="MF133" s="38"/>
      <c r="MG133" s="38"/>
      <c r="MH133" s="38"/>
      <c r="MI133" s="38"/>
      <c r="MJ133" s="38"/>
      <c r="MK133" s="38"/>
      <c r="ML133" s="38"/>
      <c r="MM133" s="38"/>
      <c r="MN133" s="38"/>
      <c r="MO133" s="38"/>
      <c r="MP133" s="38"/>
      <c r="MQ133" s="38"/>
      <c r="MR133" s="38"/>
      <c r="MS133" s="38"/>
      <c r="MT133" s="38"/>
      <c r="MU133" s="38"/>
      <c r="MV133" s="38"/>
      <c r="MW133" s="38"/>
      <c r="MX133" s="38"/>
      <c r="MY133" s="38"/>
      <c r="MZ133" s="38"/>
      <c r="NA133" s="38"/>
      <c r="NB133" s="38"/>
      <c r="NC133" s="38"/>
      <c r="ND133" s="38"/>
      <c r="NE133" s="38"/>
      <c r="NF133" s="38"/>
      <c r="NG133" s="38"/>
      <c r="NH133" s="38"/>
      <c r="NI133" s="38"/>
      <c r="NJ133" s="38"/>
      <c r="NK133" s="38"/>
      <c r="NL133" s="38"/>
      <c r="NM133" s="38"/>
      <c r="NN133" s="38"/>
      <c r="NO133" s="38"/>
      <c r="NP133" s="38"/>
      <c r="NQ133" s="38"/>
      <c r="NR133" s="38"/>
      <c r="NS133" s="38"/>
      <c r="NT133" s="38"/>
      <c r="NU133" s="38"/>
      <c r="NV133" s="38"/>
      <c r="NW133" s="38"/>
      <c r="NX133" s="38"/>
      <c r="NY133" s="38"/>
      <c r="NZ133" s="38"/>
      <c r="OA133" s="38"/>
      <c r="OB133" s="38"/>
      <c r="OC133" s="38"/>
      <c r="OD133" s="38"/>
      <c r="OE133" s="38"/>
      <c r="OF133" s="38"/>
      <c r="OG133" s="38"/>
      <c r="OH133" s="38"/>
      <c r="OI133" s="38"/>
      <c r="OJ133" s="38"/>
      <c r="OK133" s="38"/>
      <c r="OL133" s="38"/>
      <c r="OM133" s="38"/>
      <c r="ON133" s="38"/>
      <c r="OO133" s="38"/>
      <c r="OP133" s="38"/>
      <c r="OQ133" s="38"/>
      <c r="OR133" s="38"/>
      <c r="OS133" s="38"/>
      <c r="OT133" s="38"/>
      <c r="OU133" s="38"/>
      <c r="OV133" s="38"/>
      <c r="OW133" s="38"/>
      <c r="OX133" s="38"/>
      <c r="OY133" s="38"/>
      <c r="OZ133" s="38"/>
      <c r="PA133" s="38"/>
      <c r="PB133" s="38"/>
      <c r="PC133" s="38"/>
      <c r="PD133" s="38"/>
      <c r="PE133" s="38"/>
      <c r="PF133" s="38"/>
      <c r="PG133" s="38"/>
      <c r="PH133" s="38"/>
      <c r="PI133" s="38"/>
      <c r="PJ133" s="38"/>
      <c r="PK133" s="38"/>
      <c r="PL133" s="38"/>
      <c r="PM133" s="38"/>
      <c r="PN133" s="38"/>
      <c r="PO133" s="38"/>
      <c r="PP133" s="38"/>
      <c r="PQ133" s="38"/>
      <c r="PR133" s="38"/>
      <c r="PS133" s="38"/>
      <c r="PT133" s="38"/>
      <c r="PU133" s="38"/>
      <c r="PV133" s="38"/>
      <c r="PW133" s="38"/>
      <c r="PX133" s="38"/>
      <c r="PY133" s="38"/>
      <c r="PZ133" s="38"/>
      <c r="QA133" s="38"/>
      <c r="QB133" s="38"/>
      <c r="QC133" s="38"/>
      <c r="QD133" s="38"/>
      <c r="QE133" s="38"/>
      <c r="QF133" s="38"/>
      <c r="QG133" s="38"/>
      <c r="QH133" s="38"/>
      <c r="QI133" s="38"/>
      <c r="QJ133" s="38"/>
      <c r="QK133" s="38"/>
      <c r="QL133" s="38"/>
      <c r="QM133" s="38"/>
      <c r="QN133" s="38"/>
      <c r="QO133" s="38"/>
      <c r="QP133" s="38"/>
      <c r="QQ133" s="38"/>
      <c r="QR133" s="38"/>
      <c r="QS133" s="38"/>
      <c r="QT133" s="38"/>
      <c r="QU133" s="38"/>
      <c r="QV133" s="38"/>
      <c r="QW133" s="38"/>
      <c r="QX133" s="38"/>
      <c r="QY133" s="38"/>
      <c r="QZ133" s="38"/>
      <c r="RA133" s="38"/>
      <c r="RB133" s="38"/>
      <c r="RC133" s="38"/>
      <c r="RD133" s="38"/>
      <c r="RE133" s="38"/>
      <c r="RF133" s="38"/>
      <c r="RG133" s="38"/>
      <c r="RH133" s="38"/>
      <c r="RI133" s="38"/>
      <c r="RJ133" s="38"/>
      <c r="RK133" s="38"/>
      <c r="RL133" s="38"/>
      <c r="RM133" s="38"/>
      <c r="RN133" s="38"/>
      <c r="RO133" s="38"/>
      <c r="RP133" s="38"/>
      <c r="RQ133" s="38"/>
      <c r="RR133" s="38"/>
      <c r="RS133" s="38"/>
      <c r="RT133" s="38"/>
      <c r="RU133" s="38"/>
      <c r="RV133" s="38"/>
      <c r="RW133" s="38"/>
      <c r="RX133" s="38"/>
      <c r="RY133" s="38"/>
      <c r="RZ133" s="38"/>
      <c r="SA133" s="38"/>
      <c r="SB133" s="38"/>
      <c r="SC133" s="38"/>
      <c r="SD133" s="38"/>
      <c r="SE133" s="38"/>
      <c r="SF133" s="38"/>
      <c r="SG133" s="38"/>
      <c r="SH133" s="38"/>
      <c r="SI133" s="38"/>
      <c r="SJ133" s="38"/>
      <c r="SK133" s="38"/>
      <c r="SL133" s="38"/>
      <c r="SM133" s="38"/>
      <c r="SN133" s="38"/>
      <c r="SO133" s="38"/>
      <c r="SP133" s="38"/>
      <c r="SQ133" s="38"/>
      <c r="SR133" s="38"/>
      <c r="SS133" s="38"/>
      <c r="ST133" s="38"/>
      <c r="SU133" s="38"/>
      <c r="SV133" s="38"/>
      <c r="SW133" s="38"/>
      <c r="SX133" s="38"/>
      <c r="SY133" s="38"/>
      <c r="SZ133" s="38"/>
      <c r="TA133" s="38"/>
      <c r="TB133" s="38"/>
      <c r="TC133" s="38"/>
      <c r="TD133" s="38"/>
      <c r="TE133" s="38"/>
      <c r="TF133" s="38"/>
      <c r="TG133" s="38"/>
      <c r="TH133" s="38"/>
      <c r="TI133" s="38"/>
      <c r="TJ133" s="38"/>
      <c r="TK133" s="38"/>
      <c r="TL133" s="38"/>
      <c r="TM133" s="38"/>
      <c r="TN133" s="38"/>
      <c r="TO133" s="38"/>
      <c r="TP133" s="38"/>
      <c r="TQ133" s="38"/>
      <c r="TR133" s="38"/>
      <c r="TS133" s="38"/>
      <c r="TT133" s="38"/>
      <c r="TU133" s="38"/>
      <c r="TV133" s="38"/>
      <c r="TW133" s="38"/>
      <c r="TX133" s="38"/>
      <c r="TY133" s="38"/>
      <c r="TZ133" s="38"/>
      <c r="UA133" s="38"/>
      <c r="UB133" s="38"/>
      <c r="UC133" s="38"/>
      <c r="UD133" s="38"/>
      <c r="UE133" s="38"/>
      <c r="UF133" s="38"/>
      <c r="UG133" s="38"/>
      <c r="UH133" s="38"/>
      <c r="UI133" s="38"/>
      <c r="UJ133" s="38"/>
      <c r="UK133" s="38"/>
      <c r="UL133" s="38"/>
      <c r="UM133" s="38"/>
      <c r="UN133" s="38"/>
      <c r="UO133" s="38"/>
      <c r="UP133" s="38"/>
      <c r="UQ133" s="38"/>
      <c r="UR133" s="38"/>
      <c r="US133" s="38"/>
      <c r="UT133" s="38"/>
      <c r="UU133" s="38"/>
      <c r="UV133" s="38"/>
      <c r="UW133" s="38"/>
      <c r="UX133" s="38"/>
      <c r="UY133" s="38"/>
      <c r="UZ133" s="38"/>
      <c r="VA133" s="38"/>
      <c r="VB133" s="38"/>
      <c r="VC133" s="38"/>
      <c r="VD133" s="38"/>
      <c r="VE133" s="38"/>
      <c r="VF133" s="38"/>
      <c r="VG133" s="38"/>
      <c r="VH133" s="38"/>
      <c r="VI133" s="38"/>
      <c r="VJ133" s="38"/>
      <c r="VK133" s="38"/>
      <c r="VL133" s="38"/>
      <c r="VM133" s="38"/>
      <c r="VN133" s="38"/>
      <c r="VO133" s="38"/>
      <c r="VP133" s="38"/>
      <c r="VQ133" s="38"/>
      <c r="VR133" s="38"/>
      <c r="VS133" s="38"/>
      <c r="VT133" s="38"/>
      <c r="VU133" s="38"/>
      <c r="VV133" s="38"/>
      <c r="VW133" s="38"/>
      <c r="VX133" s="38"/>
      <c r="VY133" s="38"/>
      <c r="VZ133" s="38"/>
      <c r="WA133" s="38"/>
      <c r="WB133" s="38"/>
      <c r="WC133" s="38"/>
      <c r="WD133" s="38"/>
      <c r="WE133" s="38"/>
      <c r="WF133" s="38"/>
      <c r="WG133" s="38"/>
      <c r="WH133" s="38"/>
      <c r="WI133" s="38"/>
      <c r="WJ133" s="38"/>
      <c r="WK133" s="38"/>
      <c r="WL133" s="38"/>
      <c r="WM133" s="38"/>
      <c r="WN133" s="38"/>
      <c r="WO133" s="38"/>
      <c r="WP133" s="38"/>
      <c r="WQ133" s="38"/>
      <c r="WR133" s="38"/>
      <c r="WS133" s="38"/>
      <c r="WT133" s="38"/>
      <c r="WU133" s="38"/>
      <c r="WV133" s="38"/>
      <c r="WW133" s="38"/>
      <c r="WX133" s="38"/>
      <c r="WY133" s="38"/>
      <c r="WZ133" s="38"/>
      <c r="XA133" s="38"/>
      <c r="XB133" s="38"/>
      <c r="XC133" s="38"/>
      <c r="XD133" s="38"/>
      <c r="XE133" s="38"/>
      <c r="XF133" s="38"/>
      <c r="XG133" s="38"/>
      <c r="XH133" s="38"/>
      <c r="XI133" s="38"/>
      <c r="XJ133" s="38"/>
      <c r="XK133" s="38"/>
      <c r="XL133" s="38"/>
      <c r="XM133" s="38"/>
      <c r="XN133" s="38"/>
      <c r="XO133" s="38"/>
      <c r="XP133" s="38"/>
      <c r="XQ133" s="38"/>
      <c r="XR133" s="38"/>
      <c r="XS133" s="38"/>
      <c r="XT133" s="38"/>
      <c r="XU133" s="38"/>
      <c r="XV133" s="38"/>
      <c r="XW133" s="38"/>
      <c r="XX133" s="38"/>
      <c r="XY133" s="38"/>
      <c r="XZ133" s="38"/>
      <c r="YA133" s="38"/>
      <c r="YB133" s="38"/>
      <c r="YC133" s="38"/>
      <c r="YD133" s="38"/>
      <c r="YE133" s="38"/>
      <c r="YF133" s="38"/>
      <c r="YG133" s="38"/>
      <c r="YH133" s="38"/>
      <c r="YI133" s="38"/>
      <c r="YJ133" s="38"/>
      <c r="YK133" s="38"/>
      <c r="YL133" s="38"/>
      <c r="YM133" s="38"/>
      <c r="YN133" s="38"/>
      <c r="YO133" s="38"/>
      <c r="YP133" s="38"/>
      <c r="YQ133" s="38"/>
      <c r="YR133" s="38"/>
      <c r="YS133" s="38"/>
      <c r="YT133" s="38"/>
      <c r="YU133" s="38"/>
      <c r="YV133" s="38"/>
      <c r="YW133" s="38"/>
      <c r="YX133" s="38"/>
      <c r="YY133" s="38"/>
      <c r="YZ133" s="38"/>
      <c r="ZA133" s="38"/>
      <c r="ZB133" s="38"/>
      <c r="ZC133" s="38"/>
      <c r="ZD133" s="38"/>
      <c r="ZE133" s="38"/>
      <c r="ZF133" s="38"/>
      <c r="ZG133" s="38"/>
      <c r="ZH133" s="38"/>
      <c r="ZI133" s="38"/>
      <c r="ZJ133" s="38"/>
      <c r="ZK133" s="38"/>
      <c r="ZL133" s="38"/>
      <c r="ZM133" s="38"/>
      <c r="ZN133" s="38"/>
      <c r="ZO133" s="38"/>
      <c r="ZP133" s="38"/>
      <c r="ZQ133" s="38"/>
      <c r="ZR133" s="38"/>
      <c r="ZS133" s="38"/>
      <c r="ZT133" s="38"/>
      <c r="ZU133" s="38"/>
      <c r="ZV133" s="38"/>
      <c r="ZW133" s="38"/>
      <c r="ZX133" s="38"/>
      <c r="ZY133" s="38"/>
      <c r="ZZ133" s="38"/>
      <c r="AAA133" s="38"/>
      <c r="AAB133" s="38"/>
      <c r="AAC133" s="38"/>
      <c r="AAD133" s="38"/>
      <c r="AAE133" s="38"/>
      <c r="AAF133" s="38"/>
      <c r="AAG133" s="38"/>
      <c r="AAH133" s="38"/>
      <c r="AAI133" s="38"/>
      <c r="AAJ133" s="38"/>
      <c r="AAK133" s="38"/>
      <c r="AAL133" s="38"/>
      <c r="AAM133" s="38"/>
      <c r="AAN133" s="38"/>
      <c r="AAO133" s="38"/>
      <c r="AAP133" s="38"/>
      <c r="AAQ133" s="38"/>
      <c r="AAR133" s="38"/>
      <c r="AAS133" s="38"/>
      <c r="AAT133" s="38"/>
      <c r="AAU133" s="38"/>
      <c r="AAV133" s="38"/>
      <c r="AAW133" s="38"/>
      <c r="AAX133" s="38"/>
      <c r="AAY133" s="38"/>
      <c r="AAZ133" s="38"/>
      <c r="ABA133" s="38"/>
      <c r="ABB133" s="38"/>
      <c r="ABC133" s="38"/>
      <c r="ABD133" s="38"/>
      <c r="ABE133" s="38"/>
      <c r="ABF133" s="38"/>
      <c r="ABG133" s="38"/>
      <c r="ABH133" s="38"/>
      <c r="ABI133" s="38"/>
      <c r="ABJ133" s="38"/>
      <c r="ABK133" s="38"/>
      <c r="ABL133" s="38"/>
      <c r="ABM133" s="38"/>
      <c r="ABN133" s="38"/>
      <c r="ABO133" s="38"/>
      <c r="ABP133" s="38"/>
      <c r="ABQ133" s="38"/>
      <c r="ABR133" s="38"/>
      <c r="ABS133" s="38"/>
      <c r="ABT133" s="38"/>
      <c r="ABU133" s="38"/>
      <c r="ABV133" s="38"/>
      <c r="ABW133" s="38"/>
      <c r="ABX133" s="38"/>
      <c r="ABY133" s="38"/>
      <c r="ABZ133" s="38"/>
      <c r="ACA133" s="38"/>
      <c r="ACB133" s="38"/>
      <c r="ACC133" s="38"/>
      <c r="ACD133" s="38"/>
      <c r="ACE133" s="38"/>
      <c r="ACF133" s="38"/>
      <c r="ACG133" s="38"/>
      <c r="ACH133" s="38"/>
      <c r="ACI133" s="38"/>
      <c r="ACJ133" s="38"/>
      <c r="ACK133" s="38"/>
      <c r="ACL133" s="38"/>
      <c r="ACM133" s="38"/>
      <c r="ACN133" s="38"/>
      <c r="ACO133" s="38"/>
      <c r="ACP133" s="38"/>
      <c r="ACQ133" s="38"/>
      <c r="ACR133" s="38"/>
      <c r="ACS133" s="38"/>
      <c r="ACT133" s="38"/>
      <c r="ACU133" s="38"/>
      <c r="ACV133" s="38"/>
      <c r="ACW133" s="38"/>
      <c r="ACX133" s="38"/>
      <c r="ACY133" s="38"/>
      <c r="ACZ133" s="38"/>
      <c r="ADA133" s="38"/>
      <c r="ADB133" s="38"/>
      <c r="ADC133" s="38"/>
      <c r="ADD133" s="38"/>
      <c r="ADE133" s="38"/>
      <c r="ADF133" s="38"/>
      <c r="ADG133" s="38"/>
      <c r="ADH133" s="38"/>
      <c r="ADI133" s="38"/>
      <c r="ADJ133" s="38"/>
      <c r="ADK133" s="38"/>
      <c r="ADL133" s="38"/>
      <c r="ADM133" s="38"/>
      <c r="ADN133" s="38"/>
      <c r="ADO133" s="38"/>
      <c r="ADP133" s="38"/>
      <c r="ADQ133" s="38"/>
      <c r="ADR133" s="38"/>
      <c r="ADS133" s="38"/>
      <c r="ADT133" s="38"/>
      <c r="ADU133" s="38"/>
      <c r="ADV133" s="38"/>
      <c r="ADW133" s="38"/>
      <c r="ADX133" s="38"/>
      <c r="ADY133" s="38"/>
      <c r="ADZ133" s="38"/>
      <c r="AEA133" s="38"/>
      <c r="AEB133" s="38"/>
      <c r="AEC133" s="38"/>
      <c r="AED133" s="38"/>
      <c r="AEE133" s="38"/>
      <c r="AEF133" s="38"/>
      <c r="AEG133" s="38"/>
      <c r="AEH133" s="38"/>
      <c r="AEI133" s="38"/>
      <c r="AEJ133" s="38"/>
      <c r="AEK133" s="38"/>
      <c r="AEL133" s="38"/>
      <c r="AEM133" s="38"/>
      <c r="AEN133" s="38"/>
      <c r="AEO133" s="38"/>
      <c r="AEP133" s="38"/>
      <c r="AEQ133" s="38"/>
      <c r="AER133" s="38"/>
      <c r="AES133" s="38"/>
      <c r="AET133" s="38"/>
      <c r="AEU133" s="38"/>
      <c r="AEV133" s="38"/>
      <c r="AEW133" s="38"/>
      <c r="AEX133" s="38"/>
      <c r="AEY133" s="38"/>
      <c r="AEZ133" s="38"/>
      <c r="AFA133" s="38"/>
      <c r="AFB133" s="38"/>
      <c r="AFC133" s="38"/>
      <c r="AFD133" s="38"/>
      <c r="AFE133" s="38"/>
      <c r="AFF133" s="38"/>
      <c r="AFG133" s="38"/>
      <c r="AFH133" s="38"/>
      <c r="AFI133" s="38"/>
      <c r="AFJ133" s="38"/>
      <c r="AFK133" s="38"/>
      <c r="AFL133" s="38"/>
      <c r="AFM133" s="38"/>
      <c r="AFN133" s="38"/>
      <c r="AFO133" s="38"/>
      <c r="AFP133" s="38"/>
      <c r="AFQ133" s="38"/>
      <c r="AFR133" s="38"/>
      <c r="AFS133" s="38"/>
      <c r="AFT133" s="38"/>
      <c r="AFU133" s="38"/>
      <c r="AFV133" s="38"/>
      <c r="AFW133" s="38"/>
      <c r="AFX133" s="38"/>
      <c r="AFY133" s="38"/>
      <c r="AFZ133" s="38"/>
      <c r="AGA133" s="38"/>
      <c r="AGB133" s="38"/>
      <c r="AGC133" s="38"/>
      <c r="AGD133" s="38"/>
      <c r="AGE133" s="38"/>
      <c r="AGF133" s="38"/>
      <c r="AGG133" s="38"/>
      <c r="AGH133" s="38"/>
      <c r="AGI133" s="38"/>
      <c r="AGJ133" s="38"/>
      <c r="AGK133" s="38"/>
      <c r="AGL133" s="38"/>
      <c r="AGM133" s="38"/>
      <c r="AGN133" s="38"/>
      <c r="AGO133" s="38"/>
      <c r="AGP133" s="38"/>
      <c r="AGQ133" s="38"/>
      <c r="AGR133" s="38"/>
      <c r="AGS133" s="38"/>
      <c r="AGT133" s="38"/>
      <c r="AGU133" s="38"/>
      <c r="AGV133" s="38"/>
      <c r="AGW133" s="38"/>
      <c r="AGX133" s="38"/>
      <c r="AGY133" s="38"/>
      <c r="AGZ133" s="38"/>
      <c r="AHA133" s="38"/>
      <c r="AHB133" s="38"/>
      <c r="AHC133" s="38"/>
      <c r="AHD133" s="38"/>
      <c r="AHE133" s="38"/>
      <c r="AHF133" s="38"/>
      <c r="AHG133" s="38"/>
      <c r="AHH133" s="38"/>
      <c r="AHI133" s="38"/>
      <c r="AHJ133" s="38"/>
      <c r="AHK133" s="38"/>
      <c r="AHL133" s="38"/>
      <c r="AHM133" s="38"/>
      <c r="AHN133" s="38"/>
      <c r="AHO133" s="38"/>
      <c r="AHP133" s="38"/>
      <c r="AHQ133" s="38"/>
      <c r="AHR133" s="38"/>
      <c r="AHS133" s="38"/>
      <c r="AHT133" s="38"/>
      <c r="AHU133" s="38"/>
      <c r="AHV133" s="38"/>
    </row>
    <row r="134" spans="1:906" s="27" customFormat="1" x14ac:dyDescent="0.35">
      <c r="A134" s="83">
        <v>129</v>
      </c>
      <c r="B134" s="108" t="s">
        <v>220</v>
      </c>
      <c r="C134" s="109" t="s">
        <v>182</v>
      </c>
      <c r="D134" s="109" t="s">
        <v>183</v>
      </c>
      <c r="E134" s="142">
        <v>12.95</v>
      </c>
      <c r="F134" s="125">
        <v>10.95</v>
      </c>
      <c r="G134" s="125"/>
      <c r="H134" s="125">
        <v>13.25</v>
      </c>
      <c r="I134" s="37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  <c r="EB134" s="38"/>
      <c r="EC134" s="38"/>
      <c r="ED134" s="38"/>
      <c r="EE134" s="38"/>
      <c r="EF134" s="38"/>
      <c r="EG134" s="38"/>
      <c r="EH134" s="38"/>
      <c r="EI134" s="38"/>
      <c r="EJ134" s="38"/>
      <c r="EK134" s="38"/>
      <c r="EL134" s="38"/>
      <c r="EM134" s="38"/>
      <c r="EN134" s="38"/>
      <c r="EO134" s="38"/>
      <c r="EP134" s="38"/>
      <c r="EQ134" s="38"/>
      <c r="ER134" s="38"/>
      <c r="ES134" s="38"/>
      <c r="ET134" s="38"/>
      <c r="EU134" s="38"/>
      <c r="EV134" s="38"/>
      <c r="EW134" s="38"/>
      <c r="EX134" s="38"/>
      <c r="EY134" s="38"/>
      <c r="EZ134" s="38"/>
      <c r="FA134" s="38"/>
      <c r="FB134" s="38"/>
      <c r="FC134" s="38"/>
      <c r="FD134" s="38"/>
      <c r="FE134" s="38"/>
      <c r="FF134" s="38"/>
      <c r="FG134" s="38"/>
      <c r="FH134" s="38"/>
      <c r="FI134" s="38"/>
      <c r="FJ134" s="38"/>
      <c r="FK134" s="38"/>
      <c r="FL134" s="38"/>
      <c r="FM134" s="38"/>
      <c r="FN134" s="38"/>
      <c r="FO134" s="38"/>
      <c r="FP134" s="38"/>
      <c r="FQ134" s="38"/>
      <c r="FR134" s="38"/>
      <c r="FS134" s="38"/>
      <c r="FT134" s="38"/>
      <c r="FU134" s="38"/>
      <c r="FV134" s="38"/>
      <c r="FW134" s="38"/>
      <c r="FX134" s="38"/>
      <c r="FY134" s="38"/>
      <c r="FZ134" s="38"/>
      <c r="GA134" s="38"/>
      <c r="GB134" s="38"/>
      <c r="GC134" s="38"/>
      <c r="GD134" s="38"/>
      <c r="GE134" s="38"/>
      <c r="GF134" s="38"/>
      <c r="GG134" s="38"/>
      <c r="GH134" s="38"/>
      <c r="GI134" s="38"/>
      <c r="GJ134" s="38"/>
      <c r="GK134" s="38"/>
      <c r="GL134" s="38"/>
      <c r="GM134" s="38"/>
      <c r="GN134" s="38"/>
      <c r="GO134" s="38"/>
      <c r="GP134" s="38"/>
      <c r="GQ134" s="38"/>
      <c r="GR134" s="38"/>
      <c r="GS134" s="38"/>
      <c r="GT134" s="38"/>
      <c r="GU134" s="38"/>
      <c r="GV134" s="38"/>
      <c r="GW134" s="38"/>
      <c r="GX134" s="38"/>
      <c r="GY134" s="38"/>
      <c r="GZ134" s="38"/>
      <c r="HA134" s="38"/>
      <c r="HB134" s="38"/>
      <c r="HC134" s="38"/>
      <c r="HD134" s="38"/>
      <c r="HE134" s="38"/>
      <c r="HF134" s="38"/>
      <c r="HG134" s="38"/>
      <c r="HH134" s="38"/>
      <c r="HI134" s="38"/>
      <c r="HJ134" s="38"/>
      <c r="HK134" s="38"/>
      <c r="HL134" s="38"/>
      <c r="HM134" s="38"/>
      <c r="HN134" s="38"/>
      <c r="HO134" s="38"/>
      <c r="HP134" s="38"/>
      <c r="HQ134" s="38"/>
      <c r="HR134" s="38"/>
      <c r="HS134" s="38"/>
      <c r="HT134" s="38"/>
      <c r="HU134" s="38"/>
      <c r="HV134" s="38"/>
      <c r="HW134" s="38"/>
      <c r="HX134" s="38"/>
      <c r="HY134" s="38"/>
      <c r="HZ134" s="38"/>
      <c r="IA134" s="38"/>
      <c r="IB134" s="38"/>
      <c r="IC134" s="38"/>
      <c r="ID134" s="38"/>
      <c r="IE134" s="38"/>
      <c r="IF134" s="38"/>
      <c r="IG134" s="38"/>
      <c r="IH134" s="38"/>
      <c r="II134" s="38"/>
      <c r="IJ134" s="38"/>
      <c r="IK134" s="38"/>
      <c r="IL134" s="38"/>
      <c r="IM134" s="38"/>
      <c r="IN134" s="38"/>
      <c r="IO134" s="38"/>
      <c r="IP134" s="38"/>
      <c r="IQ134" s="38"/>
      <c r="IR134" s="38"/>
      <c r="IS134" s="38"/>
      <c r="IT134" s="38"/>
      <c r="IU134" s="38"/>
      <c r="IV134" s="38"/>
      <c r="IW134" s="38"/>
      <c r="IX134" s="38"/>
      <c r="IY134" s="38"/>
      <c r="IZ134" s="38"/>
      <c r="JA134" s="38"/>
      <c r="JB134" s="38"/>
      <c r="JC134" s="38"/>
      <c r="JD134" s="38"/>
      <c r="JE134" s="38"/>
      <c r="JF134" s="38"/>
      <c r="JG134" s="38"/>
      <c r="JH134" s="38"/>
      <c r="JI134" s="38"/>
      <c r="JJ134" s="38"/>
      <c r="JK134" s="38"/>
      <c r="JL134" s="38"/>
      <c r="JM134" s="38"/>
      <c r="JN134" s="38"/>
      <c r="JO134" s="38"/>
      <c r="JP134" s="38"/>
      <c r="JQ134" s="38"/>
      <c r="JR134" s="38"/>
      <c r="JS134" s="38"/>
      <c r="JT134" s="38"/>
      <c r="JU134" s="38"/>
      <c r="JV134" s="38"/>
      <c r="JW134" s="38"/>
      <c r="JX134" s="38"/>
      <c r="JY134" s="38"/>
      <c r="JZ134" s="38"/>
      <c r="KA134" s="38"/>
      <c r="KB134" s="38"/>
      <c r="KC134" s="38"/>
      <c r="KD134" s="38"/>
      <c r="KE134" s="38"/>
      <c r="KF134" s="38"/>
      <c r="KG134" s="38"/>
      <c r="KH134" s="38"/>
      <c r="KI134" s="38"/>
      <c r="KJ134" s="38"/>
      <c r="KK134" s="38"/>
      <c r="KL134" s="38"/>
      <c r="KM134" s="38"/>
      <c r="KN134" s="38"/>
      <c r="KO134" s="38"/>
      <c r="KP134" s="38"/>
      <c r="KQ134" s="38"/>
      <c r="KR134" s="38"/>
      <c r="KS134" s="38"/>
      <c r="KT134" s="38"/>
      <c r="KU134" s="38"/>
      <c r="KV134" s="38"/>
      <c r="KW134" s="38"/>
      <c r="KX134" s="38"/>
      <c r="KY134" s="38"/>
      <c r="KZ134" s="38"/>
      <c r="LA134" s="38"/>
      <c r="LB134" s="38"/>
      <c r="LC134" s="38"/>
      <c r="LD134" s="38"/>
      <c r="LE134" s="38"/>
      <c r="LF134" s="38"/>
      <c r="LG134" s="38"/>
      <c r="LH134" s="38"/>
      <c r="LI134" s="38"/>
      <c r="LJ134" s="38"/>
      <c r="LK134" s="38"/>
      <c r="LL134" s="38"/>
      <c r="LM134" s="38"/>
      <c r="LN134" s="38"/>
      <c r="LO134" s="38"/>
      <c r="LP134" s="38"/>
      <c r="LQ134" s="38"/>
      <c r="LR134" s="38"/>
      <c r="LS134" s="38"/>
      <c r="LT134" s="38"/>
      <c r="LU134" s="38"/>
      <c r="LV134" s="38"/>
      <c r="LW134" s="38"/>
      <c r="LX134" s="38"/>
      <c r="LY134" s="38"/>
      <c r="LZ134" s="38"/>
      <c r="MA134" s="38"/>
      <c r="MB134" s="38"/>
      <c r="MC134" s="38"/>
      <c r="MD134" s="38"/>
      <c r="ME134" s="38"/>
      <c r="MF134" s="38"/>
      <c r="MG134" s="38"/>
      <c r="MH134" s="38"/>
      <c r="MI134" s="38"/>
      <c r="MJ134" s="38"/>
      <c r="MK134" s="38"/>
      <c r="ML134" s="38"/>
      <c r="MM134" s="38"/>
      <c r="MN134" s="38"/>
      <c r="MO134" s="38"/>
      <c r="MP134" s="38"/>
      <c r="MQ134" s="38"/>
      <c r="MR134" s="38"/>
      <c r="MS134" s="38"/>
      <c r="MT134" s="38"/>
      <c r="MU134" s="38"/>
      <c r="MV134" s="38"/>
      <c r="MW134" s="38"/>
      <c r="MX134" s="38"/>
      <c r="MY134" s="38"/>
      <c r="MZ134" s="38"/>
      <c r="NA134" s="38"/>
      <c r="NB134" s="38"/>
      <c r="NC134" s="38"/>
      <c r="ND134" s="38"/>
      <c r="NE134" s="38"/>
      <c r="NF134" s="38"/>
      <c r="NG134" s="38"/>
      <c r="NH134" s="38"/>
      <c r="NI134" s="38"/>
      <c r="NJ134" s="38"/>
      <c r="NK134" s="38"/>
      <c r="NL134" s="38"/>
      <c r="NM134" s="38"/>
      <c r="NN134" s="38"/>
      <c r="NO134" s="38"/>
      <c r="NP134" s="38"/>
      <c r="NQ134" s="38"/>
      <c r="NR134" s="38"/>
      <c r="NS134" s="38"/>
      <c r="NT134" s="38"/>
      <c r="NU134" s="38"/>
      <c r="NV134" s="38"/>
      <c r="NW134" s="38"/>
      <c r="NX134" s="38"/>
      <c r="NY134" s="38"/>
      <c r="NZ134" s="38"/>
      <c r="OA134" s="38"/>
      <c r="OB134" s="38"/>
      <c r="OC134" s="38"/>
      <c r="OD134" s="38"/>
      <c r="OE134" s="38"/>
      <c r="OF134" s="38"/>
      <c r="OG134" s="38"/>
      <c r="OH134" s="38"/>
      <c r="OI134" s="38"/>
      <c r="OJ134" s="38"/>
      <c r="OK134" s="38"/>
      <c r="OL134" s="38"/>
      <c r="OM134" s="38"/>
      <c r="ON134" s="38"/>
      <c r="OO134" s="38"/>
      <c r="OP134" s="38"/>
      <c r="OQ134" s="38"/>
      <c r="OR134" s="38"/>
      <c r="OS134" s="38"/>
      <c r="OT134" s="38"/>
      <c r="OU134" s="38"/>
      <c r="OV134" s="38"/>
      <c r="OW134" s="38"/>
      <c r="OX134" s="38"/>
      <c r="OY134" s="38"/>
      <c r="OZ134" s="38"/>
      <c r="PA134" s="38"/>
      <c r="PB134" s="38"/>
      <c r="PC134" s="38"/>
      <c r="PD134" s="38"/>
      <c r="PE134" s="38"/>
      <c r="PF134" s="38"/>
      <c r="PG134" s="38"/>
      <c r="PH134" s="38"/>
      <c r="PI134" s="38"/>
      <c r="PJ134" s="38"/>
      <c r="PK134" s="38"/>
      <c r="PL134" s="38"/>
      <c r="PM134" s="38"/>
      <c r="PN134" s="38"/>
      <c r="PO134" s="38"/>
      <c r="PP134" s="38"/>
      <c r="PQ134" s="38"/>
      <c r="PR134" s="38"/>
      <c r="PS134" s="38"/>
      <c r="PT134" s="38"/>
      <c r="PU134" s="38"/>
      <c r="PV134" s="38"/>
      <c r="PW134" s="38"/>
      <c r="PX134" s="38"/>
      <c r="PY134" s="38"/>
      <c r="PZ134" s="38"/>
      <c r="QA134" s="38"/>
      <c r="QB134" s="38"/>
      <c r="QC134" s="38"/>
      <c r="QD134" s="38"/>
      <c r="QE134" s="38"/>
      <c r="QF134" s="38"/>
      <c r="QG134" s="38"/>
      <c r="QH134" s="38"/>
      <c r="QI134" s="38"/>
      <c r="QJ134" s="38"/>
      <c r="QK134" s="38"/>
      <c r="QL134" s="38"/>
      <c r="QM134" s="38"/>
      <c r="QN134" s="38"/>
      <c r="QO134" s="38"/>
      <c r="QP134" s="38"/>
      <c r="QQ134" s="38"/>
      <c r="QR134" s="38"/>
      <c r="QS134" s="38"/>
      <c r="QT134" s="38"/>
      <c r="QU134" s="38"/>
      <c r="QV134" s="38"/>
      <c r="QW134" s="38"/>
      <c r="QX134" s="38"/>
      <c r="QY134" s="38"/>
      <c r="QZ134" s="38"/>
      <c r="RA134" s="38"/>
      <c r="RB134" s="38"/>
      <c r="RC134" s="38"/>
      <c r="RD134" s="38"/>
      <c r="RE134" s="38"/>
      <c r="RF134" s="38"/>
      <c r="RG134" s="38"/>
      <c r="RH134" s="38"/>
      <c r="RI134" s="38"/>
      <c r="RJ134" s="38"/>
      <c r="RK134" s="38"/>
      <c r="RL134" s="38"/>
      <c r="RM134" s="38"/>
      <c r="RN134" s="38"/>
      <c r="RO134" s="38"/>
      <c r="RP134" s="38"/>
      <c r="RQ134" s="38"/>
      <c r="RR134" s="38"/>
      <c r="RS134" s="38"/>
      <c r="RT134" s="38"/>
      <c r="RU134" s="38"/>
      <c r="RV134" s="38"/>
      <c r="RW134" s="38"/>
      <c r="RX134" s="38"/>
      <c r="RY134" s="38"/>
      <c r="RZ134" s="38"/>
      <c r="SA134" s="38"/>
      <c r="SB134" s="38"/>
      <c r="SC134" s="38"/>
      <c r="SD134" s="38"/>
      <c r="SE134" s="38"/>
      <c r="SF134" s="38"/>
      <c r="SG134" s="38"/>
      <c r="SH134" s="38"/>
      <c r="SI134" s="38"/>
      <c r="SJ134" s="38"/>
      <c r="SK134" s="38"/>
      <c r="SL134" s="38"/>
      <c r="SM134" s="38"/>
      <c r="SN134" s="38"/>
      <c r="SO134" s="38"/>
      <c r="SP134" s="38"/>
      <c r="SQ134" s="38"/>
      <c r="SR134" s="38"/>
      <c r="SS134" s="38"/>
      <c r="ST134" s="38"/>
      <c r="SU134" s="38"/>
      <c r="SV134" s="38"/>
      <c r="SW134" s="38"/>
      <c r="SX134" s="38"/>
      <c r="SY134" s="38"/>
      <c r="SZ134" s="38"/>
      <c r="TA134" s="38"/>
      <c r="TB134" s="38"/>
      <c r="TC134" s="38"/>
      <c r="TD134" s="38"/>
      <c r="TE134" s="38"/>
      <c r="TF134" s="38"/>
      <c r="TG134" s="38"/>
      <c r="TH134" s="38"/>
      <c r="TI134" s="38"/>
      <c r="TJ134" s="38"/>
      <c r="TK134" s="38"/>
      <c r="TL134" s="38"/>
      <c r="TM134" s="38"/>
      <c r="TN134" s="38"/>
      <c r="TO134" s="38"/>
      <c r="TP134" s="38"/>
      <c r="TQ134" s="38"/>
      <c r="TR134" s="38"/>
      <c r="TS134" s="38"/>
      <c r="TT134" s="38"/>
      <c r="TU134" s="38"/>
      <c r="TV134" s="38"/>
      <c r="TW134" s="38"/>
      <c r="TX134" s="38"/>
      <c r="TY134" s="38"/>
      <c r="TZ134" s="38"/>
      <c r="UA134" s="38"/>
      <c r="UB134" s="38"/>
      <c r="UC134" s="38"/>
      <c r="UD134" s="38"/>
      <c r="UE134" s="38"/>
      <c r="UF134" s="38"/>
      <c r="UG134" s="38"/>
      <c r="UH134" s="38"/>
      <c r="UI134" s="38"/>
      <c r="UJ134" s="38"/>
      <c r="UK134" s="38"/>
      <c r="UL134" s="38"/>
      <c r="UM134" s="38"/>
      <c r="UN134" s="38"/>
      <c r="UO134" s="38"/>
      <c r="UP134" s="38"/>
      <c r="UQ134" s="38"/>
      <c r="UR134" s="38"/>
      <c r="US134" s="38"/>
      <c r="UT134" s="38"/>
      <c r="UU134" s="38"/>
      <c r="UV134" s="38"/>
      <c r="UW134" s="38"/>
      <c r="UX134" s="38"/>
      <c r="UY134" s="38"/>
      <c r="UZ134" s="38"/>
      <c r="VA134" s="38"/>
      <c r="VB134" s="38"/>
      <c r="VC134" s="38"/>
      <c r="VD134" s="38"/>
      <c r="VE134" s="38"/>
      <c r="VF134" s="38"/>
      <c r="VG134" s="38"/>
      <c r="VH134" s="38"/>
      <c r="VI134" s="38"/>
      <c r="VJ134" s="38"/>
      <c r="VK134" s="38"/>
      <c r="VL134" s="38"/>
      <c r="VM134" s="38"/>
      <c r="VN134" s="38"/>
      <c r="VO134" s="38"/>
      <c r="VP134" s="38"/>
      <c r="VQ134" s="38"/>
      <c r="VR134" s="38"/>
      <c r="VS134" s="38"/>
      <c r="VT134" s="38"/>
      <c r="VU134" s="38"/>
      <c r="VV134" s="38"/>
      <c r="VW134" s="38"/>
      <c r="VX134" s="38"/>
      <c r="VY134" s="38"/>
      <c r="VZ134" s="38"/>
      <c r="WA134" s="38"/>
      <c r="WB134" s="38"/>
      <c r="WC134" s="38"/>
      <c r="WD134" s="38"/>
      <c r="WE134" s="38"/>
      <c r="WF134" s="38"/>
      <c r="WG134" s="38"/>
      <c r="WH134" s="38"/>
      <c r="WI134" s="38"/>
      <c r="WJ134" s="38"/>
      <c r="WK134" s="38"/>
      <c r="WL134" s="38"/>
      <c r="WM134" s="38"/>
      <c r="WN134" s="38"/>
      <c r="WO134" s="38"/>
      <c r="WP134" s="38"/>
      <c r="WQ134" s="38"/>
      <c r="WR134" s="38"/>
      <c r="WS134" s="38"/>
      <c r="WT134" s="38"/>
      <c r="WU134" s="38"/>
      <c r="WV134" s="38"/>
      <c r="WW134" s="38"/>
      <c r="WX134" s="38"/>
      <c r="WY134" s="38"/>
      <c r="WZ134" s="38"/>
      <c r="XA134" s="38"/>
      <c r="XB134" s="38"/>
      <c r="XC134" s="38"/>
      <c r="XD134" s="38"/>
      <c r="XE134" s="38"/>
      <c r="XF134" s="38"/>
      <c r="XG134" s="38"/>
      <c r="XH134" s="38"/>
      <c r="XI134" s="38"/>
      <c r="XJ134" s="38"/>
      <c r="XK134" s="38"/>
      <c r="XL134" s="38"/>
      <c r="XM134" s="38"/>
      <c r="XN134" s="38"/>
      <c r="XO134" s="38"/>
      <c r="XP134" s="38"/>
      <c r="XQ134" s="38"/>
      <c r="XR134" s="38"/>
      <c r="XS134" s="38"/>
      <c r="XT134" s="38"/>
      <c r="XU134" s="38"/>
      <c r="XV134" s="38"/>
      <c r="XW134" s="38"/>
      <c r="XX134" s="38"/>
      <c r="XY134" s="38"/>
      <c r="XZ134" s="38"/>
      <c r="YA134" s="38"/>
      <c r="YB134" s="38"/>
      <c r="YC134" s="38"/>
      <c r="YD134" s="38"/>
      <c r="YE134" s="38"/>
      <c r="YF134" s="38"/>
      <c r="YG134" s="38"/>
      <c r="YH134" s="38"/>
      <c r="YI134" s="38"/>
      <c r="YJ134" s="38"/>
      <c r="YK134" s="38"/>
      <c r="YL134" s="38"/>
      <c r="YM134" s="38"/>
      <c r="YN134" s="38"/>
      <c r="YO134" s="38"/>
      <c r="YP134" s="38"/>
      <c r="YQ134" s="38"/>
      <c r="YR134" s="38"/>
      <c r="YS134" s="38"/>
      <c r="YT134" s="38"/>
      <c r="YU134" s="38"/>
      <c r="YV134" s="38"/>
      <c r="YW134" s="38"/>
      <c r="YX134" s="38"/>
      <c r="YY134" s="38"/>
      <c r="YZ134" s="38"/>
      <c r="ZA134" s="38"/>
      <c r="ZB134" s="38"/>
      <c r="ZC134" s="38"/>
      <c r="ZD134" s="38"/>
      <c r="ZE134" s="38"/>
      <c r="ZF134" s="38"/>
      <c r="ZG134" s="38"/>
      <c r="ZH134" s="38"/>
      <c r="ZI134" s="38"/>
      <c r="ZJ134" s="38"/>
      <c r="ZK134" s="38"/>
      <c r="ZL134" s="38"/>
      <c r="ZM134" s="38"/>
      <c r="ZN134" s="38"/>
      <c r="ZO134" s="38"/>
      <c r="ZP134" s="38"/>
      <c r="ZQ134" s="38"/>
      <c r="ZR134" s="38"/>
      <c r="ZS134" s="38"/>
      <c r="ZT134" s="38"/>
      <c r="ZU134" s="38"/>
      <c r="ZV134" s="38"/>
      <c r="ZW134" s="38"/>
      <c r="ZX134" s="38"/>
      <c r="ZY134" s="38"/>
      <c r="ZZ134" s="38"/>
      <c r="AAA134" s="38"/>
      <c r="AAB134" s="38"/>
      <c r="AAC134" s="38"/>
      <c r="AAD134" s="38"/>
      <c r="AAE134" s="38"/>
      <c r="AAF134" s="38"/>
      <c r="AAG134" s="38"/>
      <c r="AAH134" s="38"/>
      <c r="AAI134" s="38"/>
      <c r="AAJ134" s="38"/>
      <c r="AAK134" s="38"/>
      <c r="AAL134" s="38"/>
      <c r="AAM134" s="38"/>
      <c r="AAN134" s="38"/>
      <c r="AAO134" s="38"/>
      <c r="AAP134" s="38"/>
      <c r="AAQ134" s="38"/>
      <c r="AAR134" s="38"/>
      <c r="AAS134" s="38"/>
      <c r="AAT134" s="38"/>
      <c r="AAU134" s="38"/>
      <c r="AAV134" s="38"/>
      <c r="AAW134" s="38"/>
      <c r="AAX134" s="38"/>
      <c r="AAY134" s="38"/>
      <c r="AAZ134" s="38"/>
      <c r="ABA134" s="38"/>
      <c r="ABB134" s="38"/>
      <c r="ABC134" s="38"/>
      <c r="ABD134" s="38"/>
      <c r="ABE134" s="38"/>
      <c r="ABF134" s="38"/>
      <c r="ABG134" s="38"/>
      <c r="ABH134" s="38"/>
      <c r="ABI134" s="38"/>
      <c r="ABJ134" s="38"/>
      <c r="ABK134" s="38"/>
      <c r="ABL134" s="38"/>
      <c r="ABM134" s="38"/>
      <c r="ABN134" s="38"/>
      <c r="ABO134" s="38"/>
      <c r="ABP134" s="38"/>
      <c r="ABQ134" s="38"/>
      <c r="ABR134" s="38"/>
      <c r="ABS134" s="38"/>
      <c r="ABT134" s="38"/>
      <c r="ABU134" s="38"/>
      <c r="ABV134" s="38"/>
      <c r="ABW134" s="38"/>
      <c r="ABX134" s="38"/>
      <c r="ABY134" s="38"/>
      <c r="ABZ134" s="38"/>
      <c r="ACA134" s="38"/>
      <c r="ACB134" s="38"/>
      <c r="ACC134" s="38"/>
      <c r="ACD134" s="38"/>
      <c r="ACE134" s="38"/>
      <c r="ACF134" s="38"/>
      <c r="ACG134" s="38"/>
      <c r="ACH134" s="38"/>
      <c r="ACI134" s="38"/>
      <c r="ACJ134" s="38"/>
      <c r="ACK134" s="38"/>
      <c r="ACL134" s="38"/>
      <c r="ACM134" s="38"/>
      <c r="ACN134" s="38"/>
      <c r="ACO134" s="38"/>
      <c r="ACP134" s="38"/>
      <c r="ACQ134" s="38"/>
      <c r="ACR134" s="38"/>
      <c r="ACS134" s="38"/>
      <c r="ACT134" s="38"/>
      <c r="ACU134" s="38"/>
      <c r="ACV134" s="38"/>
      <c r="ACW134" s="38"/>
      <c r="ACX134" s="38"/>
      <c r="ACY134" s="38"/>
      <c r="ACZ134" s="38"/>
      <c r="ADA134" s="38"/>
      <c r="ADB134" s="38"/>
      <c r="ADC134" s="38"/>
      <c r="ADD134" s="38"/>
      <c r="ADE134" s="38"/>
      <c r="ADF134" s="38"/>
      <c r="ADG134" s="38"/>
      <c r="ADH134" s="38"/>
      <c r="ADI134" s="38"/>
      <c r="ADJ134" s="38"/>
      <c r="ADK134" s="38"/>
      <c r="ADL134" s="38"/>
      <c r="ADM134" s="38"/>
      <c r="ADN134" s="38"/>
      <c r="ADO134" s="38"/>
      <c r="ADP134" s="38"/>
      <c r="ADQ134" s="38"/>
      <c r="ADR134" s="38"/>
      <c r="ADS134" s="38"/>
      <c r="ADT134" s="38"/>
      <c r="ADU134" s="38"/>
      <c r="ADV134" s="38"/>
      <c r="ADW134" s="38"/>
      <c r="ADX134" s="38"/>
      <c r="ADY134" s="38"/>
      <c r="ADZ134" s="38"/>
      <c r="AEA134" s="38"/>
      <c r="AEB134" s="38"/>
      <c r="AEC134" s="38"/>
      <c r="AED134" s="38"/>
      <c r="AEE134" s="38"/>
      <c r="AEF134" s="38"/>
      <c r="AEG134" s="38"/>
      <c r="AEH134" s="38"/>
      <c r="AEI134" s="38"/>
      <c r="AEJ134" s="38"/>
      <c r="AEK134" s="38"/>
      <c r="AEL134" s="38"/>
      <c r="AEM134" s="38"/>
      <c r="AEN134" s="38"/>
      <c r="AEO134" s="38"/>
      <c r="AEP134" s="38"/>
      <c r="AEQ134" s="38"/>
      <c r="AER134" s="38"/>
      <c r="AES134" s="38"/>
      <c r="AET134" s="38"/>
      <c r="AEU134" s="38"/>
      <c r="AEV134" s="38"/>
      <c r="AEW134" s="38"/>
      <c r="AEX134" s="38"/>
      <c r="AEY134" s="38"/>
      <c r="AEZ134" s="38"/>
      <c r="AFA134" s="38"/>
      <c r="AFB134" s="38"/>
      <c r="AFC134" s="38"/>
      <c r="AFD134" s="38"/>
      <c r="AFE134" s="38"/>
      <c r="AFF134" s="38"/>
      <c r="AFG134" s="38"/>
      <c r="AFH134" s="38"/>
      <c r="AFI134" s="38"/>
      <c r="AFJ134" s="38"/>
      <c r="AFK134" s="38"/>
      <c r="AFL134" s="38"/>
      <c r="AFM134" s="38"/>
      <c r="AFN134" s="38"/>
      <c r="AFO134" s="38"/>
      <c r="AFP134" s="38"/>
      <c r="AFQ134" s="38"/>
      <c r="AFR134" s="38"/>
      <c r="AFS134" s="38"/>
      <c r="AFT134" s="38"/>
      <c r="AFU134" s="38"/>
      <c r="AFV134" s="38"/>
      <c r="AFW134" s="38"/>
      <c r="AFX134" s="38"/>
      <c r="AFY134" s="38"/>
      <c r="AFZ134" s="38"/>
      <c r="AGA134" s="38"/>
      <c r="AGB134" s="38"/>
      <c r="AGC134" s="38"/>
      <c r="AGD134" s="38"/>
      <c r="AGE134" s="38"/>
      <c r="AGF134" s="38"/>
      <c r="AGG134" s="38"/>
      <c r="AGH134" s="38"/>
      <c r="AGI134" s="38"/>
      <c r="AGJ134" s="38"/>
      <c r="AGK134" s="38"/>
      <c r="AGL134" s="38"/>
      <c r="AGM134" s="38"/>
      <c r="AGN134" s="38"/>
      <c r="AGO134" s="38"/>
      <c r="AGP134" s="38"/>
      <c r="AGQ134" s="38"/>
      <c r="AGR134" s="38"/>
      <c r="AGS134" s="38"/>
      <c r="AGT134" s="38"/>
      <c r="AGU134" s="38"/>
      <c r="AGV134" s="38"/>
      <c r="AGW134" s="38"/>
      <c r="AGX134" s="38"/>
      <c r="AGY134" s="38"/>
      <c r="AGZ134" s="38"/>
      <c r="AHA134" s="38"/>
      <c r="AHB134" s="38"/>
      <c r="AHC134" s="38"/>
      <c r="AHD134" s="38"/>
      <c r="AHE134" s="38"/>
      <c r="AHF134" s="38"/>
      <c r="AHG134" s="38"/>
      <c r="AHH134" s="38"/>
      <c r="AHI134" s="38"/>
      <c r="AHJ134" s="38"/>
      <c r="AHK134" s="38"/>
      <c r="AHL134" s="38"/>
      <c r="AHM134" s="38"/>
      <c r="AHN134" s="38"/>
      <c r="AHO134" s="38"/>
      <c r="AHP134" s="38"/>
      <c r="AHQ134" s="38"/>
      <c r="AHR134" s="38"/>
      <c r="AHS134" s="38"/>
      <c r="AHT134" s="38"/>
      <c r="AHU134" s="38"/>
      <c r="AHV134" s="38"/>
    </row>
    <row r="135" spans="1:906" s="27" customFormat="1" x14ac:dyDescent="0.35">
      <c r="A135" s="83">
        <v>130</v>
      </c>
      <c r="B135" s="108" t="s">
        <v>221</v>
      </c>
      <c r="C135" s="109" t="s">
        <v>70</v>
      </c>
      <c r="D135" s="109" t="s">
        <v>183</v>
      </c>
      <c r="E135" s="125">
        <v>11.65</v>
      </c>
      <c r="F135" s="125">
        <v>10.5</v>
      </c>
      <c r="G135" s="125"/>
      <c r="H135" s="125">
        <v>10.5</v>
      </c>
      <c r="I135" s="37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  <c r="BN135" s="38"/>
      <c r="BO135" s="38"/>
      <c r="BP135" s="38"/>
      <c r="BQ135" s="38"/>
      <c r="BR135" s="38"/>
      <c r="BS135" s="38"/>
      <c r="BT135" s="38"/>
      <c r="BU135" s="38"/>
      <c r="BV135" s="38"/>
      <c r="BW135" s="38"/>
      <c r="BX135" s="38"/>
      <c r="BY135" s="38"/>
      <c r="BZ135" s="38"/>
      <c r="CA135" s="38"/>
      <c r="CB135" s="38"/>
      <c r="CC135" s="38"/>
      <c r="CD135" s="38"/>
      <c r="CE135" s="38"/>
      <c r="CF135" s="38"/>
      <c r="CG135" s="38"/>
      <c r="CH135" s="38"/>
      <c r="CI135" s="38"/>
      <c r="CJ135" s="38"/>
      <c r="CK135" s="38"/>
      <c r="CL135" s="38"/>
      <c r="CM135" s="38"/>
      <c r="CN135" s="38"/>
      <c r="CO135" s="38"/>
      <c r="CP135" s="38"/>
      <c r="CQ135" s="38"/>
      <c r="CR135" s="38"/>
      <c r="CS135" s="38"/>
      <c r="CT135" s="38"/>
      <c r="CU135" s="38"/>
      <c r="CV135" s="38"/>
      <c r="CW135" s="38"/>
      <c r="CX135" s="38"/>
      <c r="CY135" s="38"/>
      <c r="CZ135" s="38"/>
      <c r="DA135" s="38"/>
      <c r="DB135" s="38"/>
      <c r="DC135" s="38"/>
      <c r="DD135" s="38"/>
      <c r="DE135" s="38"/>
      <c r="DF135" s="38"/>
      <c r="DG135" s="38"/>
      <c r="DH135" s="38"/>
      <c r="DI135" s="38"/>
      <c r="DJ135" s="38"/>
      <c r="DK135" s="38"/>
      <c r="DL135" s="38"/>
      <c r="DM135" s="38"/>
      <c r="DN135" s="38"/>
      <c r="DO135" s="38"/>
      <c r="DP135" s="38"/>
      <c r="DQ135" s="38"/>
      <c r="DR135" s="38"/>
      <c r="DS135" s="38"/>
      <c r="DT135" s="38"/>
      <c r="DU135" s="38"/>
      <c r="DV135" s="38"/>
      <c r="DW135" s="38"/>
      <c r="DX135" s="38"/>
      <c r="DY135" s="38"/>
      <c r="DZ135" s="38"/>
      <c r="EA135" s="38"/>
      <c r="EB135" s="38"/>
      <c r="EC135" s="38"/>
      <c r="ED135" s="38"/>
      <c r="EE135" s="38"/>
      <c r="EF135" s="38"/>
      <c r="EG135" s="38"/>
      <c r="EH135" s="38"/>
      <c r="EI135" s="38"/>
      <c r="EJ135" s="38"/>
      <c r="EK135" s="38"/>
      <c r="EL135" s="38"/>
      <c r="EM135" s="38"/>
      <c r="EN135" s="38"/>
      <c r="EO135" s="38"/>
      <c r="EP135" s="38"/>
      <c r="EQ135" s="38"/>
      <c r="ER135" s="38"/>
      <c r="ES135" s="38"/>
      <c r="ET135" s="38"/>
      <c r="EU135" s="38"/>
      <c r="EV135" s="38"/>
      <c r="EW135" s="38"/>
      <c r="EX135" s="38"/>
      <c r="EY135" s="38"/>
      <c r="EZ135" s="38"/>
      <c r="FA135" s="38"/>
      <c r="FB135" s="38"/>
      <c r="FC135" s="38"/>
      <c r="FD135" s="38"/>
      <c r="FE135" s="38"/>
      <c r="FF135" s="38"/>
      <c r="FG135" s="38"/>
      <c r="FH135" s="38"/>
      <c r="FI135" s="38"/>
      <c r="FJ135" s="38"/>
      <c r="FK135" s="38"/>
      <c r="FL135" s="38"/>
      <c r="FM135" s="38"/>
      <c r="FN135" s="38"/>
      <c r="FO135" s="38"/>
      <c r="FP135" s="38"/>
      <c r="FQ135" s="38"/>
      <c r="FR135" s="38"/>
      <c r="FS135" s="38"/>
      <c r="FT135" s="38"/>
      <c r="FU135" s="38"/>
      <c r="FV135" s="38"/>
      <c r="FW135" s="38"/>
      <c r="FX135" s="38"/>
      <c r="FY135" s="38"/>
      <c r="FZ135" s="38"/>
      <c r="GA135" s="38"/>
      <c r="GB135" s="38"/>
      <c r="GC135" s="38"/>
      <c r="GD135" s="38"/>
      <c r="GE135" s="38"/>
      <c r="GF135" s="38"/>
      <c r="GG135" s="38"/>
      <c r="GH135" s="38"/>
      <c r="GI135" s="38"/>
      <c r="GJ135" s="38"/>
      <c r="GK135" s="38"/>
      <c r="GL135" s="38"/>
      <c r="GM135" s="38"/>
      <c r="GN135" s="38"/>
      <c r="GO135" s="38"/>
      <c r="GP135" s="38"/>
      <c r="GQ135" s="38"/>
      <c r="GR135" s="38"/>
      <c r="GS135" s="38"/>
      <c r="GT135" s="38"/>
      <c r="GU135" s="38"/>
      <c r="GV135" s="38"/>
      <c r="GW135" s="38"/>
      <c r="GX135" s="38"/>
      <c r="GY135" s="38"/>
      <c r="GZ135" s="38"/>
      <c r="HA135" s="38"/>
      <c r="HB135" s="38"/>
      <c r="HC135" s="38"/>
      <c r="HD135" s="38"/>
      <c r="HE135" s="38"/>
      <c r="HF135" s="38"/>
      <c r="HG135" s="38"/>
      <c r="HH135" s="38"/>
      <c r="HI135" s="38"/>
      <c r="HJ135" s="38"/>
      <c r="HK135" s="38"/>
      <c r="HL135" s="38"/>
      <c r="HM135" s="38"/>
      <c r="HN135" s="38"/>
      <c r="HO135" s="38"/>
      <c r="HP135" s="38"/>
      <c r="HQ135" s="38"/>
      <c r="HR135" s="38"/>
      <c r="HS135" s="38"/>
      <c r="HT135" s="38"/>
      <c r="HU135" s="38"/>
      <c r="HV135" s="38"/>
      <c r="HW135" s="38"/>
      <c r="HX135" s="38"/>
      <c r="HY135" s="38"/>
      <c r="HZ135" s="38"/>
      <c r="IA135" s="38"/>
      <c r="IB135" s="38"/>
      <c r="IC135" s="38"/>
      <c r="ID135" s="38"/>
      <c r="IE135" s="38"/>
      <c r="IF135" s="38"/>
      <c r="IG135" s="38"/>
      <c r="IH135" s="38"/>
      <c r="II135" s="38"/>
      <c r="IJ135" s="38"/>
      <c r="IK135" s="38"/>
      <c r="IL135" s="38"/>
      <c r="IM135" s="38"/>
      <c r="IN135" s="38"/>
      <c r="IO135" s="38"/>
      <c r="IP135" s="38"/>
      <c r="IQ135" s="38"/>
      <c r="IR135" s="38"/>
      <c r="IS135" s="38"/>
      <c r="IT135" s="38"/>
      <c r="IU135" s="38"/>
      <c r="IV135" s="38"/>
      <c r="IW135" s="38"/>
      <c r="IX135" s="38"/>
      <c r="IY135" s="38"/>
      <c r="IZ135" s="38"/>
      <c r="JA135" s="38"/>
      <c r="JB135" s="38"/>
      <c r="JC135" s="38"/>
      <c r="JD135" s="38"/>
      <c r="JE135" s="38"/>
      <c r="JF135" s="38"/>
      <c r="JG135" s="38"/>
      <c r="JH135" s="38"/>
      <c r="JI135" s="38"/>
      <c r="JJ135" s="38"/>
      <c r="JK135" s="38"/>
      <c r="JL135" s="38"/>
      <c r="JM135" s="38"/>
      <c r="JN135" s="38"/>
      <c r="JO135" s="38"/>
      <c r="JP135" s="38"/>
      <c r="JQ135" s="38"/>
      <c r="JR135" s="38"/>
      <c r="JS135" s="38"/>
      <c r="JT135" s="38"/>
      <c r="JU135" s="38"/>
      <c r="JV135" s="38"/>
      <c r="JW135" s="38"/>
      <c r="JX135" s="38"/>
      <c r="JY135" s="38"/>
      <c r="JZ135" s="38"/>
      <c r="KA135" s="38"/>
      <c r="KB135" s="38"/>
      <c r="KC135" s="38"/>
      <c r="KD135" s="38"/>
      <c r="KE135" s="38"/>
      <c r="KF135" s="38"/>
      <c r="KG135" s="38"/>
      <c r="KH135" s="38"/>
      <c r="KI135" s="38"/>
      <c r="KJ135" s="38"/>
      <c r="KK135" s="38"/>
      <c r="KL135" s="38"/>
      <c r="KM135" s="38"/>
      <c r="KN135" s="38"/>
      <c r="KO135" s="38"/>
      <c r="KP135" s="38"/>
      <c r="KQ135" s="38"/>
      <c r="KR135" s="38"/>
      <c r="KS135" s="38"/>
      <c r="KT135" s="38"/>
      <c r="KU135" s="38"/>
      <c r="KV135" s="38"/>
      <c r="KW135" s="38"/>
      <c r="KX135" s="38"/>
      <c r="KY135" s="38"/>
      <c r="KZ135" s="38"/>
      <c r="LA135" s="38"/>
      <c r="LB135" s="38"/>
      <c r="LC135" s="38"/>
      <c r="LD135" s="38"/>
      <c r="LE135" s="38"/>
      <c r="LF135" s="38"/>
      <c r="LG135" s="38"/>
      <c r="LH135" s="38"/>
      <c r="LI135" s="38"/>
      <c r="LJ135" s="38"/>
      <c r="LK135" s="38"/>
      <c r="LL135" s="38"/>
      <c r="LM135" s="38"/>
      <c r="LN135" s="38"/>
      <c r="LO135" s="38"/>
      <c r="LP135" s="38"/>
      <c r="LQ135" s="38"/>
      <c r="LR135" s="38"/>
      <c r="LS135" s="38"/>
      <c r="LT135" s="38"/>
      <c r="LU135" s="38"/>
      <c r="LV135" s="38"/>
      <c r="LW135" s="38"/>
      <c r="LX135" s="38"/>
      <c r="LY135" s="38"/>
      <c r="LZ135" s="38"/>
      <c r="MA135" s="38"/>
      <c r="MB135" s="38"/>
      <c r="MC135" s="38"/>
      <c r="MD135" s="38"/>
      <c r="ME135" s="38"/>
      <c r="MF135" s="38"/>
      <c r="MG135" s="38"/>
      <c r="MH135" s="38"/>
      <c r="MI135" s="38"/>
      <c r="MJ135" s="38"/>
      <c r="MK135" s="38"/>
      <c r="ML135" s="38"/>
      <c r="MM135" s="38"/>
      <c r="MN135" s="38"/>
      <c r="MO135" s="38"/>
      <c r="MP135" s="38"/>
      <c r="MQ135" s="38"/>
      <c r="MR135" s="38"/>
      <c r="MS135" s="38"/>
      <c r="MT135" s="38"/>
      <c r="MU135" s="38"/>
      <c r="MV135" s="38"/>
      <c r="MW135" s="38"/>
      <c r="MX135" s="38"/>
      <c r="MY135" s="38"/>
      <c r="MZ135" s="38"/>
      <c r="NA135" s="38"/>
      <c r="NB135" s="38"/>
      <c r="NC135" s="38"/>
      <c r="ND135" s="38"/>
      <c r="NE135" s="38"/>
      <c r="NF135" s="38"/>
      <c r="NG135" s="38"/>
      <c r="NH135" s="38"/>
      <c r="NI135" s="38"/>
      <c r="NJ135" s="38"/>
      <c r="NK135" s="38"/>
      <c r="NL135" s="38"/>
      <c r="NM135" s="38"/>
      <c r="NN135" s="38"/>
      <c r="NO135" s="38"/>
      <c r="NP135" s="38"/>
      <c r="NQ135" s="38"/>
      <c r="NR135" s="38"/>
      <c r="NS135" s="38"/>
      <c r="NT135" s="38"/>
      <c r="NU135" s="38"/>
      <c r="NV135" s="38"/>
      <c r="NW135" s="38"/>
      <c r="NX135" s="38"/>
      <c r="NY135" s="38"/>
      <c r="NZ135" s="38"/>
      <c r="OA135" s="38"/>
      <c r="OB135" s="38"/>
      <c r="OC135" s="38"/>
      <c r="OD135" s="38"/>
      <c r="OE135" s="38"/>
      <c r="OF135" s="38"/>
      <c r="OG135" s="38"/>
      <c r="OH135" s="38"/>
      <c r="OI135" s="38"/>
      <c r="OJ135" s="38"/>
      <c r="OK135" s="38"/>
      <c r="OL135" s="38"/>
      <c r="OM135" s="38"/>
      <c r="ON135" s="38"/>
      <c r="OO135" s="38"/>
      <c r="OP135" s="38"/>
      <c r="OQ135" s="38"/>
      <c r="OR135" s="38"/>
      <c r="OS135" s="38"/>
      <c r="OT135" s="38"/>
      <c r="OU135" s="38"/>
      <c r="OV135" s="38"/>
      <c r="OW135" s="38"/>
      <c r="OX135" s="38"/>
      <c r="OY135" s="38"/>
      <c r="OZ135" s="38"/>
      <c r="PA135" s="38"/>
      <c r="PB135" s="38"/>
      <c r="PC135" s="38"/>
      <c r="PD135" s="38"/>
      <c r="PE135" s="38"/>
      <c r="PF135" s="38"/>
      <c r="PG135" s="38"/>
      <c r="PH135" s="38"/>
      <c r="PI135" s="38"/>
      <c r="PJ135" s="38"/>
      <c r="PK135" s="38"/>
      <c r="PL135" s="38"/>
      <c r="PM135" s="38"/>
      <c r="PN135" s="38"/>
      <c r="PO135" s="38"/>
      <c r="PP135" s="38"/>
      <c r="PQ135" s="38"/>
      <c r="PR135" s="38"/>
      <c r="PS135" s="38"/>
      <c r="PT135" s="38"/>
      <c r="PU135" s="38"/>
      <c r="PV135" s="38"/>
      <c r="PW135" s="38"/>
      <c r="PX135" s="38"/>
      <c r="PY135" s="38"/>
      <c r="PZ135" s="38"/>
      <c r="QA135" s="38"/>
      <c r="QB135" s="38"/>
      <c r="QC135" s="38"/>
      <c r="QD135" s="38"/>
      <c r="QE135" s="38"/>
      <c r="QF135" s="38"/>
      <c r="QG135" s="38"/>
      <c r="QH135" s="38"/>
      <c r="QI135" s="38"/>
      <c r="QJ135" s="38"/>
      <c r="QK135" s="38"/>
      <c r="QL135" s="38"/>
      <c r="QM135" s="38"/>
      <c r="QN135" s="38"/>
      <c r="QO135" s="38"/>
      <c r="QP135" s="38"/>
      <c r="QQ135" s="38"/>
      <c r="QR135" s="38"/>
      <c r="QS135" s="38"/>
      <c r="QT135" s="38"/>
      <c r="QU135" s="38"/>
      <c r="QV135" s="38"/>
      <c r="QW135" s="38"/>
      <c r="QX135" s="38"/>
      <c r="QY135" s="38"/>
      <c r="QZ135" s="38"/>
      <c r="RA135" s="38"/>
      <c r="RB135" s="38"/>
      <c r="RC135" s="38"/>
      <c r="RD135" s="38"/>
      <c r="RE135" s="38"/>
      <c r="RF135" s="38"/>
      <c r="RG135" s="38"/>
      <c r="RH135" s="38"/>
      <c r="RI135" s="38"/>
      <c r="RJ135" s="38"/>
      <c r="RK135" s="38"/>
      <c r="RL135" s="38"/>
      <c r="RM135" s="38"/>
      <c r="RN135" s="38"/>
      <c r="RO135" s="38"/>
      <c r="RP135" s="38"/>
      <c r="RQ135" s="38"/>
      <c r="RR135" s="38"/>
      <c r="RS135" s="38"/>
      <c r="RT135" s="38"/>
      <c r="RU135" s="38"/>
      <c r="RV135" s="38"/>
      <c r="RW135" s="38"/>
      <c r="RX135" s="38"/>
      <c r="RY135" s="38"/>
      <c r="RZ135" s="38"/>
      <c r="SA135" s="38"/>
      <c r="SB135" s="38"/>
      <c r="SC135" s="38"/>
      <c r="SD135" s="38"/>
      <c r="SE135" s="38"/>
      <c r="SF135" s="38"/>
      <c r="SG135" s="38"/>
      <c r="SH135" s="38"/>
      <c r="SI135" s="38"/>
      <c r="SJ135" s="38"/>
      <c r="SK135" s="38"/>
      <c r="SL135" s="38"/>
      <c r="SM135" s="38"/>
      <c r="SN135" s="38"/>
      <c r="SO135" s="38"/>
      <c r="SP135" s="38"/>
      <c r="SQ135" s="38"/>
      <c r="SR135" s="38"/>
      <c r="SS135" s="38"/>
      <c r="ST135" s="38"/>
      <c r="SU135" s="38"/>
      <c r="SV135" s="38"/>
      <c r="SW135" s="38"/>
      <c r="SX135" s="38"/>
      <c r="SY135" s="38"/>
      <c r="SZ135" s="38"/>
      <c r="TA135" s="38"/>
      <c r="TB135" s="38"/>
      <c r="TC135" s="38"/>
      <c r="TD135" s="38"/>
      <c r="TE135" s="38"/>
      <c r="TF135" s="38"/>
      <c r="TG135" s="38"/>
      <c r="TH135" s="38"/>
      <c r="TI135" s="38"/>
      <c r="TJ135" s="38"/>
      <c r="TK135" s="38"/>
      <c r="TL135" s="38"/>
      <c r="TM135" s="38"/>
      <c r="TN135" s="38"/>
      <c r="TO135" s="38"/>
      <c r="TP135" s="38"/>
      <c r="TQ135" s="38"/>
      <c r="TR135" s="38"/>
      <c r="TS135" s="38"/>
      <c r="TT135" s="38"/>
      <c r="TU135" s="38"/>
      <c r="TV135" s="38"/>
      <c r="TW135" s="38"/>
      <c r="TX135" s="38"/>
      <c r="TY135" s="38"/>
      <c r="TZ135" s="38"/>
      <c r="UA135" s="38"/>
      <c r="UB135" s="38"/>
      <c r="UC135" s="38"/>
      <c r="UD135" s="38"/>
      <c r="UE135" s="38"/>
      <c r="UF135" s="38"/>
      <c r="UG135" s="38"/>
      <c r="UH135" s="38"/>
      <c r="UI135" s="38"/>
      <c r="UJ135" s="38"/>
      <c r="UK135" s="38"/>
      <c r="UL135" s="38"/>
      <c r="UM135" s="38"/>
      <c r="UN135" s="38"/>
      <c r="UO135" s="38"/>
      <c r="UP135" s="38"/>
      <c r="UQ135" s="38"/>
      <c r="UR135" s="38"/>
      <c r="US135" s="38"/>
      <c r="UT135" s="38"/>
      <c r="UU135" s="38"/>
      <c r="UV135" s="38"/>
      <c r="UW135" s="38"/>
      <c r="UX135" s="38"/>
      <c r="UY135" s="38"/>
      <c r="UZ135" s="38"/>
      <c r="VA135" s="38"/>
      <c r="VB135" s="38"/>
      <c r="VC135" s="38"/>
      <c r="VD135" s="38"/>
      <c r="VE135" s="38"/>
      <c r="VF135" s="38"/>
      <c r="VG135" s="38"/>
      <c r="VH135" s="38"/>
      <c r="VI135" s="38"/>
      <c r="VJ135" s="38"/>
      <c r="VK135" s="38"/>
      <c r="VL135" s="38"/>
      <c r="VM135" s="38"/>
      <c r="VN135" s="38"/>
      <c r="VO135" s="38"/>
      <c r="VP135" s="38"/>
      <c r="VQ135" s="38"/>
      <c r="VR135" s="38"/>
      <c r="VS135" s="38"/>
      <c r="VT135" s="38"/>
      <c r="VU135" s="38"/>
      <c r="VV135" s="38"/>
      <c r="VW135" s="38"/>
      <c r="VX135" s="38"/>
      <c r="VY135" s="38"/>
      <c r="VZ135" s="38"/>
      <c r="WA135" s="38"/>
      <c r="WB135" s="38"/>
      <c r="WC135" s="38"/>
      <c r="WD135" s="38"/>
      <c r="WE135" s="38"/>
      <c r="WF135" s="38"/>
      <c r="WG135" s="38"/>
      <c r="WH135" s="38"/>
      <c r="WI135" s="38"/>
      <c r="WJ135" s="38"/>
      <c r="WK135" s="38"/>
      <c r="WL135" s="38"/>
      <c r="WM135" s="38"/>
      <c r="WN135" s="38"/>
      <c r="WO135" s="38"/>
      <c r="WP135" s="38"/>
      <c r="WQ135" s="38"/>
      <c r="WR135" s="38"/>
      <c r="WS135" s="38"/>
      <c r="WT135" s="38"/>
      <c r="WU135" s="38"/>
      <c r="WV135" s="38"/>
      <c r="WW135" s="38"/>
      <c r="WX135" s="38"/>
      <c r="WY135" s="38"/>
      <c r="WZ135" s="38"/>
      <c r="XA135" s="38"/>
      <c r="XB135" s="38"/>
      <c r="XC135" s="38"/>
      <c r="XD135" s="38"/>
      <c r="XE135" s="38"/>
      <c r="XF135" s="38"/>
      <c r="XG135" s="38"/>
      <c r="XH135" s="38"/>
      <c r="XI135" s="38"/>
      <c r="XJ135" s="38"/>
      <c r="XK135" s="38"/>
      <c r="XL135" s="38"/>
      <c r="XM135" s="38"/>
      <c r="XN135" s="38"/>
      <c r="XO135" s="38"/>
      <c r="XP135" s="38"/>
      <c r="XQ135" s="38"/>
      <c r="XR135" s="38"/>
      <c r="XS135" s="38"/>
      <c r="XT135" s="38"/>
      <c r="XU135" s="38"/>
      <c r="XV135" s="38"/>
      <c r="XW135" s="38"/>
      <c r="XX135" s="38"/>
      <c r="XY135" s="38"/>
      <c r="XZ135" s="38"/>
      <c r="YA135" s="38"/>
      <c r="YB135" s="38"/>
      <c r="YC135" s="38"/>
      <c r="YD135" s="38"/>
      <c r="YE135" s="38"/>
      <c r="YF135" s="38"/>
      <c r="YG135" s="38"/>
      <c r="YH135" s="38"/>
      <c r="YI135" s="38"/>
      <c r="YJ135" s="38"/>
      <c r="YK135" s="38"/>
      <c r="YL135" s="38"/>
      <c r="YM135" s="38"/>
      <c r="YN135" s="38"/>
      <c r="YO135" s="38"/>
      <c r="YP135" s="38"/>
      <c r="YQ135" s="38"/>
      <c r="YR135" s="38"/>
      <c r="YS135" s="38"/>
      <c r="YT135" s="38"/>
      <c r="YU135" s="38"/>
      <c r="YV135" s="38"/>
      <c r="YW135" s="38"/>
      <c r="YX135" s="38"/>
      <c r="YY135" s="38"/>
      <c r="YZ135" s="38"/>
      <c r="ZA135" s="38"/>
      <c r="ZB135" s="38"/>
      <c r="ZC135" s="38"/>
      <c r="ZD135" s="38"/>
      <c r="ZE135" s="38"/>
      <c r="ZF135" s="38"/>
      <c r="ZG135" s="38"/>
      <c r="ZH135" s="38"/>
      <c r="ZI135" s="38"/>
      <c r="ZJ135" s="38"/>
      <c r="ZK135" s="38"/>
      <c r="ZL135" s="38"/>
      <c r="ZM135" s="38"/>
      <c r="ZN135" s="38"/>
      <c r="ZO135" s="38"/>
      <c r="ZP135" s="38"/>
      <c r="ZQ135" s="38"/>
      <c r="ZR135" s="38"/>
      <c r="ZS135" s="38"/>
      <c r="ZT135" s="38"/>
      <c r="ZU135" s="38"/>
      <c r="ZV135" s="38"/>
      <c r="ZW135" s="38"/>
      <c r="ZX135" s="38"/>
      <c r="ZY135" s="38"/>
      <c r="ZZ135" s="38"/>
      <c r="AAA135" s="38"/>
      <c r="AAB135" s="38"/>
      <c r="AAC135" s="38"/>
      <c r="AAD135" s="38"/>
      <c r="AAE135" s="38"/>
      <c r="AAF135" s="38"/>
      <c r="AAG135" s="38"/>
      <c r="AAH135" s="38"/>
      <c r="AAI135" s="38"/>
      <c r="AAJ135" s="38"/>
      <c r="AAK135" s="38"/>
      <c r="AAL135" s="38"/>
      <c r="AAM135" s="38"/>
      <c r="AAN135" s="38"/>
      <c r="AAO135" s="38"/>
      <c r="AAP135" s="38"/>
      <c r="AAQ135" s="38"/>
      <c r="AAR135" s="38"/>
      <c r="AAS135" s="38"/>
      <c r="AAT135" s="38"/>
      <c r="AAU135" s="38"/>
      <c r="AAV135" s="38"/>
      <c r="AAW135" s="38"/>
      <c r="AAX135" s="38"/>
      <c r="AAY135" s="38"/>
      <c r="AAZ135" s="38"/>
      <c r="ABA135" s="38"/>
      <c r="ABB135" s="38"/>
      <c r="ABC135" s="38"/>
      <c r="ABD135" s="38"/>
      <c r="ABE135" s="38"/>
      <c r="ABF135" s="38"/>
      <c r="ABG135" s="38"/>
      <c r="ABH135" s="38"/>
      <c r="ABI135" s="38"/>
      <c r="ABJ135" s="38"/>
      <c r="ABK135" s="38"/>
      <c r="ABL135" s="38"/>
      <c r="ABM135" s="38"/>
      <c r="ABN135" s="38"/>
      <c r="ABO135" s="38"/>
      <c r="ABP135" s="38"/>
      <c r="ABQ135" s="38"/>
      <c r="ABR135" s="38"/>
      <c r="ABS135" s="38"/>
      <c r="ABT135" s="38"/>
      <c r="ABU135" s="38"/>
      <c r="ABV135" s="38"/>
      <c r="ABW135" s="38"/>
      <c r="ABX135" s="38"/>
      <c r="ABY135" s="38"/>
      <c r="ABZ135" s="38"/>
      <c r="ACA135" s="38"/>
      <c r="ACB135" s="38"/>
      <c r="ACC135" s="38"/>
      <c r="ACD135" s="38"/>
      <c r="ACE135" s="38"/>
      <c r="ACF135" s="38"/>
      <c r="ACG135" s="38"/>
      <c r="ACH135" s="38"/>
      <c r="ACI135" s="38"/>
      <c r="ACJ135" s="38"/>
      <c r="ACK135" s="38"/>
      <c r="ACL135" s="38"/>
      <c r="ACM135" s="38"/>
      <c r="ACN135" s="38"/>
      <c r="ACO135" s="38"/>
      <c r="ACP135" s="38"/>
      <c r="ACQ135" s="38"/>
      <c r="ACR135" s="38"/>
      <c r="ACS135" s="38"/>
      <c r="ACT135" s="38"/>
      <c r="ACU135" s="38"/>
      <c r="ACV135" s="38"/>
      <c r="ACW135" s="38"/>
      <c r="ACX135" s="38"/>
      <c r="ACY135" s="38"/>
      <c r="ACZ135" s="38"/>
      <c r="ADA135" s="38"/>
      <c r="ADB135" s="38"/>
      <c r="ADC135" s="38"/>
      <c r="ADD135" s="38"/>
      <c r="ADE135" s="38"/>
      <c r="ADF135" s="38"/>
      <c r="ADG135" s="38"/>
      <c r="ADH135" s="38"/>
      <c r="ADI135" s="38"/>
      <c r="ADJ135" s="38"/>
      <c r="ADK135" s="38"/>
      <c r="ADL135" s="38"/>
      <c r="ADM135" s="38"/>
      <c r="ADN135" s="38"/>
      <c r="ADO135" s="38"/>
      <c r="ADP135" s="38"/>
      <c r="ADQ135" s="38"/>
      <c r="ADR135" s="38"/>
      <c r="ADS135" s="38"/>
      <c r="ADT135" s="38"/>
      <c r="ADU135" s="38"/>
      <c r="ADV135" s="38"/>
      <c r="ADW135" s="38"/>
      <c r="ADX135" s="38"/>
      <c r="ADY135" s="38"/>
      <c r="ADZ135" s="38"/>
      <c r="AEA135" s="38"/>
      <c r="AEB135" s="38"/>
      <c r="AEC135" s="38"/>
      <c r="AED135" s="38"/>
      <c r="AEE135" s="38"/>
      <c r="AEF135" s="38"/>
      <c r="AEG135" s="38"/>
      <c r="AEH135" s="38"/>
      <c r="AEI135" s="38"/>
      <c r="AEJ135" s="38"/>
      <c r="AEK135" s="38"/>
      <c r="AEL135" s="38"/>
      <c r="AEM135" s="38"/>
      <c r="AEN135" s="38"/>
      <c r="AEO135" s="38"/>
      <c r="AEP135" s="38"/>
      <c r="AEQ135" s="38"/>
      <c r="AER135" s="38"/>
      <c r="AES135" s="38"/>
      <c r="AET135" s="38"/>
      <c r="AEU135" s="38"/>
      <c r="AEV135" s="38"/>
      <c r="AEW135" s="38"/>
      <c r="AEX135" s="38"/>
      <c r="AEY135" s="38"/>
      <c r="AEZ135" s="38"/>
      <c r="AFA135" s="38"/>
      <c r="AFB135" s="38"/>
      <c r="AFC135" s="38"/>
      <c r="AFD135" s="38"/>
      <c r="AFE135" s="38"/>
      <c r="AFF135" s="38"/>
      <c r="AFG135" s="38"/>
      <c r="AFH135" s="38"/>
      <c r="AFI135" s="38"/>
      <c r="AFJ135" s="38"/>
      <c r="AFK135" s="38"/>
      <c r="AFL135" s="38"/>
      <c r="AFM135" s="38"/>
      <c r="AFN135" s="38"/>
      <c r="AFO135" s="38"/>
      <c r="AFP135" s="38"/>
      <c r="AFQ135" s="38"/>
      <c r="AFR135" s="38"/>
      <c r="AFS135" s="38"/>
      <c r="AFT135" s="38"/>
      <c r="AFU135" s="38"/>
      <c r="AFV135" s="38"/>
      <c r="AFW135" s="38"/>
      <c r="AFX135" s="38"/>
      <c r="AFY135" s="38"/>
      <c r="AFZ135" s="38"/>
      <c r="AGA135" s="38"/>
      <c r="AGB135" s="38"/>
      <c r="AGC135" s="38"/>
      <c r="AGD135" s="38"/>
      <c r="AGE135" s="38"/>
      <c r="AGF135" s="38"/>
      <c r="AGG135" s="38"/>
      <c r="AGH135" s="38"/>
      <c r="AGI135" s="38"/>
      <c r="AGJ135" s="38"/>
      <c r="AGK135" s="38"/>
      <c r="AGL135" s="38"/>
      <c r="AGM135" s="38"/>
      <c r="AGN135" s="38"/>
      <c r="AGO135" s="38"/>
      <c r="AGP135" s="38"/>
      <c r="AGQ135" s="38"/>
      <c r="AGR135" s="38"/>
      <c r="AGS135" s="38"/>
      <c r="AGT135" s="38"/>
      <c r="AGU135" s="38"/>
      <c r="AGV135" s="38"/>
      <c r="AGW135" s="38"/>
      <c r="AGX135" s="38"/>
      <c r="AGY135" s="38"/>
      <c r="AGZ135" s="38"/>
      <c r="AHA135" s="38"/>
      <c r="AHB135" s="38"/>
      <c r="AHC135" s="38"/>
      <c r="AHD135" s="38"/>
      <c r="AHE135" s="38"/>
      <c r="AHF135" s="38"/>
      <c r="AHG135" s="38"/>
      <c r="AHH135" s="38"/>
      <c r="AHI135" s="38"/>
      <c r="AHJ135" s="38"/>
      <c r="AHK135" s="38"/>
      <c r="AHL135" s="38"/>
      <c r="AHM135" s="38"/>
      <c r="AHN135" s="38"/>
      <c r="AHO135" s="38"/>
      <c r="AHP135" s="38"/>
      <c r="AHQ135" s="38"/>
      <c r="AHR135" s="38"/>
      <c r="AHS135" s="38"/>
      <c r="AHT135" s="38"/>
      <c r="AHU135" s="38"/>
      <c r="AHV135" s="38"/>
    </row>
    <row r="136" spans="1:906" s="27" customFormat="1" x14ac:dyDescent="0.35">
      <c r="A136" s="83">
        <v>131</v>
      </c>
      <c r="B136" s="108" t="s">
        <v>222</v>
      </c>
      <c r="C136" s="109" t="s">
        <v>70</v>
      </c>
      <c r="D136" s="109" t="s">
        <v>223</v>
      </c>
      <c r="E136" s="125">
        <v>12.65</v>
      </c>
      <c r="F136" s="125">
        <v>12</v>
      </c>
      <c r="G136" s="125">
        <v>15.95</v>
      </c>
      <c r="H136" s="125"/>
      <c r="I136" s="37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  <c r="BN136" s="38"/>
      <c r="BO136" s="38"/>
      <c r="BP136" s="38"/>
      <c r="BQ136" s="38"/>
      <c r="BR136" s="38"/>
      <c r="BS136" s="38"/>
      <c r="BT136" s="38"/>
      <c r="BU136" s="38"/>
      <c r="BV136" s="38"/>
      <c r="BW136" s="38"/>
      <c r="BX136" s="38"/>
      <c r="BY136" s="38"/>
      <c r="BZ136" s="38"/>
      <c r="CA136" s="38"/>
      <c r="CB136" s="38"/>
      <c r="CC136" s="38"/>
      <c r="CD136" s="38"/>
      <c r="CE136" s="38"/>
      <c r="CF136" s="38"/>
      <c r="CG136" s="38"/>
      <c r="CH136" s="38"/>
      <c r="CI136" s="38"/>
      <c r="CJ136" s="38"/>
      <c r="CK136" s="38"/>
      <c r="CL136" s="38"/>
      <c r="CM136" s="38"/>
      <c r="CN136" s="38"/>
      <c r="CO136" s="38"/>
      <c r="CP136" s="38"/>
      <c r="CQ136" s="38"/>
      <c r="CR136" s="38"/>
      <c r="CS136" s="38"/>
      <c r="CT136" s="38"/>
      <c r="CU136" s="38"/>
      <c r="CV136" s="38"/>
      <c r="CW136" s="38"/>
      <c r="CX136" s="38"/>
      <c r="CY136" s="38"/>
      <c r="CZ136" s="38"/>
      <c r="DA136" s="38"/>
      <c r="DB136" s="38"/>
      <c r="DC136" s="38"/>
      <c r="DD136" s="38"/>
      <c r="DE136" s="38"/>
      <c r="DF136" s="38"/>
      <c r="DG136" s="38"/>
      <c r="DH136" s="38"/>
      <c r="DI136" s="38"/>
      <c r="DJ136" s="38"/>
      <c r="DK136" s="38"/>
      <c r="DL136" s="38"/>
      <c r="DM136" s="38"/>
      <c r="DN136" s="38"/>
      <c r="DO136" s="38"/>
      <c r="DP136" s="38"/>
      <c r="DQ136" s="38"/>
      <c r="DR136" s="38"/>
      <c r="DS136" s="38"/>
      <c r="DT136" s="38"/>
      <c r="DU136" s="38"/>
      <c r="DV136" s="38"/>
      <c r="DW136" s="38"/>
      <c r="DX136" s="38"/>
      <c r="DY136" s="38"/>
      <c r="DZ136" s="38"/>
      <c r="EA136" s="38"/>
      <c r="EB136" s="38"/>
      <c r="EC136" s="38"/>
      <c r="ED136" s="38"/>
      <c r="EE136" s="38"/>
      <c r="EF136" s="38"/>
      <c r="EG136" s="38"/>
      <c r="EH136" s="38"/>
      <c r="EI136" s="38"/>
      <c r="EJ136" s="38"/>
      <c r="EK136" s="38"/>
      <c r="EL136" s="38"/>
      <c r="EM136" s="38"/>
      <c r="EN136" s="38"/>
      <c r="EO136" s="38"/>
      <c r="EP136" s="38"/>
      <c r="EQ136" s="38"/>
      <c r="ER136" s="38"/>
      <c r="ES136" s="38"/>
      <c r="ET136" s="38"/>
      <c r="EU136" s="38"/>
      <c r="EV136" s="38"/>
      <c r="EW136" s="38"/>
      <c r="EX136" s="38"/>
      <c r="EY136" s="38"/>
      <c r="EZ136" s="38"/>
      <c r="FA136" s="38"/>
      <c r="FB136" s="38"/>
      <c r="FC136" s="38"/>
      <c r="FD136" s="38"/>
      <c r="FE136" s="38"/>
      <c r="FF136" s="38"/>
      <c r="FG136" s="38"/>
      <c r="FH136" s="38"/>
      <c r="FI136" s="38"/>
      <c r="FJ136" s="38"/>
      <c r="FK136" s="38"/>
      <c r="FL136" s="38"/>
      <c r="FM136" s="38"/>
      <c r="FN136" s="38"/>
      <c r="FO136" s="38"/>
      <c r="FP136" s="38"/>
      <c r="FQ136" s="38"/>
      <c r="FR136" s="38"/>
      <c r="FS136" s="38"/>
      <c r="FT136" s="38"/>
      <c r="FU136" s="38"/>
      <c r="FV136" s="38"/>
      <c r="FW136" s="38"/>
      <c r="FX136" s="38"/>
      <c r="FY136" s="38"/>
      <c r="FZ136" s="38"/>
      <c r="GA136" s="38"/>
      <c r="GB136" s="38"/>
      <c r="GC136" s="38"/>
      <c r="GD136" s="38"/>
      <c r="GE136" s="38"/>
      <c r="GF136" s="38"/>
      <c r="GG136" s="38"/>
      <c r="GH136" s="38"/>
      <c r="GI136" s="38"/>
      <c r="GJ136" s="38"/>
      <c r="GK136" s="38"/>
      <c r="GL136" s="38"/>
      <c r="GM136" s="38"/>
      <c r="GN136" s="38"/>
      <c r="GO136" s="38"/>
      <c r="GP136" s="38"/>
      <c r="GQ136" s="38"/>
      <c r="GR136" s="38"/>
      <c r="GS136" s="38"/>
      <c r="GT136" s="38"/>
      <c r="GU136" s="38"/>
      <c r="GV136" s="38"/>
      <c r="GW136" s="38"/>
      <c r="GX136" s="38"/>
      <c r="GY136" s="38"/>
      <c r="GZ136" s="38"/>
      <c r="HA136" s="38"/>
      <c r="HB136" s="38"/>
      <c r="HC136" s="38"/>
      <c r="HD136" s="38"/>
      <c r="HE136" s="38"/>
      <c r="HF136" s="38"/>
      <c r="HG136" s="38"/>
      <c r="HH136" s="38"/>
      <c r="HI136" s="38"/>
      <c r="HJ136" s="38"/>
      <c r="HK136" s="38"/>
      <c r="HL136" s="38"/>
      <c r="HM136" s="38"/>
      <c r="HN136" s="38"/>
      <c r="HO136" s="38"/>
      <c r="HP136" s="38"/>
      <c r="HQ136" s="38"/>
      <c r="HR136" s="38"/>
      <c r="HS136" s="38"/>
      <c r="HT136" s="38"/>
      <c r="HU136" s="38"/>
      <c r="HV136" s="38"/>
      <c r="HW136" s="38"/>
      <c r="HX136" s="38"/>
      <c r="HY136" s="38"/>
      <c r="HZ136" s="38"/>
      <c r="IA136" s="38"/>
      <c r="IB136" s="38"/>
      <c r="IC136" s="38"/>
      <c r="ID136" s="38"/>
      <c r="IE136" s="38"/>
      <c r="IF136" s="38"/>
      <c r="IG136" s="38"/>
      <c r="IH136" s="38"/>
      <c r="II136" s="38"/>
      <c r="IJ136" s="38"/>
      <c r="IK136" s="38"/>
      <c r="IL136" s="38"/>
      <c r="IM136" s="38"/>
      <c r="IN136" s="38"/>
      <c r="IO136" s="38"/>
      <c r="IP136" s="38"/>
      <c r="IQ136" s="38"/>
      <c r="IR136" s="38"/>
      <c r="IS136" s="38"/>
      <c r="IT136" s="38"/>
      <c r="IU136" s="38"/>
      <c r="IV136" s="38"/>
      <c r="IW136" s="38"/>
      <c r="IX136" s="38"/>
      <c r="IY136" s="38"/>
      <c r="IZ136" s="38"/>
      <c r="JA136" s="38"/>
      <c r="JB136" s="38"/>
      <c r="JC136" s="38"/>
      <c r="JD136" s="38"/>
      <c r="JE136" s="38"/>
      <c r="JF136" s="38"/>
      <c r="JG136" s="38"/>
      <c r="JH136" s="38"/>
      <c r="JI136" s="38"/>
      <c r="JJ136" s="38"/>
      <c r="JK136" s="38"/>
      <c r="JL136" s="38"/>
      <c r="JM136" s="38"/>
      <c r="JN136" s="38"/>
      <c r="JO136" s="38"/>
      <c r="JP136" s="38"/>
      <c r="JQ136" s="38"/>
      <c r="JR136" s="38"/>
      <c r="JS136" s="38"/>
      <c r="JT136" s="38"/>
      <c r="JU136" s="38"/>
      <c r="JV136" s="38"/>
      <c r="JW136" s="38"/>
      <c r="JX136" s="38"/>
      <c r="JY136" s="38"/>
      <c r="JZ136" s="38"/>
      <c r="KA136" s="38"/>
      <c r="KB136" s="38"/>
      <c r="KC136" s="38"/>
      <c r="KD136" s="38"/>
      <c r="KE136" s="38"/>
      <c r="KF136" s="38"/>
      <c r="KG136" s="38"/>
      <c r="KH136" s="38"/>
      <c r="KI136" s="38"/>
      <c r="KJ136" s="38"/>
      <c r="KK136" s="38"/>
      <c r="KL136" s="38"/>
      <c r="KM136" s="38"/>
      <c r="KN136" s="38"/>
      <c r="KO136" s="38"/>
      <c r="KP136" s="38"/>
      <c r="KQ136" s="38"/>
      <c r="KR136" s="38"/>
      <c r="KS136" s="38"/>
      <c r="KT136" s="38"/>
      <c r="KU136" s="38"/>
      <c r="KV136" s="38"/>
      <c r="KW136" s="38"/>
      <c r="KX136" s="38"/>
      <c r="KY136" s="38"/>
      <c r="KZ136" s="38"/>
      <c r="LA136" s="38"/>
      <c r="LB136" s="38"/>
      <c r="LC136" s="38"/>
      <c r="LD136" s="38"/>
      <c r="LE136" s="38"/>
      <c r="LF136" s="38"/>
      <c r="LG136" s="38"/>
      <c r="LH136" s="38"/>
      <c r="LI136" s="38"/>
      <c r="LJ136" s="38"/>
      <c r="LK136" s="38"/>
      <c r="LL136" s="38"/>
      <c r="LM136" s="38"/>
      <c r="LN136" s="38"/>
      <c r="LO136" s="38"/>
      <c r="LP136" s="38"/>
      <c r="LQ136" s="38"/>
      <c r="LR136" s="38"/>
      <c r="LS136" s="38"/>
      <c r="LT136" s="38"/>
      <c r="LU136" s="38"/>
      <c r="LV136" s="38"/>
      <c r="LW136" s="38"/>
      <c r="LX136" s="38"/>
      <c r="LY136" s="38"/>
      <c r="LZ136" s="38"/>
      <c r="MA136" s="38"/>
      <c r="MB136" s="38"/>
      <c r="MC136" s="38"/>
      <c r="MD136" s="38"/>
      <c r="ME136" s="38"/>
      <c r="MF136" s="38"/>
      <c r="MG136" s="38"/>
      <c r="MH136" s="38"/>
      <c r="MI136" s="38"/>
      <c r="MJ136" s="38"/>
      <c r="MK136" s="38"/>
      <c r="ML136" s="38"/>
      <c r="MM136" s="38"/>
      <c r="MN136" s="38"/>
      <c r="MO136" s="38"/>
      <c r="MP136" s="38"/>
      <c r="MQ136" s="38"/>
      <c r="MR136" s="38"/>
      <c r="MS136" s="38"/>
      <c r="MT136" s="38"/>
      <c r="MU136" s="38"/>
      <c r="MV136" s="38"/>
      <c r="MW136" s="38"/>
      <c r="MX136" s="38"/>
      <c r="MY136" s="38"/>
      <c r="MZ136" s="38"/>
      <c r="NA136" s="38"/>
      <c r="NB136" s="38"/>
      <c r="NC136" s="38"/>
      <c r="ND136" s="38"/>
      <c r="NE136" s="38"/>
      <c r="NF136" s="38"/>
      <c r="NG136" s="38"/>
      <c r="NH136" s="38"/>
      <c r="NI136" s="38"/>
      <c r="NJ136" s="38"/>
      <c r="NK136" s="38"/>
      <c r="NL136" s="38"/>
      <c r="NM136" s="38"/>
      <c r="NN136" s="38"/>
      <c r="NO136" s="38"/>
      <c r="NP136" s="38"/>
      <c r="NQ136" s="38"/>
      <c r="NR136" s="38"/>
      <c r="NS136" s="38"/>
      <c r="NT136" s="38"/>
      <c r="NU136" s="38"/>
      <c r="NV136" s="38"/>
      <c r="NW136" s="38"/>
      <c r="NX136" s="38"/>
      <c r="NY136" s="38"/>
      <c r="NZ136" s="38"/>
      <c r="OA136" s="38"/>
      <c r="OB136" s="38"/>
      <c r="OC136" s="38"/>
      <c r="OD136" s="38"/>
      <c r="OE136" s="38"/>
      <c r="OF136" s="38"/>
      <c r="OG136" s="38"/>
      <c r="OH136" s="38"/>
      <c r="OI136" s="38"/>
      <c r="OJ136" s="38"/>
      <c r="OK136" s="38"/>
      <c r="OL136" s="38"/>
      <c r="OM136" s="38"/>
      <c r="ON136" s="38"/>
      <c r="OO136" s="38"/>
      <c r="OP136" s="38"/>
      <c r="OQ136" s="38"/>
      <c r="OR136" s="38"/>
      <c r="OS136" s="38"/>
      <c r="OT136" s="38"/>
      <c r="OU136" s="38"/>
      <c r="OV136" s="38"/>
      <c r="OW136" s="38"/>
      <c r="OX136" s="38"/>
      <c r="OY136" s="38"/>
      <c r="OZ136" s="38"/>
      <c r="PA136" s="38"/>
      <c r="PB136" s="38"/>
      <c r="PC136" s="38"/>
      <c r="PD136" s="38"/>
      <c r="PE136" s="38"/>
      <c r="PF136" s="38"/>
      <c r="PG136" s="38"/>
      <c r="PH136" s="38"/>
      <c r="PI136" s="38"/>
      <c r="PJ136" s="38"/>
      <c r="PK136" s="38"/>
      <c r="PL136" s="38"/>
      <c r="PM136" s="38"/>
      <c r="PN136" s="38"/>
      <c r="PO136" s="38"/>
      <c r="PP136" s="38"/>
      <c r="PQ136" s="38"/>
      <c r="PR136" s="38"/>
      <c r="PS136" s="38"/>
      <c r="PT136" s="38"/>
      <c r="PU136" s="38"/>
      <c r="PV136" s="38"/>
      <c r="PW136" s="38"/>
      <c r="PX136" s="38"/>
      <c r="PY136" s="38"/>
      <c r="PZ136" s="38"/>
      <c r="QA136" s="38"/>
      <c r="QB136" s="38"/>
      <c r="QC136" s="38"/>
      <c r="QD136" s="38"/>
      <c r="QE136" s="38"/>
      <c r="QF136" s="38"/>
      <c r="QG136" s="38"/>
      <c r="QH136" s="38"/>
      <c r="QI136" s="38"/>
      <c r="QJ136" s="38"/>
      <c r="QK136" s="38"/>
      <c r="QL136" s="38"/>
      <c r="QM136" s="38"/>
      <c r="QN136" s="38"/>
      <c r="QO136" s="38"/>
      <c r="QP136" s="38"/>
      <c r="QQ136" s="38"/>
      <c r="QR136" s="38"/>
      <c r="QS136" s="38"/>
      <c r="QT136" s="38"/>
      <c r="QU136" s="38"/>
      <c r="QV136" s="38"/>
      <c r="QW136" s="38"/>
      <c r="QX136" s="38"/>
      <c r="QY136" s="38"/>
      <c r="QZ136" s="38"/>
      <c r="RA136" s="38"/>
      <c r="RB136" s="38"/>
      <c r="RC136" s="38"/>
      <c r="RD136" s="38"/>
      <c r="RE136" s="38"/>
      <c r="RF136" s="38"/>
      <c r="RG136" s="38"/>
      <c r="RH136" s="38"/>
      <c r="RI136" s="38"/>
      <c r="RJ136" s="38"/>
      <c r="RK136" s="38"/>
      <c r="RL136" s="38"/>
      <c r="RM136" s="38"/>
      <c r="RN136" s="38"/>
      <c r="RO136" s="38"/>
      <c r="RP136" s="38"/>
      <c r="RQ136" s="38"/>
      <c r="RR136" s="38"/>
      <c r="RS136" s="38"/>
      <c r="RT136" s="38"/>
      <c r="RU136" s="38"/>
      <c r="RV136" s="38"/>
      <c r="RW136" s="38"/>
      <c r="RX136" s="38"/>
      <c r="RY136" s="38"/>
      <c r="RZ136" s="38"/>
      <c r="SA136" s="38"/>
      <c r="SB136" s="38"/>
      <c r="SC136" s="38"/>
      <c r="SD136" s="38"/>
      <c r="SE136" s="38"/>
      <c r="SF136" s="38"/>
      <c r="SG136" s="38"/>
      <c r="SH136" s="38"/>
      <c r="SI136" s="38"/>
      <c r="SJ136" s="38"/>
      <c r="SK136" s="38"/>
      <c r="SL136" s="38"/>
      <c r="SM136" s="38"/>
      <c r="SN136" s="38"/>
      <c r="SO136" s="38"/>
      <c r="SP136" s="38"/>
      <c r="SQ136" s="38"/>
      <c r="SR136" s="38"/>
      <c r="SS136" s="38"/>
      <c r="ST136" s="38"/>
      <c r="SU136" s="38"/>
      <c r="SV136" s="38"/>
      <c r="SW136" s="38"/>
      <c r="SX136" s="38"/>
      <c r="SY136" s="38"/>
      <c r="SZ136" s="38"/>
      <c r="TA136" s="38"/>
      <c r="TB136" s="38"/>
      <c r="TC136" s="38"/>
      <c r="TD136" s="38"/>
      <c r="TE136" s="38"/>
      <c r="TF136" s="38"/>
      <c r="TG136" s="38"/>
      <c r="TH136" s="38"/>
      <c r="TI136" s="38"/>
      <c r="TJ136" s="38"/>
      <c r="TK136" s="38"/>
      <c r="TL136" s="38"/>
      <c r="TM136" s="38"/>
      <c r="TN136" s="38"/>
      <c r="TO136" s="38"/>
      <c r="TP136" s="38"/>
      <c r="TQ136" s="38"/>
      <c r="TR136" s="38"/>
      <c r="TS136" s="38"/>
      <c r="TT136" s="38"/>
      <c r="TU136" s="38"/>
      <c r="TV136" s="38"/>
      <c r="TW136" s="38"/>
      <c r="TX136" s="38"/>
      <c r="TY136" s="38"/>
      <c r="TZ136" s="38"/>
      <c r="UA136" s="38"/>
      <c r="UB136" s="38"/>
      <c r="UC136" s="38"/>
      <c r="UD136" s="38"/>
      <c r="UE136" s="38"/>
      <c r="UF136" s="38"/>
      <c r="UG136" s="38"/>
      <c r="UH136" s="38"/>
      <c r="UI136" s="38"/>
      <c r="UJ136" s="38"/>
      <c r="UK136" s="38"/>
      <c r="UL136" s="38"/>
      <c r="UM136" s="38"/>
      <c r="UN136" s="38"/>
      <c r="UO136" s="38"/>
      <c r="UP136" s="38"/>
      <c r="UQ136" s="38"/>
      <c r="UR136" s="38"/>
      <c r="US136" s="38"/>
      <c r="UT136" s="38"/>
      <c r="UU136" s="38"/>
      <c r="UV136" s="38"/>
      <c r="UW136" s="38"/>
      <c r="UX136" s="38"/>
      <c r="UY136" s="38"/>
      <c r="UZ136" s="38"/>
      <c r="VA136" s="38"/>
      <c r="VB136" s="38"/>
      <c r="VC136" s="38"/>
      <c r="VD136" s="38"/>
      <c r="VE136" s="38"/>
      <c r="VF136" s="38"/>
      <c r="VG136" s="38"/>
      <c r="VH136" s="38"/>
      <c r="VI136" s="38"/>
      <c r="VJ136" s="38"/>
      <c r="VK136" s="38"/>
      <c r="VL136" s="38"/>
      <c r="VM136" s="38"/>
      <c r="VN136" s="38"/>
      <c r="VO136" s="38"/>
      <c r="VP136" s="38"/>
      <c r="VQ136" s="38"/>
      <c r="VR136" s="38"/>
      <c r="VS136" s="38"/>
      <c r="VT136" s="38"/>
      <c r="VU136" s="38"/>
      <c r="VV136" s="38"/>
      <c r="VW136" s="38"/>
      <c r="VX136" s="38"/>
      <c r="VY136" s="38"/>
      <c r="VZ136" s="38"/>
      <c r="WA136" s="38"/>
      <c r="WB136" s="38"/>
      <c r="WC136" s="38"/>
      <c r="WD136" s="38"/>
      <c r="WE136" s="38"/>
      <c r="WF136" s="38"/>
      <c r="WG136" s="38"/>
      <c r="WH136" s="38"/>
      <c r="WI136" s="38"/>
      <c r="WJ136" s="38"/>
      <c r="WK136" s="38"/>
      <c r="WL136" s="38"/>
      <c r="WM136" s="38"/>
      <c r="WN136" s="38"/>
      <c r="WO136" s="38"/>
      <c r="WP136" s="38"/>
      <c r="WQ136" s="38"/>
      <c r="WR136" s="38"/>
      <c r="WS136" s="38"/>
      <c r="WT136" s="38"/>
      <c r="WU136" s="38"/>
      <c r="WV136" s="38"/>
      <c r="WW136" s="38"/>
      <c r="WX136" s="38"/>
      <c r="WY136" s="38"/>
      <c r="WZ136" s="38"/>
      <c r="XA136" s="38"/>
      <c r="XB136" s="38"/>
      <c r="XC136" s="38"/>
      <c r="XD136" s="38"/>
      <c r="XE136" s="38"/>
      <c r="XF136" s="38"/>
      <c r="XG136" s="38"/>
      <c r="XH136" s="38"/>
      <c r="XI136" s="38"/>
      <c r="XJ136" s="38"/>
      <c r="XK136" s="38"/>
      <c r="XL136" s="38"/>
      <c r="XM136" s="38"/>
      <c r="XN136" s="38"/>
      <c r="XO136" s="38"/>
      <c r="XP136" s="38"/>
      <c r="XQ136" s="38"/>
      <c r="XR136" s="38"/>
      <c r="XS136" s="38"/>
      <c r="XT136" s="38"/>
      <c r="XU136" s="38"/>
      <c r="XV136" s="38"/>
      <c r="XW136" s="38"/>
      <c r="XX136" s="38"/>
      <c r="XY136" s="38"/>
      <c r="XZ136" s="38"/>
      <c r="YA136" s="38"/>
      <c r="YB136" s="38"/>
      <c r="YC136" s="38"/>
      <c r="YD136" s="38"/>
      <c r="YE136" s="38"/>
      <c r="YF136" s="38"/>
      <c r="YG136" s="38"/>
      <c r="YH136" s="38"/>
      <c r="YI136" s="38"/>
      <c r="YJ136" s="38"/>
      <c r="YK136" s="38"/>
      <c r="YL136" s="38"/>
      <c r="YM136" s="38"/>
      <c r="YN136" s="38"/>
      <c r="YO136" s="38"/>
      <c r="YP136" s="38"/>
      <c r="YQ136" s="38"/>
      <c r="YR136" s="38"/>
      <c r="YS136" s="38"/>
      <c r="YT136" s="38"/>
      <c r="YU136" s="38"/>
      <c r="YV136" s="38"/>
      <c r="YW136" s="38"/>
      <c r="YX136" s="38"/>
      <c r="YY136" s="38"/>
      <c r="YZ136" s="38"/>
      <c r="ZA136" s="38"/>
      <c r="ZB136" s="38"/>
      <c r="ZC136" s="38"/>
      <c r="ZD136" s="38"/>
      <c r="ZE136" s="38"/>
      <c r="ZF136" s="38"/>
      <c r="ZG136" s="38"/>
      <c r="ZH136" s="38"/>
      <c r="ZI136" s="38"/>
      <c r="ZJ136" s="38"/>
      <c r="ZK136" s="38"/>
      <c r="ZL136" s="38"/>
      <c r="ZM136" s="38"/>
      <c r="ZN136" s="38"/>
      <c r="ZO136" s="38"/>
      <c r="ZP136" s="38"/>
      <c r="ZQ136" s="38"/>
      <c r="ZR136" s="38"/>
      <c r="ZS136" s="38"/>
      <c r="ZT136" s="38"/>
      <c r="ZU136" s="38"/>
      <c r="ZV136" s="38"/>
      <c r="ZW136" s="38"/>
      <c r="ZX136" s="38"/>
      <c r="ZY136" s="38"/>
      <c r="ZZ136" s="38"/>
      <c r="AAA136" s="38"/>
      <c r="AAB136" s="38"/>
      <c r="AAC136" s="38"/>
      <c r="AAD136" s="38"/>
      <c r="AAE136" s="38"/>
      <c r="AAF136" s="38"/>
      <c r="AAG136" s="38"/>
      <c r="AAH136" s="38"/>
      <c r="AAI136" s="38"/>
      <c r="AAJ136" s="38"/>
      <c r="AAK136" s="38"/>
      <c r="AAL136" s="38"/>
      <c r="AAM136" s="38"/>
      <c r="AAN136" s="38"/>
      <c r="AAO136" s="38"/>
      <c r="AAP136" s="38"/>
      <c r="AAQ136" s="38"/>
      <c r="AAR136" s="38"/>
      <c r="AAS136" s="38"/>
      <c r="AAT136" s="38"/>
      <c r="AAU136" s="38"/>
      <c r="AAV136" s="38"/>
      <c r="AAW136" s="38"/>
      <c r="AAX136" s="38"/>
      <c r="AAY136" s="38"/>
      <c r="AAZ136" s="38"/>
      <c r="ABA136" s="38"/>
      <c r="ABB136" s="38"/>
      <c r="ABC136" s="38"/>
      <c r="ABD136" s="38"/>
      <c r="ABE136" s="38"/>
      <c r="ABF136" s="38"/>
      <c r="ABG136" s="38"/>
      <c r="ABH136" s="38"/>
      <c r="ABI136" s="38"/>
      <c r="ABJ136" s="38"/>
      <c r="ABK136" s="38"/>
      <c r="ABL136" s="38"/>
      <c r="ABM136" s="38"/>
      <c r="ABN136" s="38"/>
      <c r="ABO136" s="38"/>
      <c r="ABP136" s="38"/>
      <c r="ABQ136" s="38"/>
      <c r="ABR136" s="38"/>
      <c r="ABS136" s="38"/>
      <c r="ABT136" s="38"/>
      <c r="ABU136" s="38"/>
      <c r="ABV136" s="38"/>
      <c r="ABW136" s="38"/>
      <c r="ABX136" s="38"/>
      <c r="ABY136" s="38"/>
      <c r="ABZ136" s="38"/>
      <c r="ACA136" s="38"/>
      <c r="ACB136" s="38"/>
      <c r="ACC136" s="38"/>
      <c r="ACD136" s="38"/>
      <c r="ACE136" s="38"/>
      <c r="ACF136" s="38"/>
      <c r="ACG136" s="38"/>
      <c r="ACH136" s="38"/>
      <c r="ACI136" s="38"/>
      <c r="ACJ136" s="38"/>
      <c r="ACK136" s="38"/>
      <c r="ACL136" s="38"/>
      <c r="ACM136" s="38"/>
      <c r="ACN136" s="38"/>
      <c r="ACO136" s="38"/>
      <c r="ACP136" s="38"/>
      <c r="ACQ136" s="38"/>
      <c r="ACR136" s="38"/>
      <c r="ACS136" s="38"/>
      <c r="ACT136" s="38"/>
      <c r="ACU136" s="38"/>
      <c r="ACV136" s="38"/>
      <c r="ACW136" s="38"/>
      <c r="ACX136" s="38"/>
      <c r="ACY136" s="38"/>
      <c r="ACZ136" s="38"/>
      <c r="ADA136" s="38"/>
      <c r="ADB136" s="38"/>
      <c r="ADC136" s="38"/>
      <c r="ADD136" s="38"/>
      <c r="ADE136" s="38"/>
      <c r="ADF136" s="38"/>
      <c r="ADG136" s="38"/>
      <c r="ADH136" s="38"/>
      <c r="ADI136" s="38"/>
      <c r="ADJ136" s="38"/>
      <c r="ADK136" s="38"/>
      <c r="ADL136" s="38"/>
      <c r="ADM136" s="38"/>
      <c r="ADN136" s="38"/>
      <c r="ADO136" s="38"/>
      <c r="ADP136" s="38"/>
      <c r="ADQ136" s="38"/>
      <c r="ADR136" s="38"/>
      <c r="ADS136" s="38"/>
      <c r="ADT136" s="38"/>
      <c r="ADU136" s="38"/>
      <c r="ADV136" s="38"/>
      <c r="ADW136" s="38"/>
      <c r="ADX136" s="38"/>
      <c r="ADY136" s="38"/>
      <c r="ADZ136" s="38"/>
      <c r="AEA136" s="38"/>
      <c r="AEB136" s="38"/>
      <c r="AEC136" s="38"/>
      <c r="AED136" s="38"/>
      <c r="AEE136" s="38"/>
      <c r="AEF136" s="38"/>
      <c r="AEG136" s="38"/>
      <c r="AEH136" s="38"/>
      <c r="AEI136" s="38"/>
      <c r="AEJ136" s="38"/>
      <c r="AEK136" s="38"/>
      <c r="AEL136" s="38"/>
      <c r="AEM136" s="38"/>
      <c r="AEN136" s="38"/>
      <c r="AEO136" s="38"/>
      <c r="AEP136" s="38"/>
      <c r="AEQ136" s="38"/>
      <c r="AER136" s="38"/>
      <c r="AES136" s="38"/>
      <c r="AET136" s="38"/>
      <c r="AEU136" s="38"/>
      <c r="AEV136" s="38"/>
      <c r="AEW136" s="38"/>
      <c r="AEX136" s="38"/>
      <c r="AEY136" s="38"/>
      <c r="AEZ136" s="38"/>
      <c r="AFA136" s="38"/>
      <c r="AFB136" s="38"/>
      <c r="AFC136" s="38"/>
      <c r="AFD136" s="38"/>
      <c r="AFE136" s="38"/>
      <c r="AFF136" s="38"/>
      <c r="AFG136" s="38"/>
      <c r="AFH136" s="38"/>
      <c r="AFI136" s="38"/>
      <c r="AFJ136" s="38"/>
      <c r="AFK136" s="38"/>
      <c r="AFL136" s="38"/>
      <c r="AFM136" s="38"/>
      <c r="AFN136" s="38"/>
      <c r="AFO136" s="38"/>
      <c r="AFP136" s="38"/>
      <c r="AFQ136" s="38"/>
      <c r="AFR136" s="38"/>
      <c r="AFS136" s="38"/>
      <c r="AFT136" s="38"/>
      <c r="AFU136" s="38"/>
      <c r="AFV136" s="38"/>
      <c r="AFW136" s="38"/>
      <c r="AFX136" s="38"/>
      <c r="AFY136" s="38"/>
      <c r="AFZ136" s="38"/>
      <c r="AGA136" s="38"/>
      <c r="AGB136" s="38"/>
      <c r="AGC136" s="38"/>
      <c r="AGD136" s="38"/>
      <c r="AGE136" s="38"/>
      <c r="AGF136" s="38"/>
      <c r="AGG136" s="38"/>
      <c r="AGH136" s="38"/>
      <c r="AGI136" s="38"/>
      <c r="AGJ136" s="38"/>
      <c r="AGK136" s="38"/>
      <c r="AGL136" s="38"/>
      <c r="AGM136" s="38"/>
      <c r="AGN136" s="38"/>
      <c r="AGO136" s="38"/>
      <c r="AGP136" s="38"/>
      <c r="AGQ136" s="38"/>
      <c r="AGR136" s="38"/>
      <c r="AGS136" s="38"/>
      <c r="AGT136" s="38"/>
      <c r="AGU136" s="38"/>
      <c r="AGV136" s="38"/>
      <c r="AGW136" s="38"/>
      <c r="AGX136" s="38"/>
      <c r="AGY136" s="38"/>
      <c r="AGZ136" s="38"/>
      <c r="AHA136" s="38"/>
      <c r="AHB136" s="38"/>
      <c r="AHC136" s="38"/>
      <c r="AHD136" s="38"/>
      <c r="AHE136" s="38"/>
      <c r="AHF136" s="38"/>
      <c r="AHG136" s="38"/>
      <c r="AHH136" s="38"/>
      <c r="AHI136" s="38"/>
      <c r="AHJ136" s="38"/>
      <c r="AHK136" s="38"/>
      <c r="AHL136" s="38"/>
      <c r="AHM136" s="38"/>
      <c r="AHN136" s="38"/>
      <c r="AHO136" s="38"/>
      <c r="AHP136" s="38"/>
      <c r="AHQ136" s="38"/>
      <c r="AHR136" s="38"/>
      <c r="AHS136" s="38"/>
      <c r="AHT136" s="38"/>
      <c r="AHU136" s="38"/>
      <c r="AHV136" s="38"/>
    </row>
    <row r="137" spans="1:906" s="27" customFormat="1" x14ac:dyDescent="0.35">
      <c r="A137" s="84">
        <v>132</v>
      </c>
      <c r="B137" s="108" t="s">
        <v>224</v>
      </c>
      <c r="C137" s="109" t="s">
        <v>182</v>
      </c>
      <c r="D137" s="109" t="s">
        <v>225</v>
      </c>
      <c r="E137" s="125"/>
      <c r="F137" s="125">
        <v>15</v>
      </c>
      <c r="G137" s="125"/>
      <c r="H137" s="125"/>
      <c r="I137" s="37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  <c r="BO137" s="38"/>
      <c r="BP137" s="38"/>
      <c r="BQ137" s="38"/>
      <c r="BR137" s="38"/>
      <c r="BS137" s="38"/>
      <c r="BT137" s="38"/>
      <c r="BU137" s="38"/>
      <c r="BV137" s="38"/>
      <c r="BW137" s="38"/>
      <c r="BX137" s="38"/>
      <c r="BY137" s="38"/>
      <c r="BZ137" s="38"/>
      <c r="CA137" s="38"/>
      <c r="CB137" s="38"/>
      <c r="CC137" s="38"/>
      <c r="CD137" s="38"/>
      <c r="CE137" s="38"/>
      <c r="CF137" s="38"/>
      <c r="CG137" s="38"/>
      <c r="CH137" s="38"/>
      <c r="CI137" s="38"/>
      <c r="CJ137" s="38"/>
      <c r="CK137" s="38"/>
      <c r="CL137" s="38"/>
      <c r="CM137" s="38"/>
      <c r="CN137" s="38"/>
      <c r="CO137" s="38"/>
      <c r="CP137" s="38"/>
      <c r="CQ137" s="38"/>
      <c r="CR137" s="38"/>
      <c r="CS137" s="38"/>
      <c r="CT137" s="38"/>
      <c r="CU137" s="38"/>
      <c r="CV137" s="38"/>
      <c r="CW137" s="38"/>
      <c r="CX137" s="38"/>
      <c r="CY137" s="38"/>
      <c r="CZ137" s="38"/>
      <c r="DA137" s="38"/>
      <c r="DB137" s="38"/>
      <c r="DC137" s="38"/>
      <c r="DD137" s="38"/>
      <c r="DE137" s="38"/>
      <c r="DF137" s="38"/>
      <c r="DG137" s="38"/>
      <c r="DH137" s="38"/>
      <c r="DI137" s="38"/>
      <c r="DJ137" s="38"/>
      <c r="DK137" s="38"/>
      <c r="DL137" s="38"/>
      <c r="DM137" s="38"/>
      <c r="DN137" s="38"/>
      <c r="DO137" s="38"/>
      <c r="DP137" s="38"/>
      <c r="DQ137" s="38"/>
      <c r="DR137" s="38"/>
      <c r="DS137" s="38"/>
      <c r="DT137" s="38"/>
      <c r="DU137" s="38"/>
      <c r="DV137" s="38"/>
      <c r="DW137" s="38"/>
      <c r="DX137" s="38"/>
      <c r="DY137" s="38"/>
      <c r="DZ137" s="38"/>
      <c r="EA137" s="38"/>
      <c r="EB137" s="38"/>
      <c r="EC137" s="38"/>
      <c r="ED137" s="38"/>
      <c r="EE137" s="38"/>
      <c r="EF137" s="38"/>
      <c r="EG137" s="38"/>
      <c r="EH137" s="38"/>
      <c r="EI137" s="38"/>
      <c r="EJ137" s="38"/>
      <c r="EK137" s="38"/>
      <c r="EL137" s="38"/>
      <c r="EM137" s="38"/>
      <c r="EN137" s="38"/>
      <c r="EO137" s="38"/>
      <c r="EP137" s="38"/>
      <c r="EQ137" s="38"/>
      <c r="ER137" s="38"/>
      <c r="ES137" s="38"/>
      <c r="ET137" s="38"/>
      <c r="EU137" s="38"/>
      <c r="EV137" s="38"/>
      <c r="EW137" s="38"/>
      <c r="EX137" s="38"/>
      <c r="EY137" s="38"/>
      <c r="EZ137" s="38"/>
      <c r="FA137" s="38"/>
      <c r="FB137" s="38"/>
      <c r="FC137" s="38"/>
      <c r="FD137" s="38"/>
      <c r="FE137" s="38"/>
      <c r="FF137" s="38"/>
      <c r="FG137" s="38"/>
      <c r="FH137" s="38"/>
      <c r="FI137" s="38"/>
      <c r="FJ137" s="38"/>
      <c r="FK137" s="38"/>
      <c r="FL137" s="38"/>
      <c r="FM137" s="38"/>
      <c r="FN137" s="38"/>
      <c r="FO137" s="38"/>
      <c r="FP137" s="38"/>
      <c r="FQ137" s="38"/>
      <c r="FR137" s="38"/>
      <c r="FS137" s="38"/>
      <c r="FT137" s="38"/>
      <c r="FU137" s="38"/>
      <c r="FV137" s="38"/>
      <c r="FW137" s="38"/>
      <c r="FX137" s="38"/>
      <c r="FY137" s="38"/>
      <c r="FZ137" s="38"/>
      <c r="GA137" s="38"/>
      <c r="GB137" s="38"/>
      <c r="GC137" s="38"/>
      <c r="GD137" s="38"/>
      <c r="GE137" s="38"/>
      <c r="GF137" s="38"/>
      <c r="GG137" s="38"/>
      <c r="GH137" s="38"/>
      <c r="GI137" s="38"/>
      <c r="GJ137" s="38"/>
      <c r="GK137" s="38"/>
      <c r="GL137" s="38"/>
      <c r="GM137" s="38"/>
      <c r="GN137" s="38"/>
      <c r="GO137" s="38"/>
      <c r="GP137" s="38"/>
      <c r="GQ137" s="38"/>
      <c r="GR137" s="38"/>
      <c r="GS137" s="38"/>
      <c r="GT137" s="38"/>
      <c r="GU137" s="38"/>
      <c r="GV137" s="38"/>
      <c r="GW137" s="38"/>
      <c r="GX137" s="38"/>
      <c r="GY137" s="38"/>
      <c r="GZ137" s="38"/>
      <c r="HA137" s="38"/>
      <c r="HB137" s="38"/>
      <c r="HC137" s="38"/>
      <c r="HD137" s="38"/>
      <c r="HE137" s="38"/>
      <c r="HF137" s="38"/>
      <c r="HG137" s="38"/>
      <c r="HH137" s="38"/>
      <c r="HI137" s="38"/>
      <c r="HJ137" s="38"/>
      <c r="HK137" s="38"/>
      <c r="HL137" s="38"/>
      <c r="HM137" s="38"/>
      <c r="HN137" s="38"/>
      <c r="HO137" s="38"/>
      <c r="HP137" s="38"/>
      <c r="HQ137" s="38"/>
      <c r="HR137" s="38"/>
      <c r="HS137" s="38"/>
      <c r="HT137" s="38"/>
      <c r="HU137" s="38"/>
      <c r="HV137" s="38"/>
      <c r="HW137" s="38"/>
      <c r="HX137" s="38"/>
      <c r="HY137" s="38"/>
      <c r="HZ137" s="38"/>
      <c r="IA137" s="38"/>
      <c r="IB137" s="38"/>
      <c r="IC137" s="38"/>
      <c r="ID137" s="38"/>
      <c r="IE137" s="38"/>
      <c r="IF137" s="38"/>
      <c r="IG137" s="38"/>
      <c r="IH137" s="38"/>
      <c r="II137" s="38"/>
      <c r="IJ137" s="38"/>
      <c r="IK137" s="38"/>
      <c r="IL137" s="38"/>
      <c r="IM137" s="38"/>
      <c r="IN137" s="38"/>
      <c r="IO137" s="38"/>
      <c r="IP137" s="38"/>
      <c r="IQ137" s="38"/>
      <c r="IR137" s="38"/>
      <c r="IS137" s="38"/>
      <c r="IT137" s="38"/>
      <c r="IU137" s="38"/>
      <c r="IV137" s="38"/>
      <c r="IW137" s="38"/>
      <c r="IX137" s="38"/>
      <c r="IY137" s="38"/>
      <c r="IZ137" s="38"/>
      <c r="JA137" s="38"/>
      <c r="JB137" s="38"/>
      <c r="JC137" s="38"/>
      <c r="JD137" s="38"/>
      <c r="JE137" s="38"/>
      <c r="JF137" s="38"/>
      <c r="JG137" s="38"/>
      <c r="JH137" s="38"/>
      <c r="JI137" s="38"/>
      <c r="JJ137" s="38"/>
      <c r="JK137" s="38"/>
      <c r="JL137" s="38"/>
      <c r="JM137" s="38"/>
      <c r="JN137" s="38"/>
      <c r="JO137" s="38"/>
      <c r="JP137" s="38"/>
      <c r="JQ137" s="38"/>
      <c r="JR137" s="38"/>
      <c r="JS137" s="38"/>
      <c r="JT137" s="38"/>
      <c r="JU137" s="38"/>
      <c r="JV137" s="38"/>
      <c r="JW137" s="38"/>
      <c r="JX137" s="38"/>
      <c r="JY137" s="38"/>
      <c r="JZ137" s="38"/>
      <c r="KA137" s="38"/>
      <c r="KB137" s="38"/>
      <c r="KC137" s="38"/>
      <c r="KD137" s="38"/>
      <c r="KE137" s="38"/>
      <c r="KF137" s="38"/>
      <c r="KG137" s="38"/>
      <c r="KH137" s="38"/>
      <c r="KI137" s="38"/>
      <c r="KJ137" s="38"/>
      <c r="KK137" s="38"/>
      <c r="KL137" s="38"/>
      <c r="KM137" s="38"/>
      <c r="KN137" s="38"/>
      <c r="KO137" s="38"/>
      <c r="KP137" s="38"/>
      <c r="KQ137" s="38"/>
      <c r="KR137" s="38"/>
      <c r="KS137" s="38"/>
      <c r="KT137" s="38"/>
      <c r="KU137" s="38"/>
      <c r="KV137" s="38"/>
      <c r="KW137" s="38"/>
      <c r="KX137" s="38"/>
      <c r="KY137" s="38"/>
      <c r="KZ137" s="38"/>
      <c r="LA137" s="38"/>
      <c r="LB137" s="38"/>
      <c r="LC137" s="38"/>
      <c r="LD137" s="38"/>
      <c r="LE137" s="38"/>
      <c r="LF137" s="38"/>
      <c r="LG137" s="38"/>
      <c r="LH137" s="38"/>
      <c r="LI137" s="38"/>
      <c r="LJ137" s="38"/>
      <c r="LK137" s="38"/>
      <c r="LL137" s="38"/>
      <c r="LM137" s="38"/>
      <c r="LN137" s="38"/>
      <c r="LO137" s="38"/>
      <c r="LP137" s="38"/>
      <c r="LQ137" s="38"/>
      <c r="LR137" s="38"/>
      <c r="LS137" s="38"/>
      <c r="LT137" s="38"/>
      <c r="LU137" s="38"/>
      <c r="LV137" s="38"/>
      <c r="LW137" s="38"/>
      <c r="LX137" s="38"/>
      <c r="LY137" s="38"/>
      <c r="LZ137" s="38"/>
      <c r="MA137" s="38"/>
      <c r="MB137" s="38"/>
      <c r="MC137" s="38"/>
      <c r="MD137" s="38"/>
      <c r="ME137" s="38"/>
      <c r="MF137" s="38"/>
      <c r="MG137" s="38"/>
      <c r="MH137" s="38"/>
      <c r="MI137" s="38"/>
      <c r="MJ137" s="38"/>
      <c r="MK137" s="38"/>
      <c r="ML137" s="38"/>
      <c r="MM137" s="38"/>
      <c r="MN137" s="38"/>
      <c r="MO137" s="38"/>
      <c r="MP137" s="38"/>
      <c r="MQ137" s="38"/>
      <c r="MR137" s="38"/>
      <c r="MS137" s="38"/>
      <c r="MT137" s="38"/>
      <c r="MU137" s="38"/>
      <c r="MV137" s="38"/>
      <c r="MW137" s="38"/>
      <c r="MX137" s="38"/>
      <c r="MY137" s="38"/>
      <c r="MZ137" s="38"/>
      <c r="NA137" s="38"/>
      <c r="NB137" s="38"/>
      <c r="NC137" s="38"/>
      <c r="ND137" s="38"/>
      <c r="NE137" s="38"/>
      <c r="NF137" s="38"/>
      <c r="NG137" s="38"/>
      <c r="NH137" s="38"/>
      <c r="NI137" s="38"/>
      <c r="NJ137" s="38"/>
      <c r="NK137" s="38"/>
      <c r="NL137" s="38"/>
      <c r="NM137" s="38"/>
      <c r="NN137" s="38"/>
      <c r="NO137" s="38"/>
      <c r="NP137" s="38"/>
      <c r="NQ137" s="38"/>
      <c r="NR137" s="38"/>
      <c r="NS137" s="38"/>
      <c r="NT137" s="38"/>
      <c r="NU137" s="38"/>
      <c r="NV137" s="38"/>
      <c r="NW137" s="38"/>
      <c r="NX137" s="38"/>
      <c r="NY137" s="38"/>
      <c r="NZ137" s="38"/>
      <c r="OA137" s="38"/>
      <c r="OB137" s="38"/>
      <c r="OC137" s="38"/>
      <c r="OD137" s="38"/>
      <c r="OE137" s="38"/>
      <c r="OF137" s="38"/>
      <c r="OG137" s="38"/>
      <c r="OH137" s="38"/>
      <c r="OI137" s="38"/>
      <c r="OJ137" s="38"/>
      <c r="OK137" s="38"/>
      <c r="OL137" s="38"/>
      <c r="OM137" s="38"/>
      <c r="ON137" s="38"/>
      <c r="OO137" s="38"/>
      <c r="OP137" s="38"/>
      <c r="OQ137" s="38"/>
      <c r="OR137" s="38"/>
      <c r="OS137" s="38"/>
      <c r="OT137" s="38"/>
      <c r="OU137" s="38"/>
      <c r="OV137" s="38"/>
      <c r="OW137" s="38"/>
      <c r="OX137" s="38"/>
      <c r="OY137" s="38"/>
      <c r="OZ137" s="38"/>
      <c r="PA137" s="38"/>
      <c r="PB137" s="38"/>
      <c r="PC137" s="38"/>
      <c r="PD137" s="38"/>
      <c r="PE137" s="38"/>
      <c r="PF137" s="38"/>
      <c r="PG137" s="38"/>
      <c r="PH137" s="38"/>
      <c r="PI137" s="38"/>
      <c r="PJ137" s="38"/>
      <c r="PK137" s="38"/>
      <c r="PL137" s="38"/>
      <c r="PM137" s="38"/>
      <c r="PN137" s="38"/>
      <c r="PO137" s="38"/>
      <c r="PP137" s="38"/>
      <c r="PQ137" s="38"/>
      <c r="PR137" s="38"/>
      <c r="PS137" s="38"/>
      <c r="PT137" s="38"/>
      <c r="PU137" s="38"/>
      <c r="PV137" s="38"/>
      <c r="PW137" s="38"/>
      <c r="PX137" s="38"/>
      <c r="PY137" s="38"/>
      <c r="PZ137" s="38"/>
      <c r="QA137" s="38"/>
      <c r="QB137" s="38"/>
      <c r="QC137" s="38"/>
      <c r="QD137" s="38"/>
      <c r="QE137" s="38"/>
      <c r="QF137" s="38"/>
      <c r="QG137" s="38"/>
      <c r="QH137" s="38"/>
      <c r="QI137" s="38"/>
      <c r="QJ137" s="38"/>
      <c r="QK137" s="38"/>
      <c r="QL137" s="38"/>
      <c r="QM137" s="38"/>
      <c r="QN137" s="38"/>
      <c r="QO137" s="38"/>
      <c r="QP137" s="38"/>
      <c r="QQ137" s="38"/>
      <c r="QR137" s="38"/>
      <c r="QS137" s="38"/>
      <c r="QT137" s="38"/>
      <c r="QU137" s="38"/>
      <c r="QV137" s="38"/>
      <c r="QW137" s="38"/>
      <c r="QX137" s="38"/>
      <c r="QY137" s="38"/>
      <c r="QZ137" s="38"/>
      <c r="RA137" s="38"/>
      <c r="RB137" s="38"/>
      <c r="RC137" s="38"/>
      <c r="RD137" s="38"/>
      <c r="RE137" s="38"/>
      <c r="RF137" s="38"/>
      <c r="RG137" s="38"/>
      <c r="RH137" s="38"/>
      <c r="RI137" s="38"/>
      <c r="RJ137" s="38"/>
      <c r="RK137" s="38"/>
      <c r="RL137" s="38"/>
      <c r="RM137" s="38"/>
      <c r="RN137" s="38"/>
      <c r="RO137" s="38"/>
      <c r="RP137" s="38"/>
      <c r="RQ137" s="38"/>
      <c r="RR137" s="38"/>
      <c r="RS137" s="38"/>
      <c r="RT137" s="38"/>
      <c r="RU137" s="38"/>
      <c r="RV137" s="38"/>
      <c r="RW137" s="38"/>
      <c r="RX137" s="38"/>
      <c r="RY137" s="38"/>
      <c r="RZ137" s="38"/>
      <c r="SA137" s="38"/>
      <c r="SB137" s="38"/>
      <c r="SC137" s="38"/>
      <c r="SD137" s="38"/>
      <c r="SE137" s="38"/>
      <c r="SF137" s="38"/>
      <c r="SG137" s="38"/>
      <c r="SH137" s="38"/>
      <c r="SI137" s="38"/>
      <c r="SJ137" s="38"/>
      <c r="SK137" s="38"/>
      <c r="SL137" s="38"/>
      <c r="SM137" s="38"/>
      <c r="SN137" s="38"/>
      <c r="SO137" s="38"/>
      <c r="SP137" s="38"/>
      <c r="SQ137" s="38"/>
      <c r="SR137" s="38"/>
      <c r="SS137" s="38"/>
      <c r="ST137" s="38"/>
      <c r="SU137" s="38"/>
      <c r="SV137" s="38"/>
      <c r="SW137" s="38"/>
      <c r="SX137" s="38"/>
      <c r="SY137" s="38"/>
      <c r="SZ137" s="38"/>
      <c r="TA137" s="38"/>
      <c r="TB137" s="38"/>
      <c r="TC137" s="38"/>
      <c r="TD137" s="38"/>
      <c r="TE137" s="38"/>
      <c r="TF137" s="38"/>
      <c r="TG137" s="38"/>
      <c r="TH137" s="38"/>
      <c r="TI137" s="38"/>
      <c r="TJ137" s="38"/>
      <c r="TK137" s="38"/>
      <c r="TL137" s="38"/>
      <c r="TM137" s="38"/>
      <c r="TN137" s="38"/>
      <c r="TO137" s="38"/>
      <c r="TP137" s="38"/>
      <c r="TQ137" s="38"/>
      <c r="TR137" s="38"/>
      <c r="TS137" s="38"/>
      <c r="TT137" s="38"/>
      <c r="TU137" s="38"/>
      <c r="TV137" s="38"/>
      <c r="TW137" s="38"/>
      <c r="TX137" s="38"/>
      <c r="TY137" s="38"/>
      <c r="TZ137" s="38"/>
      <c r="UA137" s="38"/>
      <c r="UB137" s="38"/>
      <c r="UC137" s="38"/>
      <c r="UD137" s="38"/>
      <c r="UE137" s="38"/>
      <c r="UF137" s="38"/>
      <c r="UG137" s="38"/>
      <c r="UH137" s="38"/>
      <c r="UI137" s="38"/>
      <c r="UJ137" s="38"/>
      <c r="UK137" s="38"/>
      <c r="UL137" s="38"/>
      <c r="UM137" s="38"/>
      <c r="UN137" s="38"/>
      <c r="UO137" s="38"/>
      <c r="UP137" s="38"/>
      <c r="UQ137" s="38"/>
      <c r="UR137" s="38"/>
      <c r="US137" s="38"/>
      <c r="UT137" s="38"/>
      <c r="UU137" s="38"/>
      <c r="UV137" s="38"/>
      <c r="UW137" s="38"/>
      <c r="UX137" s="38"/>
      <c r="UY137" s="38"/>
      <c r="UZ137" s="38"/>
      <c r="VA137" s="38"/>
      <c r="VB137" s="38"/>
      <c r="VC137" s="38"/>
      <c r="VD137" s="38"/>
      <c r="VE137" s="38"/>
      <c r="VF137" s="38"/>
      <c r="VG137" s="38"/>
      <c r="VH137" s="38"/>
      <c r="VI137" s="38"/>
      <c r="VJ137" s="38"/>
      <c r="VK137" s="38"/>
      <c r="VL137" s="38"/>
      <c r="VM137" s="38"/>
      <c r="VN137" s="38"/>
      <c r="VO137" s="38"/>
      <c r="VP137" s="38"/>
      <c r="VQ137" s="38"/>
      <c r="VR137" s="38"/>
      <c r="VS137" s="38"/>
      <c r="VT137" s="38"/>
      <c r="VU137" s="38"/>
      <c r="VV137" s="38"/>
      <c r="VW137" s="38"/>
      <c r="VX137" s="38"/>
      <c r="VY137" s="38"/>
      <c r="VZ137" s="38"/>
      <c r="WA137" s="38"/>
      <c r="WB137" s="38"/>
      <c r="WC137" s="38"/>
      <c r="WD137" s="38"/>
      <c r="WE137" s="38"/>
      <c r="WF137" s="38"/>
      <c r="WG137" s="38"/>
      <c r="WH137" s="38"/>
      <c r="WI137" s="38"/>
      <c r="WJ137" s="38"/>
      <c r="WK137" s="38"/>
      <c r="WL137" s="38"/>
      <c r="WM137" s="38"/>
      <c r="WN137" s="38"/>
      <c r="WO137" s="38"/>
      <c r="WP137" s="38"/>
      <c r="WQ137" s="38"/>
      <c r="WR137" s="38"/>
      <c r="WS137" s="38"/>
      <c r="WT137" s="38"/>
      <c r="WU137" s="38"/>
      <c r="WV137" s="38"/>
      <c r="WW137" s="38"/>
      <c r="WX137" s="38"/>
      <c r="WY137" s="38"/>
      <c r="WZ137" s="38"/>
      <c r="XA137" s="38"/>
      <c r="XB137" s="38"/>
      <c r="XC137" s="38"/>
      <c r="XD137" s="38"/>
      <c r="XE137" s="38"/>
      <c r="XF137" s="38"/>
      <c r="XG137" s="38"/>
      <c r="XH137" s="38"/>
      <c r="XI137" s="38"/>
      <c r="XJ137" s="38"/>
      <c r="XK137" s="38"/>
      <c r="XL137" s="38"/>
      <c r="XM137" s="38"/>
      <c r="XN137" s="38"/>
      <c r="XO137" s="38"/>
      <c r="XP137" s="38"/>
      <c r="XQ137" s="38"/>
      <c r="XR137" s="38"/>
      <c r="XS137" s="38"/>
      <c r="XT137" s="38"/>
      <c r="XU137" s="38"/>
      <c r="XV137" s="38"/>
      <c r="XW137" s="38"/>
      <c r="XX137" s="38"/>
      <c r="XY137" s="38"/>
      <c r="XZ137" s="38"/>
      <c r="YA137" s="38"/>
      <c r="YB137" s="38"/>
      <c r="YC137" s="38"/>
      <c r="YD137" s="38"/>
      <c r="YE137" s="38"/>
      <c r="YF137" s="38"/>
      <c r="YG137" s="38"/>
      <c r="YH137" s="38"/>
      <c r="YI137" s="38"/>
      <c r="YJ137" s="38"/>
      <c r="YK137" s="38"/>
      <c r="YL137" s="38"/>
      <c r="YM137" s="38"/>
      <c r="YN137" s="38"/>
      <c r="YO137" s="38"/>
      <c r="YP137" s="38"/>
      <c r="YQ137" s="38"/>
      <c r="YR137" s="38"/>
      <c r="YS137" s="38"/>
      <c r="YT137" s="38"/>
      <c r="YU137" s="38"/>
      <c r="YV137" s="38"/>
      <c r="YW137" s="38"/>
      <c r="YX137" s="38"/>
      <c r="YY137" s="38"/>
      <c r="YZ137" s="38"/>
      <c r="ZA137" s="38"/>
      <c r="ZB137" s="38"/>
      <c r="ZC137" s="38"/>
      <c r="ZD137" s="38"/>
      <c r="ZE137" s="38"/>
      <c r="ZF137" s="38"/>
      <c r="ZG137" s="38"/>
      <c r="ZH137" s="38"/>
      <c r="ZI137" s="38"/>
      <c r="ZJ137" s="38"/>
      <c r="ZK137" s="38"/>
      <c r="ZL137" s="38"/>
      <c r="ZM137" s="38"/>
      <c r="ZN137" s="38"/>
      <c r="ZO137" s="38"/>
      <c r="ZP137" s="38"/>
      <c r="ZQ137" s="38"/>
      <c r="ZR137" s="38"/>
      <c r="ZS137" s="38"/>
      <c r="ZT137" s="38"/>
      <c r="ZU137" s="38"/>
      <c r="ZV137" s="38"/>
      <c r="ZW137" s="38"/>
      <c r="ZX137" s="38"/>
      <c r="ZY137" s="38"/>
      <c r="ZZ137" s="38"/>
      <c r="AAA137" s="38"/>
      <c r="AAB137" s="38"/>
      <c r="AAC137" s="38"/>
      <c r="AAD137" s="38"/>
      <c r="AAE137" s="38"/>
      <c r="AAF137" s="38"/>
      <c r="AAG137" s="38"/>
      <c r="AAH137" s="38"/>
      <c r="AAI137" s="38"/>
      <c r="AAJ137" s="38"/>
      <c r="AAK137" s="38"/>
      <c r="AAL137" s="38"/>
      <c r="AAM137" s="38"/>
      <c r="AAN137" s="38"/>
      <c r="AAO137" s="38"/>
      <c r="AAP137" s="38"/>
      <c r="AAQ137" s="38"/>
      <c r="AAR137" s="38"/>
      <c r="AAS137" s="38"/>
      <c r="AAT137" s="38"/>
      <c r="AAU137" s="38"/>
      <c r="AAV137" s="38"/>
      <c r="AAW137" s="38"/>
      <c r="AAX137" s="38"/>
      <c r="AAY137" s="38"/>
      <c r="AAZ137" s="38"/>
      <c r="ABA137" s="38"/>
      <c r="ABB137" s="38"/>
      <c r="ABC137" s="38"/>
      <c r="ABD137" s="38"/>
      <c r="ABE137" s="38"/>
      <c r="ABF137" s="38"/>
      <c r="ABG137" s="38"/>
      <c r="ABH137" s="38"/>
      <c r="ABI137" s="38"/>
      <c r="ABJ137" s="38"/>
      <c r="ABK137" s="38"/>
      <c r="ABL137" s="38"/>
      <c r="ABM137" s="38"/>
      <c r="ABN137" s="38"/>
      <c r="ABO137" s="38"/>
      <c r="ABP137" s="38"/>
      <c r="ABQ137" s="38"/>
      <c r="ABR137" s="38"/>
      <c r="ABS137" s="38"/>
      <c r="ABT137" s="38"/>
      <c r="ABU137" s="38"/>
      <c r="ABV137" s="38"/>
      <c r="ABW137" s="38"/>
      <c r="ABX137" s="38"/>
      <c r="ABY137" s="38"/>
      <c r="ABZ137" s="38"/>
      <c r="ACA137" s="38"/>
      <c r="ACB137" s="38"/>
      <c r="ACC137" s="38"/>
      <c r="ACD137" s="38"/>
      <c r="ACE137" s="38"/>
      <c r="ACF137" s="38"/>
      <c r="ACG137" s="38"/>
      <c r="ACH137" s="38"/>
      <c r="ACI137" s="38"/>
      <c r="ACJ137" s="38"/>
      <c r="ACK137" s="38"/>
      <c r="ACL137" s="38"/>
      <c r="ACM137" s="38"/>
      <c r="ACN137" s="38"/>
      <c r="ACO137" s="38"/>
      <c r="ACP137" s="38"/>
      <c r="ACQ137" s="38"/>
      <c r="ACR137" s="38"/>
      <c r="ACS137" s="38"/>
      <c r="ACT137" s="38"/>
      <c r="ACU137" s="38"/>
      <c r="ACV137" s="38"/>
      <c r="ACW137" s="38"/>
      <c r="ACX137" s="38"/>
      <c r="ACY137" s="38"/>
      <c r="ACZ137" s="38"/>
      <c r="ADA137" s="38"/>
      <c r="ADB137" s="38"/>
      <c r="ADC137" s="38"/>
      <c r="ADD137" s="38"/>
      <c r="ADE137" s="38"/>
      <c r="ADF137" s="38"/>
      <c r="ADG137" s="38"/>
      <c r="ADH137" s="38"/>
      <c r="ADI137" s="38"/>
      <c r="ADJ137" s="38"/>
      <c r="ADK137" s="38"/>
      <c r="ADL137" s="38"/>
      <c r="ADM137" s="38"/>
      <c r="ADN137" s="38"/>
      <c r="ADO137" s="38"/>
      <c r="ADP137" s="38"/>
      <c r="ADQ137" s="38"/>
      <c r="ADR137" s="38"/>
      <c r="ADS137" s="38"/>
      <c r="ADT137" s="38"/>
      <c r="ADU137" s="38"/>
      <c r="ADV137" s="38"/>
      <c r="ADW137" s="38"/>
      <c r="ADX137" s="38"/>
      <c r="ADY137" s="38"/>
      <c r="ADZ137" s="38"/>
      <c r="AEA137" s="38"/>
      <c r="AEB137" s="38"/>
      <c r="AEC137" s="38"/>
      <c r="AED137" s="38"/>
      <c r="AEE137" s="38"/>
      <c r="AEF137" s="38"/>
      <c r="AEG137" s="38"/>
      <c r="AEH137" s="38"/>
      <c r="AEI137" s="38"/>
      <c r="AEJ137" s="38"/>
      <c r="AEK137" s="38"/>
      <c r="AEL137" s="38"/>
      <c r="AEM137" s="38"/>
      <c r="AEN137" s="38"/>
      <c r="AEO137" s="38"/>
      <c r="AEP137" s="38"/>
      <c r="AEQ137" s="38"/>
      <c r="AER137" s="38"/>
      <c r="AES137" s="38"/>
      <c r="AET137" s="38"/>
      <c r="AEU137" s="38"/>
      <c r="AEV137" s="38"/>
      <c r="AEW137" s="38"/>
      <c r="AEX137" s="38"/>
      <c r="AEY137" s="38"/>
      <c r="AEZ137" s="38"/>
      <c r="AFA137" s="38"/>
      <c r="AFB137" s="38"/>
      <c r="AFC137" s="38"/>
      <c r="AFD137" s="38"/>
      <c r="AFE137" s="38"/>
      <c r="AFF137" s="38"/>
      <c r="AFG137" s="38"/>
      <c r="AFH137" s="38"/>
      <c r="AFI137" s="38"/>
      <c r="AFJ137" s="38"/>
      <c r="AFK137" s="38"/>
      <c r="AFL137" s="38"/>
      <c r="AFM137" s="38"/>
      <c r="AFN137" s="38"/>
      <c r="AFO137" s="38"/>
      <c r="AFP137" s="38"/>
      <c r="AFQ137" s="38"/>
      <c r="AFR137" s="38"/>
      <c r="AFS137" s="38"/>
      <c r="AFT137" s="38"/>
      <c r="AFU137" s="38"/>
      <c r="AFV137" s="38"/>
      <c r="AFW137" s="38"/>
      <c r="AFX137" s="38"/>
      <c r="AFY137" s="38"/>
      <c r="AFZ137" s="38"/>
      <c r="AGA137" s="38"/>
      <c r="AGB137" s="38"/>
      <c r="AGC137" s="38"/>
      <c r="AGD137" s="38"/>
      <c r="AGE137" s="38"/>
      <c r="AGF137" s="38"/>
      <c r="AGG137" s="38"/>
      <c r="AGH137" s="38"/>
      <c r="AGI137" s="38"/>
      <c r="AGJ137" s="38"/>
      <c r="AGK137" s="38"/>
      <c r="AGL137" s="38"/>
      <c r="AGM137" s="38"/>
      <c r="AGN137" s="38"/>
      <c r="AGO137" s="38"/>
      <c r="AGP137" s="38"/>
      <c r="AGQ137" s="38"/>
      <c r="AGR137" s="38"/>
      <c r="AGS137" s="38"/>
      <c r="AGT137" s="38"/>
      <c r="AGU137" s="38"/>
      <c r="AGV137" s="38"/>
      <c r="AGW137" s="38"/>
      <c r="AGX137" s="38"/>
      <c r="AGY137" s="38"/>
      <c r="AGZ137" s="38"/>
      <c r="AHA137" s="38"/>
      <c r="AHB137" s="38"/>
      <c r="AHC137" s="38"/>
      <c r="AHD137" s="38"/>
      <c r="AHE137" s="38"/>
      <c r="AHF137" s="38"/>
      <c r="AHG137" s="38"/>
      <c r="AHH137" s="38"/>
      <c r="AHI137" s="38"/>
      <c r="AHJ137" s="38"/>
      <c r="AHK137" s="38"/>
      <c r="AHL137" s="38"/>
      <c r="AHM137" s="38"/>
      <c r="AHN137" s="38"/>
      <c r="AHO137" s="38"/>
      <c r="AHP137" s="38"/>
      <c r="AHQ137" s="38"/>
      <c r="AHR137" s="38"/>
      <c r="AHS137" s="38"/>
      <c r="AHT137" s="38"/>
      <c r="AHU137" s="38"/>
      <c r="AHV137" s="38"/>
    </row>
    <row r="138" spans="1:906" s="27" customFormat="1" x14ac:dyDescent="0.35">
      <c r="A138" s="84">
        <v>133</v>
      </c>
      <c r="B138" s="108" t="s">
        <v>226</v>
      </c>
      <c r="C138" s="109"/>
      <c r="D138" s="109" t="s">
        <v>15</v>
      </c>
      <c r="E138" s="125">
        <v>24.11</v>
      </c>
      <c r="F138" s="125">
        <v>22.95</v>
      </c>
      <c r="G138" s="125"/>
      <c r="H138" s="125"/>
      <c r="I138" s="37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  <c r="BN138" s="38"/>
      <c r="BO138" s="38"/>
      <c r="BP138" s="38"/>
      <c r="BQ138" s="38"/>
      <c r="BR138" s="38"/>
      <c r="BS138" s="38"/>
      <c r="BT138" s="38"/>
      <c r="BU138" s="38"/>
      <c r="BV138" s="38"/>
      <c r="BW138" s="38"/>
      <c r="BX138" s="38"/>
      <c r="BY138" s="38"/>
      <c r="BZ138" s="38"/>
      <c r="CA138" s="38"/>
      <c r="CB138" s="38"/>
      <c r="CC138" s="38"/>
      <c r="CD138" s="38"/>
      <c r="CE138" s="38"/>
      <c r="CF138" s="38"/>
      <c r="CG138" s="38"/>
      <c r="CH138" s="38"/>
      <c r="CI138" s="38"/>
      <c r="CJ138" s="38"/>
      <c r="CK138" s="38"/>
      <c r="CL138" s="38"/>
      <c r="CM138" s="38"/>
      <c r="CN138" s="38"/>
      <c r="CO138" s="38"/>
      <c r="CP138" s="38"/>
      <c r="CQ138" s="38"/>
      <c r="CR138" s="38"/>
      <c r="CS138" s="38"/>
      <c r="CT138" s="38"/>
      <c r="CU138" s="38"/>
      <c r="CV138" s="38"/>
      <c r="CW138" s="38"/>
      <c r="CX138" s="38"/>
      <c r="CY138" s="38"/>
      <c r="CZ138" s="38"/>
      <c r="DA138" s="38"/>
      <c r="DB138" s="38"/>
      <c r="DC138" s="38"/>
      <c r="DD138" s="38"/>
      <c r="DE138" s="38"/>
      <c r="DF138" s="38"/>
      <c r="DG138" s="38"/>
      <c r="DH138" s="38"/>
      <c r="DI138" s="38"/>
      <c r="DJ138" s="38"/>
      <c r="DK138" s="38"/>
      <c r="DL138" s="38"/>
      <c r="DM138" s="38"/>
      <c r="DN138" s="38"/>
      <c r="DO138" s="38"/>
      <c r="DP138" s="38"/>
      <c r="DQ138" s="38"/>
      <c r="DR138" s="38"/>
      <c r="DS138" s="38"/>
      <c r="DT138" s="38"/>
      <c r="DU138" s="38"/>
      <c r="DV138" s="38"/>
      <c r="DW138" s="38"/>
      <c r="DX138" s="38"/>
      <c r="DY138" s="38"/>
      <c r="DZ138" s="38"/>
      <c r="EA138" s="38"/>
      <c r="EB138" s="38"/>
      <c r="EC138" s="38"/>
      <c r="ED138" s="38"/>
      <c r="EE138" s="38"/>
      <c r="EF138" s="38"/>
      <c r="EG138" s="38"/>
      <c r="EH138" s="38"/>
      <c r="EI138" s="38"/>
      <c r="EJ138" s="38"/>
      <c r="EK138" s="38"/>
      <c r="EL138" s="38"/>
      <c r="EM138" s="38"/>
      <c r="EN138" s="38"/>
      <c r="EO138" s="38"/>
      <c r="EP138" s="38"/>
      <c r="EQ138" s="38"/>
      <c r="ER138" s="38"/>
      <c r="ES138" s="38"/>
      <c r="ET138" s="38"/>
      <c r="EU138" s="38"/>
      <c r="EV138" s="38"/>
      <c r="EW138" s="38"/>
      <c r="EX138" s="38"/>
      <c r="EY138" s="38"/>
      <c r="EZ138" s="38"/>
      <c r="FA138" s="38"/>
      <c r="FB138" s="38"/>
      <c r="FC138" s="38"/>
      <c r="FD138" s="38"/>
      <c r="FE138" s="38"/>
      <c r="FF138" s="38"/>
      <c r="FG138" s="38"/>
      <c r="FH138" s="38"/>
      <c r="FI138" s="38"/>
      <c r="FJ138" s="38"/>
      <c r="FK138" s="38"/>
      <c r="FL138" s="38"/>
      <c r="FM138" s="38"/>
      <c r="FN138" s="38"/>
      <c r="FO138" s="38"/>
      <c r="FP138" s="38"/>
      <c r="FQ138" s="38"/>
      <c r="FR138" s="38"/>
      <c r="FS138" s="38"/>
      <c r="FT138" s="38"/>
      <c r="FU138" s="38"/>
      <c r="FV138" s="38"/>
      <c r="FW138" s="38"/>
      <c r="FX138" s="38"/>
      <c r="FY138" s="38"/>
      <c r="FZ138" s="38"/>
      <c r="GA138" s="38"/>
      <c r="GB138" s="38"/>
      <c r="GC138" s="38"/>
      <c r="GD138" s="38"/>
      <c r="GE138" s="38"/>
      <c r="GF138" s="38"/>
      <c r="GG138" s="38"/>
      <c r="GH138" s="38"/>
      <c r="GI138" s="38"/>
      <c r="GJ138" s="38"/>
      <c r="GK138" s="38"/>
      <c r="GL138" s="38"/>
      <c r="GM138" s="38"/>
      <c r="GN138" s="38"/>
      <c r="GO138" s="38"/>
      <c r="GP138" s="38"/>
      <c r="GQ138" s="38"/>
      <c r="GR138" s="38"/>
      <c r="GS138" s="38"/>
      <c r="GT138" s="38"/>
      <c r="GU138" s="38"/>
      <c r="GV138" s="38"/>
      <c r="GW138" s="38"/>
      <c r="GX138" s="38"/>
      <c r="GY138" s="38"/>
      <c r="GZ138" s="38"/>
      <c r="HA138" s="38"/>
      <c r="HB138" s="38"/>
      <c r="HC138" s="38"/>
      <c r="HD138" s="38"/>
      <c r="HE138" s="38"/>
      <c r="HF138" s="38"/>
      <c r="HG138" s="38"/>
      <c r="HH138" s="38"/>
      <c r="HI138" s="38"/>
      <c r="HJ138" s="38"/>
      <c r="HK138" s="38"/>
      <c r="HL138" s="38"/>
      <c r="HM138" s="38"/>
      <c r="HN138" s="38"/>
      <c r="HO138" s="38"/>
      <c r="HP138" s="38"/>
      <c r="HQ138" s="38"/>
      <c r="HR138" s="38"/>
      <c r="HS138" s="38"/>
      <c r="HT138" s="38"/>
      <c r="HU138" s="38"/>
      <c r="HV138" s="38"/>
      <c r="HW138" s="38"/>
      <c r="HX138" s="38"/>
      <c r="HY138" s="38"/>
      <c r="HZ138" s="38"/>
      <c r="IA138" s="38"/>
      <c r="IB138" s="38"/>
      <c r="IC138" s="38"/>
      <c r="ID138" s="38"/>
      <c r="IE138" s="38"/>
      <c r="IF138" s="38"/>
      <c r="IG138" s="38"/>
      <c r="IH138" s="38"/>
      <c r="II138" s="38"/>
      <c r="IJ138" s="38"/>
      <c r="IK138" s="38"/>
      <c r="IL138" s="38"/>
      <c r="IM138" s="38"/>
      <c r="IN138" s="38"/>
      <c r="IO138" s="38"/>
      <c r="IP138" s="38"/>
      <c r="IQ138" s="38"/>
      <c r="IR138" s="38"/>
      <c r="IS138" s="38"/>
      <c r="IT138" s="38"/>
      <c r="IU138" s="38"/>
      <c r="IV138" s="38"/>
      <c r="IW138" s="38"/>
      <c r="IX138" s="38"/>
      <c r="IY138" s="38"/>
      <c r="IZ138" s="38"/>
      <c r="JA138" s="38"/>
      <c r="JB138" s="38"/>
      <c r="JC138" s="38"/>
      <c r="JD138" s="38"/>
      <c r="JE138" s="38"/>
      <c r="JF138" s="38"/>
      <c r="JG138" s="38"/>
      <c r="JH138" s="38"/>
      <c r="JI138" s="38"/>
      <c r="JJ138" s="38"/>
      <c r="JK138" s="38"/>
      <c r="JL138" s="38"/>
      <c r="JM138" s="38"/>
      <c r="JN138" s="38"/>
      <c r="JO138" s="38"/>
      <c r="JP138" s="38"/>
      <c r="JQ138" s="38"/>
      <c r="JR138" s="38"/>
      <c r="JS138" s="38"/>
      <c r="JT138" s="38"/>
      <c r="JU138" s="38"/>
      <c r="JV138" s="38"/>
      <c r="JW138" s="38"/>
      <c r="JX138" s="38"/>
      <c r="JY138" s="38"/>
      <c r="JZ138" s="38"/>
      <c r="KA138" s="38"/>
      <c r="KB138" s="38"/>
      <c r="KC138" s="38"/>
      <c r="KD138" s="38"/>
      <c r="KE138" s="38"/>
      <c r="KF138" s="38"/>
      <c r="KG138" s="38"/>
      <c r="KH138" s="38"/>
      <c r="KI138" s="38"/>
      <c r="KJ138" s="38"/>
      <c r="KK138" s="38"/>
      <c r="KL138" s="38"/>
      <c r="KM138" s="38"/>
      <c r="KN138" s="38"/>
      <c r="KO138" s="38"/>
      <c r="KP138" s="38"/>
      <c r="KQ138" s="38"/>
      <c r="KR138" s="38"/>
      <c r="KS138" s="38"/>
      <c r="KT138" s="38"/>
      <c r="KU138" s="38"/>
      <c r="KV138" s="38"/>
      <c r="KW138" s="38"/>
      <c r="KX138" s="38"/>
      <c r="KY138" s="38"/>
      <c r="KZ138" s="38"/>
      <c r="LA138" s="38"/>
      <c r="LB138" s="38"/>
      <c r="LC138" s="38"/>
      <c r="LD138" s="38"/>
      <c r="LE138" s="38"/>
      <c r="LF138" s="38"/>
      <c r="LG138" s="38"/>
      <c r="LH138" s="38"/>
      <c r="LI138" s="38"/>
      <c r="LJ138" s="38"/>
      <c r="LK138" s="38"/>
      <c r="LL138" s="38"/>
      <c r="LM138" s="38"/>
      <c r="LN138" s="38"/>
      <c r="LO138" s="38"/>
      <c r="LP138" s="38"/>
      <c r="LQ138" s="38"/>
      <c r="LR138" s="38"/>
      <c r="LS138" s="38"/>
      <c r="LT138" s="38"/>
      <c r="LU138" s="38"/>
      <c r="LV138" s="38"/>
      <c r="LW138" s="38"/>
      <c r="LX138" s="38"/>
      <c r="LY138" s="38"/>
      <c r="LZ138" s="38"/>
      <c r="MA138" s="38"/>
      <c r="MB138" s="38"/>
      <c r="MC138" s="38"/>
      <c r="MD138" s="38"/>
      <c r="ME138" s="38"/>
      <c r="MF138" s="38"/>
      <c r="MG138" s="38"/>
      <c r="MH138" s="38"/>
      <c r="MI138" s="38"/>
      <c r="MJ138" s="38"/>
      <c r="MK138" s="38"/>
      <c r="ML138" s="38"/>
      <c r="MM138" s="38"/>
      <c r="MN138" s="38"/>
      <c r="MO138" s="38"/>
      <c r="MP138" s="38"/>
      <c r="MQ138" s="38"/>
      <c r="MR138" s="38"/>
      <c r="MS138" s="38"/>
      <c r="MT138" s="38"/>
      <c r="MU138" s="38"/>
      <c r="MV138" s="38"/>
      <c r="MW138" s="38"/>
      <c r="MX138" s="38"/>
      <c r="MY138" s="38"/>
      <c r="MZ138" s="38"/>
      <c r="NA138" s="38"/>
      <c r="NB138" s="38"/>
      <c r="NC138" s="38"/>
      <c r="ND138" s="38"/>
      <c r="NE138" s="38"/>
      <c r="NF138" s="38"/>
      <c r="NG138" s="38"/>
      <c r="NH138" s="38"/>
      <c r="NI138" s="38"/>
      <c r="NJ138" s="38"/>
      <c r="NK138" s="38"/>
      <c r="NL138" s="38"/>
      <c r="NM138" s="38"/>
      <c r="NN138" s="38"/>
      <c r="NO138" s="38"/>
      <c r="NP138" s="38"/>
      <c r="NQ138" s="38"/>
      <c r="NR138" s="38"/>
      <c r="NS138" s="38"/>
      <c r="NT138" s="38"/>
      <c r="NU138" s="38"/>
      <c r="NV138" s="38"/>
      <c r="NW138" s="38"/>
      <c r="NX138" s="38"/>
      <c r="NY138" s="38"/>
      <c r="NZ138" s="38"/>
      <c r="OA138" s="38"/>
      <c r="OB138" s="38"/>
      <c r="OC138" s="38"/>
      <c r="OD138" s="38"/>
      <c r="OE138" s="38"/>
      <c r="OF138" s="38"/>
      <c r="OG138" s="38"/>
      <c r="OH138" s="38"/>
      <c r="OI138" s="38"/>
      <c r="OJ138" s="38"/>
      <c r="OK138" s="38"/>
      <c r="OL138" s="38"/>
      <c r="OM138" s="38"/>
      <c r="ON138" s="38"/>
      <c r="OO138" s="38"/>
      <c r="OP138" s="38"/>
      <c r="OQ138" s="38"/>
      <c r="OR138" s="38"/>
      <c r="OS138" s="38"/>
      <c r="OT138" s="38"/>
      <c r="OU138" s="38"/>
      <c r="OV138" s="38"/>
      <c r="OW138" s="38"/>
      <c r="OX138" s="38"/>
      <c r="OY138" s="38"/>
      <c r="OZ138" s="38"/>
      <c r="PA138" s="38"/>
      <c r="PB138" s="38"/>
      <c r="PC138" s="38"/>
      <c r="PD138" s="38"/>
      <c r="PE138" s="38"/>
      <c r="PF138" s="38"/>
      <c r="PG138" s="38"/>
      <c r="PH138" s="38"/>
      <c r="PI138" s="38"/>
      <c r="PJ138" s="38"/>
      <c r="PK138" s="38"/>
      <c r="PL138" s="38"/>
      <c r="PM138" s="38"/>
      <c r="PN138" s="38"/>
      <c r="PO138" s="38"/>
      <c r="PP138" s="38"/>
      <c r="PQ138" s="38"/>
      <c r="PR138" s="38"/>
      <c r="PS138" s="38"/>
      <c r="PT138" s="38"/>
      <c r="PU138" s="38"/>
      <c r="PV138" s="38"/>
      <c r="PW138" s="38"/>
      <c r="PX138" s="38"/>
      <c r="PY138" s="38"/>
      <c r="PZ138" s="38"/>
      <c r="QA138" s="38"/>
      <c r="QB138" s="38"/>
      <c r="QC138" s="38"/>
      <c r="QD138" s="38"/>
      <c r="QE138" s="38"/>
      <c r="QF138" s="38"/>
      <c r="QG138" s="38"/>
      <c r="QH138" s="38"/>
      <c r="QI138" s="38"/>
      <c r="QJ138" s="38"/>
      <c r="QK138" s="38"/>
      <c r="QL138" s="38"/>
      <c r="QM138" s="38"/>
      <c r="QN138" s="38"/>
      <c r="QO138" s="38"/>
      <c r="QP138" s="38"/>
      <c r="QQ138" s="38"/>
      <c r="QR138" s="38"/>
      <c r="QS138" s="38"/>
      <c r="QT138" s="38"/>
      <c r="QU138" s="38"/>
      <c r="QV138" s="38"/>
      <c r="QW138" s="38"/>
      <c r="QX138" s="38"/>
      <c r="QY138" s="38"/>
      <c r="QZ138" s="38"/>
      <c r="RA138" s="38"/>
      <c r="RB138" s="38"/>
      <c r="RC138" s="38"/>
      <c r="RD138" s="38"/>
      <c r="RE138" s="38"/>
      <c r="RF138" s="38"/>
      <c r="RG138" s="38"/>
      <c r="RH138" s="38"/>
      <c r="RI138" s="38"/>
      <c r="RJ138" s="38"/>
      <c r="RK138" s="38"/>
      <c r="RL138" s="38"/>
      <c r="RM138" s="38"/>
      <c r="RN138" s="38"/>
      <c r="RO138" s="38"/>
      <c r="RP138" s="38"/>
      <c r="RQ138" s="38"/>
      <c r="RR138" s="38"/>
      <c r="RS138" s="38"/>
      <c r="RT138" s="38"/>
      <c r="RU138" s="38"/>
      <c r="RV138" s="38"/>
      <c r="RW138" s="38"/>
      <c r="RX138" s="38"/>
      <c r="RY138" s="38"/>
      <c r="RZ138" s="38"/>
      <c r="SA138" s="38"/>
      <c r="SB138" s="38"/>
      <c r="SC138" s="38"/>
      <c r="SD138" s="38"/>
      <c r="SE138" s="38"/>
      <c r="SF138" s="38"/>
      <c r="SG138" s="38"/>
      <c r="SH138" s="38"/>
      <c r="SI138" s="38"/>
      <c r="SJ138" s="38"/>
      <c r="SK138" s="38"/>
      <c r="SL138" s="38"/>
      <c r="SM138" s="38"/>
      <c r="SN138" s="38"/>
      <c r="SO138" s="38"/>
      <c r="SP138" s="38"/>
      <c r="SQ138" s="38"/>
      <c r="SR138" s="38"/>
      <c r="SS138" s="38"/>
      <c r="ST138" s="38"/>
      <c r="SU138" s="38"/>
      <c r="SV138" s="38"/>
      <c r="SW138" s="38"/>
      <c r="SX138" s="38"/>
      <c r="SY138" s="38"/>
      <c r="SZ138" s="38"/>
      <c r="TA138" s="38"/>
      <c r="TB138" s="38"/>
      <c r="TC138" s="38"/>
      <c r="TD138" s="38"/>
      <c r="TE138" s="38"/>
      <c r="TF138" s="38"/>
      <c r="TG138" s="38"/>
      <c r="TH138" s="38"/>
      <c r="TI138" s="38"/>
      <c r="TJ138" s="38"/>
      <c r="TK138" s="38"/>
      <c r="TL138" s="38"/>
      <c r="TM138" s="38"/>
      <c r="TN138" s="38"/>
      <c r="TO138" s="38"/>
      <c r="TP138" s="38"/>
      <c r="TQ138" s="38"/>
      <c r="TR138" s="38"/>
      <c r="TS138" s="38"/>
      <c r="TT138" s="38"/>
      <c r="TU138" s="38"/>
      <c r="TV138" s="38"/>
      <c r="TW138" s="38"/>
      <c r="TX138" s="38"/>
      <c r="TY138" s="38"/>
      <c r="TZ138" s="38"/>
      <c r="UA138" s="38"/>
      <c r="UB138" s="38"/>
      <c r="UC138" s="38"/>
      <c r="UD138" s="38"/>
      <c r="UE138" s="38"/>
      <c r="UF138" s="38"/>
      <c r="UG138" s="38"/>
      <c r="UH138" s="38"/>
      <c r="UI138" s="38"/>
      <c r="UJ138" s="38"/>
      <c r="UK138" s="38"/>
      <c r="UL138" s="38"/>
      <c r="UM138" s="38"/>
      <c r="UN138" s="38"/>
      <c r="UO138" s="38"/>
      <c r="UP138" s="38"/>
      <c r="UQ138" s="38"/>
      <c r="UR138" s="38"/>
      <c r="US138" s="38"/>
      <c r="UT138" s="38"/>
      <c r="UU138" s="38"/>
      <c r="UV138" s="38"/>
      <c r="UW138" s="38"/>
      <c r="UX138" s="38"/>
      <c r="UY138" s="38"/>
      <c r="UZ138" s="38"/>
      <c r="VA138" s="38"/>
      <c r="VB138" s="38"/>
      <c r="VC138" s="38"/>
      <c r="VD138" s="38"/>
      <c r="VE138" s="38"/>
      <c r="VF138" s="38"/>
      <c r="VG138" s="38"/>
      <c r="VH138" s="38"/>
      <c r="VI138" s="38"/>
      <c r="VJ138" s="38"/>
      <c r="VK138" s="38"/>
      <c r="VL138" s="38"/>
      <c r="VM138" s="38"/>
      <c r="VN138" s="38"/>
      <c r="VO138" s="38"/>
      <c r="VP138" s="38"/>
      <c r="VQ138" s="38"/>
      <c r="VR138" s="38"/>
      <c r="VS138" s="38"/>
      <c r="VT138" s="38"/>
      <c r="VU138" s="38"/>
      <c r="VV138" s="38"/>
      <c r="VW138" s="38"/>
      <c r="VX138" s="38"/>
      <c r="VY138" s="38"/>
      <c r="VZ138" s="38"/>
      <c r="WA138" s="38"/>
      <c r="WB138" s="38"/>
      <c r="WC138" s="38"/>
      <c r="WD138" s="38"/>
      <c r="WE138" s="38"/>
      <c r="WF138" s="38"/>
      <c r="WG138" s="38"/>
      <c r="WH138" s="38"/>
      <c r="WI138" s="38"/>
      <c r="WJ138" s="38"/>
      <c r="WK138" s="38"/>
      <c r="WL138" s="38"/>
      <c r="WM138" s="38"/>
      <c r="WN138" s="38"/>
      <c r="WO138" s="38"/>
      <c r="WP138" s="38"/>
      <c r="WQ138" s="38"/>
      <c r="WR138" s="38"/>
      <c r="WS138" s="38"/>
      <c r="WT138" s="38"/>
      <c r="WU138" s="38"/>
      <c r="WV138" s="38"/>
      <c r="WW138" s="38"/>
      <c r="WX138" s="38"/>
      <c r="WY138" s="38"/>
      <c r="WZ138" s="38"/>
      <c r="XA138" s="38"/>
      <c r="XB138" s="38"/>
      <c r="XC138" s="38"/>
      <c r="XD138" s="38"/>
      <c r="XE138" s="38"/>
      <c r="XF138" s="38"/>
      <c r="XG138" s="38"/>
      <c r="XH138" s="38"/>
      <c r="XI138" s="38"/>
      <c r="XJ138" s="38"/>
      <c r="XK138" s="38"/>
      <c r="XL138" s="38"/>
      <c r="XM138" s="38"/>
      <c r="XN138" s="38"/>
      <c r="XO138" s="38"/>
      <c r="XP138" s="38"/>
      <c r="XQ138" s="38"/>
      <c r="XR138" s="38"/>
      <c r="XS138" s="38"/>
      <c r="XT138" s="38"/>
      <c r="XU138" s="38"/>
      <c r="XV138" s="38"/>
      <c r="XW138" s="38"/>
      <c r="XX138" s="38"/>
      <c r="XY138" s="38"/>
      <c r="XZ138" s="38"/>
      <c r="YA138" s="38"/>
      <c r="YB138" s="38"/>
      <c r="YC138" s="38"/>
      <c r="YD138" s="38"/>
      <c r="YE138" s="38"/>
      <c r="YF138" s="38"/>
      <c r="YG138" s="38"/>
      <c r="YH138" s="38"/>
      <c r="YI138" s="38"/>
      <c r="YJ138" s="38"/>
      <c r="YK138" s="38"/>
      <c r="YL138" s="38"/>
      <c r="YM138" s="38"/>
      <c r="YN138" s="38"/>
      <c r="YO138" s="38"/>
      <c r="YP138" s="38"/>
      <c r="YQ138" s="38"/>
      <c r="YR138" s="38"/>
      <c r="YS138" s="38"/>
      <c r="YT138" s="38"/>
      <c r="YU138" s="38"/>
      <c r="YV138" s="38"/>
      <c r="YW138" s="38"/>
      <c r="YX138" s="38"/>
      <c r="YY138" s="38"/>
      <c r="YZ138" s="38"/>
      <c r="ZA138" s="38"/>
      <c r="ZB138" s="38"/>
      <c r="ZC138" s="38"/>
      <c r="ZD138" s="38"/>
      <c r="ZE138" s="38"/>
      <c r="ZF138" s="38"/>
      <c r="ZG138" s="38"/>
      <c r="ZH138" s="38"/>
      <c r="ZI138" s="38"/>
      <c r="ZJ138" s="38"/>
      <c r="ZK138" s="38"/>
      <c r="ZL138" s="38"/>
      <c r="ZM138" s="38"/>
      <c r="ZN138" s="38"/>
      <c r="ZO138" s="38"/>
      <c r="ZP138" s="38"/>
      <c r="ZQ138" s="38"/>
      <c r="ZR138" s="38"/>
      <c r="ZS138" s="38"/>
      <c r="ZT138" s="38"/>
      <c r="ZU138" s="38"/>
      <c r="ZV138" s="38"/>
      <c r="ZW138" s="38"/>
      <c r="ZX138" s="38"/>
      <c r="ZY138" s="38"/>
      <c r="ZZ138" s="38"/>
      <c r="AAA138" s="38"/>
      <c r="AAB138" s="38"/>
      <c r="AAC138" s="38"/>
      <c r="AAD138" s="38"/>
      <c r="AAE138" s="38"/>
      <c r="AAF138" s="38"/>
      <c r="AAG138" s="38"/>
      <c r="AAH138" s="38"/>
      <c r="AAI138" s="38"/>
      <c r="AAJ138" s="38"/>
      <c r="AAK138" s="38"/>
      <c r="AAL138" s="38"/>
      <c r="AAM138" s="38"/>
      <c r="AAN138" s="38"/>
      <c r="AAO138" s="38"/>
      <c r="AAP138" s="38"/>
      <c r="AAQ138" s="38"/>
      <c r="AAR138" s="38"/>
      <c r="AAS138" s="38"/>
      <c r="AAT138" s="38"/>
      <c r="AAU138" s="38"/>
      <c r="AAV138" s="38"/>
      <c r="AAW138" s="38"/>
      <c r="AAX138" s="38"/>
      <c r="AAY138" s="38"/>
      <c r="AAZ138" s="38"/>
      <c r="ABA138" s="38"/>
      <c r="ABB138" s="38"/>
      <c r="ABC138" s="38"/>
      <c r="ABD138" s="38"/>
      <c r="ABE138" s="38"/>
      <c r="ABF138" s="38"/>
      <c r="ABG138" s="38"/>
      <c r="ABH138" s="38"/>
      <c r="ABI138" s="38"/>
      <c r="ABJ138" s="38"/>
      <c r="ABK138" s="38"/>
      <c r="ABL138" s="38"/>
      <c r="ABM138" s="38"/>
      <c r="ABN138" s="38"/>
      <c r="ABO138" s="38"/>
      <c r="ABP138" s="38"/>
      <c r="ABQ138" s="38"/>
      <c r="ABR138" s="38"/>
      <c r="ABS138" s="38"/>
      <c r="ABT138" s="38"/>
      <c r="ABU138" s="38"/>
      <c r="ABV138" s="38"/>
      <c r="ABW138" s="38"/>
      <c r="ABX138" s="38"/>
      <c r="ABY138" s="38"/>
      <c r="ABZ138" s="38"/>
      <c r="ACA138" s="38"/>
      <c r="ACB138" s="38"/>
      <c r="ACC138" s="38"/>
      <c r="ACD138" s="38"/>
      <c r="ACE138" s="38"/>
      <c r="ACF138" s="38"/>
      <c r="ACG138" s="38"/>
      <c r="ACH138" s="38"/>
      <c r="ACI138" s="38"/>
      <c r="ACJ138" s="38"/>
      <c r="ACK138" s="38"/>
      <c r="ACL138" s="38"/>
      <c r="ACM138" s="38"/>
      <c r="ACN138" s="38"/>
      <c r="ACO138" s="38"/>
      <c r="ACP138" s="38"/>
      <c r="ACQ138" s="38"/>
      <c r="ACR138" s="38"/>
      <c r="ACS138" s="38"/>
      <c r="ACT138" s="38"/>
      <c r="ACU138" s="38"/>
      <c r="ACV138" s="38"/>
      <c r="ACW138" s="38"/>
      <c r="ACX138" s="38"/>
      <c r="ACY138" s="38"/>
      <c r="ACZ138" s="38"/>
      <c r="ADA138" s="38"/>
      <c r="ADB138" s="38"/>
      <c r="ADC138" s="38"/>
      <c r="ADD138" s="38"/>
      <c r="ADE138" s="38"/>
      <c r="ADF138" s="38"/>
      <c r="ADG138" s="38"/>
      <c r="ADH138" s="38"/>
      <c r="ADI138" s="38"/>
      <c r="ADJ138" s="38"/>
      <c r="ADK138" s="38"/>
      <c r="ADL138" s="38"/>
      <c r="ADM138" s="38"/>
      <c r="ADN138" s="38"/>
      <c r="ADO138" s="38"/>
      <c r="ADP138" s="38"/>
      <c r="ADQ138" s="38"/>
      <c r="ADR138" s="38"/>
      <c r="ADS138" s="38"/>
      <c r="ADT138" s="38"/>
      <c r="ADU138" s="38"/>
      <c r="ADV138" s="38"/>
      <c r="ADW138" s="38"/>
      <c r="ADX138" s="38"/>
      <c r="ADY138" s="38"/>
      <c r="ADZ138" s="38"/>
      <c r="AEA138" s="38"/>
      <c r="AEB138" s="38"/>
      <c r="AEC138" s="38"/>
      <c r="AED138" s="38"/>
      <c r="AEE138" s="38"/>
      <c r="AEF138" s="38"/>
      <c r="AEG138" s="38"/>
      <c r="AEH138" s="38"/>
      <c r="AEI138" s="38"/>
      <c r="AEJ138" s="38"/>
      <c r="AEK138" s="38"/>
      <c r="AEL138" s="38"/>
      <c r="AEM138" s="38"/>
      <c r="AEN138" s="38"/>
      <c r="AEO138" s="38"/>
      <c r="AEP138" s="38"/>
      <c r="AEQ138" s="38"/>
      <c r="AER138" s="38"/>
      <c r="AES138" s="38"/>
      <c r="AET138" s="38"/>
      <c r="AEU138" s="38"/>
      <c r="AEV138" s="38"/>
      <c r="AEW138" s="38"/>
      <c r="AEX138" s="38"/>
      <c r="AEY138" s="38"/>
      <c r="AEZ138" s="38"/>
      <c r="AFA138" s="38"/>
      <c r="AFB138" s="38"/>
      <c r="AFC138" s="38"/>
      <c r="AFD138" s="38"/>
      <c r="AFE138" s="38"/>
      <c r="AFF138" s="38"/>
      <c r="AFG138" s="38"/>
      <c r="AFH138" s="38"/>
      <c r="AFI138" s="38"/>
      <c r="AFJ138" s="38"/>
      <c r="AFK138" s="38"/>
      <c r="AFL138" s="38"/>
      <c r="AFM138" s="38"/>
      <c r="AFN138" s="38"/>
      <c r="AFO138" s="38"/>
      <c r="AFP138" s="38"/>
      <c r="AFQ138" s="38"/>
      <c r="AFR138" s="38"/>
      <c r="AFS138" s="38"/>
      <c r="AFT138" s="38"/>
      <c r="AFU138" s="38"/>
      <c r="AFV138" s="38"/>
      <c r="AFW138" s="38"/>
      <c r="AFX138" s="38"/>
      <c r="AFY138" s="38"/>
      <c r="AFZ138" s="38"/>
      <c r="AGA138" s="38"/>
      <c r="AGB138" s="38"/>
      <c r="AGC138" s="38"/>
      <c r="AGD138" s="38"/>
      <c r="AGE138" s="38"/>
      <c r="AGF138" s="38"/>
      <c r="AGG138" s="38"/>
      <c r="AGH138" s="38"/>
      <c r="AGI138" s="38"/>
      <c r="AGJ138" s="38"/>
      <c r="AGK138" s="38"/>
      <c r="AGL138" s="38"/>
      <c r="AGM138" s="38"/>
      <c r="AGN138" s="38"/>
      <c r="AGO138" s="38"/>
      <c r="AGP138" s="38"/>
      <c r="AGQ138" s="38"/>
      <c r="AGR138" s="38"/>
      <c r="AGS138" s="38"/>
      <c r="AGT138" s="38"/>
      <c r="AGU138" s="38"/>
      <c r="AGV138" s="38"/>
      <c r="AGW138" s="38"/>
      <c r="AGX138" s="38"/>
      <c r="AGY138" s="38"/>
      <c r="AGZ138" s="38"/>
      <c r="AHA138" s="38"/>
      <c r="AHB138" s="38"/>
      <c r="AHC138" s="38"/>
      <c r="AHD138" s="38"/>
      <c r="AHE138" s="38"/>
      <c r="AHF138" s="38"/>
      <c r="AHG138" s="38"/>
      <c r="AHH138" s="38"/>
      <c r="AHI138" s="38"/>
      <c r="AHJ138" s="38"/>
      <c r="AHK138" s="38"/>
      <c r="AHL138" s="38"/>
      <c r="AHM138" s="38"/>
      <c r="AHN138" s="38"/>
      <c r="AHO138" s="38"/>
      <c r="AHP138" s="38"/>
      <c r="AHQ138" s="38"/>
      <c r="AHR138" s="38"/>
      <c r="AHS138" s="38"/>
      <c r="AHT138" s="38"/>
      <c r="AHU138" s="38"/>
      <c r="AHV138" s="38"/>
    </row>
    <row r="139" spans="1:906" s="27" customFormat="1" x14ac:dyDescent="0.35">
      <c r="A139" s="84">
        <v>134</v>
      </c>
      <c r="B139" s="108" t="s">
        <v>227</v>
      </c>
      <c r="C139" s="109"/>
      <c r="D139" s="109" t="s">
        <v>15</v>
      </c>
      <c r="E139" s="125">
        <v>28</v>
      </c>
      <c r="F139" s="125"/>
      <c r="G139" s="125"/>
      <c r="H139" s="125"/>
      <c r="I139" s="37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  <c r="BN139" s="38"/>
      <c r="BO139" s="38"/>
      <c r="BP139" s="38"/>
      <c r="BQ139" s="38"/>
      <c r="BR139" s="38"/>
      <c r="BS139" s="38"/>
      <c r="BT139" s="38"/>
      <c r="BU139" s="38"/>
      <c r="BV139" s="38"/>
      <c r="BW139" s="38"/>
      <c r="BX139" s="38"/>
      <c r="BY139" s="38"/>
      <c r="BZ139" s="38"/>
      <c r="CA139" s="38"/>
      <c r="CB139" s="38"/>
      <c r="CC139" s="38"/>
      <c r="CD139" s="38"/>
      <c r="CE139" s="38"/>
      <c r="CF139" s="38"/>
      <c r="CG139" s="38"/>
      <c r="CH139" s="38"/>
      <c r="CI139" s="38"/>
      <c r="CJ139" s="38"/>
      <c r="CK139" s="38"/>
      <c r="CL139" s="38"/>
      <c r="CM139" s="38"/>
      <c r="CN139" s="38"/>
      <c r="CO139" s="38"/>
      <c r="CP139" s="38"/>
      <c r="CQ139" s="38"/>
      <c r="CR139" s="38"/>
      <c r="CS139" s="38"/>
      <c r="CT139" s="38"/>
      <c r="CU139" s="38"/>
      <c r="CV139" s="38"/>
      <c r="CW139" s="38"/>
      <c r="CX139" s="38"/>
      <c r="CY139" s="38"/>
      <c r="CZ139" s="38"/>
      <c r="DA139" s="38"/>
      <c r="DB139" s="38"/>
      <c r="DC139" s="38"/>
      <c r="DD139" s="38"/>
      <c r="DE139" s="38"/>
      <c r="DF139" s="38"/>
      <c r="DG139" s="38"/>
      <c r="DH139" s="38"/>
      <c r="DI139" s="38"/>
      <c r="DJ139" s="38"/>
      <c r="DK139" s="38"/>
      <c r="DL139" s="38"/>
      <c r="DM139" s="38"/>
      <c r="DN139" s="38"/>
      <c r="DO139" s="38"/>
      <c r="DP139" s="38"/>
      <c r="DQ139" s="38"/>
      <c r="DR139" s="38"/>
      <c r="DS139" s="38"/>
      <c r="DT139" s="38"/>
      <c r="DU139" s="38"/>
      <c r="DV139" s="38"/>
      <c r="DW139" s="38"/>
      <c r="DX139" s="38"/>
      <c r="DY139" s="38"/>
      <c r="DZ139" s="38"/>
      <c r="EA139" s="38"/>
      <c r="EB139" s="38"/>
      <c r="EC139" s="38"/>
      <c r="ED139" s="38"/>
      <c r="EE139" s="38"/>
      <c r="EF139" s="38"/>
      <c r="EG139" s="38"/>
      <c r="EH139" s="38"/>
      <c r="EI139" s="38"/>
      <c r="EJ139" s="38"/>
      <c r="EK139" s="38"/>
      <c r="EL139" s="38"/>
      <c r="EM139" s="38"/>
      <c r="EN139" s="38"/>
      <c r="EO139" s="38"/>
      <c r="EP139" s="38"/>
      <c r="EQ139" s="38"/>
      <c r="ER139" s="38"/>
      <c r="ES139" s="38"/>
      <c r="ET139" s="38"/>
      <c r="EU139" s="38"/>
      <c r="EV139" s="38"/>
      <c r="EW139" s="38"/>
      <c r="EX139" s="38"/>
      <c r="EY139" s="38"/>
      <c r="EZ139" s="38"/>
      <c r="FA139" s="38"/>
      <c r="FB139" s="38"/>
      <c r="FC139" s="38"/>
      <c r="FD139" s="38"/>
      <c r="FE139" s="38"/>
      <c r="FF139" s="38"/>
      <c r="FG139" s="38"/>
      <c r="FH139" s="38"/>
      <c r="FI139" s="38"/>
      <c r="FJ139" s="38"/>
      <c r="FK139" s="38"/>
      <c r="FL139" s="38"/>
      <c r="FM139" s="38"/>
      <c r="FN139" s="38"/>
      <c r="FO139" s="38"/>
      <c r="FP139" s="38"/>
      <c r="FQ139" s="38"/>
      <c r="FR139" s="38"/>
      <c r="FS139" s="38"/>
      <c r="FT139" s="38"/>
      <c r="FU139" s="38"/>
      <c r="FV139" s="38"/>
      <c r="FW139" s="38"/>
      <c r="FX139" s="38"/>
      <c r="FY139" s="38"/>
      <c r="FZ139" s="38"/>
      <c r="GA139" s="38"/>
      <c r="GB139" s="38"/>
      <c r="GC139" s="38"/>
      <c r="GD139" s="38"/>
      <c r="GE139" s="38"/>
      <c r="GF139" s="38"/>
      <c r="GG139" s="38"/>
      <c r="GH139" s="38"/>
      <c r="GI139" s="38"/>
      <c r="GJ139" s="38"/>
      <c r="GK139" s="38"/>
      <c r="GL139" s="38"/>
      <c r="GM139" s="38"/>
      <c r="GN139" s="38"/>
      <c r="GO139" s="38"/>
      <c r="GP139" s="38"/>
      <c r="GQ139" s="38"/>
      <c r="GR139" s="38"/>
      <c r="GS139" s="38"/>
      <c r="GT139" s="38"/>
      <c r="GU139" s="38"/>
      <c r="GV139" s="38"/>
      <c r="GW139" s="38"/>
      <c r="GX139" s="38"/>
      <c r="GY139" s="38"/>
      <c r="GZ139" s="38"/>
      <c r="HA139" s="38"/>
      <c r="HB139" s="38"/>
      <c r="HC139" s="38"/>
      <c r="HD139" s="38"/>
      <c r="HE139" s="38"/>
      <c r="HF139" s="38"/>
      <c r="HG139" s="38"/>
      <c r="HH139" s="38"/>
      <c r="HI139" s="38"/>
      <c r="HJ139" s="38"/>
      <c r="HK139" s="38"/>
      <c r="HL139" s="38"/>
      <c r="HM139" s="38"/>
      <c r="HN139" s="38"/>
      <c r="HO139" s="38"/>
      <c r="HP139" s="38"/>
      <c r="HQ139" s="38"/>
      <c r="HR139" s="38"/>
      <c r="HS139" s="38"/>
      <c r="HT139" s="38"/>
      <c r="HU139" s="38"/>
      <c r="HV139" s="38"/>
      <c r="HW139" s="38"/>
      <c r="HX139" s="38"/>
      <c r="HY139" s="38"/>
      <c r="HZ139" s="38"/>
      <c r="IA139" s="38"/>
      <c r="IB139" s="38"/>
      <c r="IC139" s="38"/>
      <c r="ID139" s="38"/>
      <c r="IE139" s="38"/>
      <c r="IF139" s="38"/>
      <c r="IG139" s="38"/>
      <c r="IH139" s="38"/>
      <c r="II139" s="38"/>
      <c r="IJ139" s="38"/>
      <c r="IK139" s="38"/>
      <c r="IL139" s="38"/>
      <c r="IM139" s="38"/>
      <c r="IN139" s="38"/>
      <c r="IO139" s="38"/>
      <c r="IP139" s="38"/>
      <c r="IQ139" s="38"/>
      <c r="IR139" s="38"/>
      <c r="IS139" s="38"/>
      <c r="IT139" s="38"/>
      <c r="IU139" s="38"/>
      <c r="IV139" s="38"/>
      <c r="IW139" s="38"/>
      <c r="IX139" s="38"/>
      <c r="IY139" s="38"/>
      <c r="IZ139" s="38"/>
      <c r="JA139" s="38"/>
      <c r="JB139" s="38"/>
      <c r="JC139" s="38"/>
      <c r="JD139" s="38"/>
      <c r="JE139" s="38"/>
      <c r="JF139" s="38"/>
      <c r="JG139" s="38"/>
      <c r="JH139" s="38"/>
      <c r="JI139" s="38"/>
      <c r="JJ139" s="38"/>
      <c r="JK139" s="38"/>
      <c r="JL139" s="38"/>
      <c r="JM139" s="38"/>
      <c r="JN139" s="38"/>
      <c r="JO139" s="38"/>
      <c r="JP139" s="38"/>
      <c r="JQ139" s="38"/>
      <c r="JR139" s="38"/>
      <c r="JS139" s="38"/>
      <c r="JT139" s="38"/>
      <c r="JU139" s="38"/>
      <c r="JV139" s="38"/>
      <c r="JW139" s="38"/>
      <c r="JX139" s="38"/>
      <c r="JY139" s="38"/>
      <c r="JZ139" s="38"/>
      <c r="KA139" s="38"/>
      <c r="KB139" s="38"/>
      <c r="KC139" s="38"/>
      <c r="KD139" s="38"/>
      <c r="KE139" s="38"/>
      <c r="KF139" s="38"/>
      <c r="KG139" s="38"/>
      <c r="KH139" s="38"/>
      <c r="KI139" s="38"/>
      <c r="KJ139" s="38"/>
      <c r="KK139" s="38"/>
      <c r="KL139" s="38"/>
      <c r="KM139" s="38"/>
      <c r="KN139" s="38"/>
      <c r="KO139" s="38"/>
      <c r="KP139" s="38"/>
      <c r="KQ139" s="38"/>
      <c r="KR139" s="38"/>
      <c r="KS139" s="38"/>
      <c r="KT139" s="38"/>
      <c r="KU139" s="38"/>
      <c r="KV139" s="38"/>
      <c r="KW139" s="38"/>
      <c r="KX139" s="38"/>
      <c r="KY139" s="38"/>
      <c r="KZ139" s="38"/>
      <c r="LA139" s="38"/>
      <c r="LB139" s="38"/>
      <c r="LC139" s="38"/>
      <c r="LD139" s="38"/>
      <c r="LE139" s="38"/>
      <c r="LF139" s="38"/>
      <c r="LG139" s="38"/>
      <c r="LH139" s="38"/>
      <c r="LI139" s="38"/>
      <c r="LJ139" s="38"/>
      <c r="LK139" s="38"/>
      <c r="LL139" s="38"/>
      <c r="LM139" s="38"/>
      <c r="LN139" s="38"/>
      <c r="LO139" s="38"/>
      <c r="LP139" s="38"/>
      <c r="LQ139" s="38"/>
      <c r="LR139" s="38"/>
      <c r="LS139" s="38"/>
      <c r="LT139" s="38"/>
      <c r="LU139" s="38"/>
      <c r="LV139" s="38"/>
      <c r="LW139" s="38"/>
      <c r="LX139" s="38"/>
      <c r="LY139" s="38"/>
      <c r="LZ139" s="38"/>
      <c r="MA139" s="38"/>
      <c r="MB139" s="38"/>
      <c r="MC139" s="38"/>
      <c r="MD139" s="38"/>
      <c r="ME139" s="38"/>
      <c r="MF139" s="38"/>
      <c r="MG139" s="38"/>
      <c r="MH139" s="38"/>
      <c r="MI139" s="38"/>
      <c r="MJ139" s="38"/>
      <c r="MK139" s="38"/>
      <c r="ML139" s="38"/>
      <c r="MM139" s="38"/>
      <c r="MN139" s="38"/>
      <c r="MO139" s="38"/>
      <c r="MP139" s="38"/>
      <c r="MQ139" s="38"/>
      <c r="MR139" s="38"/>
      <c r="MS139" s="38"/>
      <c r="MT139" s="38"/>
      <c r="MU139" s="38"/>
      <c r="MV139" s="38"/>
      <c r="MW139" s="38"/>
      <c r="MX139" s="38"/>
      <c r="MY139" s="38"/>
      <c r="MZ139" s="38"/>
      <c r="NA139" s="38"/>
      <c r="NB139" s="38"/>
      <c r="NC139" s="38"/>
      <c r="ND139" s="38"/>
      <c r="NE139" s="38"/>
      <c r="NF139" s="38"/>
      <c r="NG139" s="38"/>
      <c r="NH139" s="38"/>
      <c r="NI139" s="38"/>
      <c r="NJ139" s="38"/>
      <c r="NK139" s="38"/>
      <c r="NL139" s="38"/>
      <c r="NM139" s="38"/>
      <c r="NN139" s="38"/>
      <c r="NO139" s="38"/>
      <c r="NP139" s="38"/>
      <c r="NQ139" s="38"/>
      <c r="NR139" s="38"/>
      <c r="NS139" s="38"/>
      <c r="NT139" s="38"/>
      <c r="NU139" s="38"/>
      <c r="NV139" s="38"/>
      <c r="NW139" s="38"/>
      <c r="NX139" s="38"/>
      <c r="NY139" s="38"/>
      <c r="NZ139" s="38"/>
      <c r="OA139" s="38"/>
      <c r="OB139" s="38"/>
      <c r="OC139" s="38"/>
      <c r="OD139" s="38"/>
      <c r="OE139" s="38"/>
      <c r="OF139" s="38"/>
      <c r="OG139" s="38"/>
      <c r="OH139" s="38"/>
      <c r="OI139" s="38"/>
      <c r="OJ139" s="38"/>
      <c r="OK139" s="38"/>
      <c r="OL139" s="38"/>
      <c r="OM139" s="38"/>
      <c r="ON139" s="38"/>
      <c r="OO139" s="38"/>
      <c r="OP139" s="38"/>
      <c r="OQ139" s="38"/>
      <c r="OR139" s="38"/>
      <c r="OS139" s="38"/>
      <c r="OT139" s="38"/>
      <c r="OU139" s="38"/>
      <c r="OV139" s="38"/>
      <c r="OW139" s="38"/>
      <c r="OX139" s="38"/>
      <c r="OY139" s="38"/>
      <c r="OZ139" s="38"/>
      <c r="PA139" s="38"/>
      <c r="PB139" s="38"/>
      <c r="PC139" s="38"/>
      <c r="PD139" s="38"/>
      <c r="PE139" s="38"/>
      <c r="PF139" s="38"/>
      <c r="PG139" s="38"/>
      <c r="PH139" s="38"/>
      <c r="PI139" s="38"/>
      <c r="PJ139" s="38"/>
      <c r="PK139" s="38"/>
      <c r="PL139" s="38"/>
      <c r="PM139" s="38"/>
      <c r="PN139" s="38"/>
      <c r="PO139" s="38"/>
      <c r="PP139" s="38"/>
      <c r="PQ139" s="38"/>
      <c r="PR139" s="38"/>
      <c r="PS139" s="38"/>
      <c r="PT139" s="38"/>
      <c r="PU139" s="38"/>
      <c r="PV139" s="38"/>
      <c r="PW139" s="38"/>
      <c r="PX139" s="38"/>
      <c r="PY139" s="38"/>
      <c r="PZ139" s="38"/>
      <c r="QA139" s="38"/>
      <c r="QB139" s="38"/>
      <c r="QC139" s="38"/>
      <c r="QD139" s="38"/>
      <c r="QE139" s="38"/>
      <c r="QF139" s="38"/>
      <c r="QG139" s="38"/>
      <c r="QH139" s="38"/>
      <c r="QI139" s="38"/>
      <c r="QJ139" s="38"/>
      <c r="QK139" s="38"/>
      <c r="QL139" s="38"/>
      <c r="QM139" s="38"/>
      <c r="QN139" s="38"/>
      <c r="QO139" s="38"/>
      <c r="QP139" s="38"/>
      <c r="QQ139" s="38"/>
      <c r="QR139" s="38"/>
      <c r="QS139" s="38"/>
      <c r="QT139" s="38"/>
      <c r="QU139" s="38"/>
      <c r="QV139" s="38"/>
      <c r="QW139" s="38"/>
      <c r="QX139" s="38"/>
      <c r="QY139" s="38"/>
      <c r="QZ139" s="38"/>
      <c r="RA139" s="38"/>
      <c r="RB139" s="38"/>
      <c r="RC139" s="38"/>
      <c r="RD139" s="38"/>
      <c r="RE139" s="38"/>
      <c r="RF139" s="38"/>
      <c r="RG139" s="38"/>
      <c r="RH139" s="38"/>
      <c r="RI139" s="38"/>
      <c r="RJ139" s="38"/>
      <c r="RK139" s="38"/>
      <c r="RL139" s="38"/>
      <c r="RM139" s="38"/>
      <c r="RN139" s="38"/>
      <c r="RO139" s="38"/>
      <c r="RP139" s="38"/>
      <c r="RQ139" s="38"/>
      <c r="RR139" s="38"/>
      <c r="RS139" s="38"/>
      <c r="RT139" s="38"/>
      <c r="RU139" s="38"/>
      <c r="RV139" s="38"/>
      <c r="RW139" s="38"/>
      <c r="RX139" s="38"/>
      <c r="RY139" s="38"/>
      <c r="RZ139" s="38"/>
      <c r="SA139" s="38"/>
      <c r="SB139" s="38"/>
      <c r="SC139" s="38"/>
      <c r="SD139" s="38"/>
      <c r="SE139" s="38"/>
      <c r="SF139" s="38"/>
      <c r="SG139" s="38"/>
      <c r="SH139" s="38"/>
      <c r="SI139" s="38"/>
      <c r="SJ139" s="38"/>
      <c r="SK139" s="38"/>
      <c r="SL139" s="38"/>
      <c r="SM139" s="38"/>
      <c r="SN139" s="38"/>
      <c r="SO139" s="38"/>
      <c r="SP139" s="38"/>
      <c r="SQ139" s="38"/>
      <c r="SR139" s="38"/>
      <c r="SS139" s="38"/>
      <c r="ST139" s="38"/>
      <c r="SU139" s="38"/>
      <c r="SV139" s="38"/>
      <c r="SW139" s="38"/>
      <c r="SX139" s="38"/>
      <c r="SY139" s="38"/>
      <c r="SZ139" s="38"/>
      <c r="TA139" s="38"/>
      <c r="TB139" s="38"/>
      <c r="TC139" s="38"/>
      <c r="TD139" s="38"/>
      <c r="TE139" s="38"/>
      <c r="TF139" s="38"/>
      <c r="TG139" s="38"/>
      <c r="TH139" s="38"/>
      <c r="TI139" s="38"/>
      <c r="TJ139" s="38"/>
      <c r="TK139" s="38"/>
      <c r="TL139" s="38"/>
      <c r="TM139" s="38"/>
      <c r="TN139" s="38"/>
      <c r="TO139" s="38"/>
      <c r="TP139" s="38"/>
      <c r="TQ139" s="38"/>
      <c r="TR139" s="38"/>
      <c r="TS139" s="38"/>
      <c r="TT139" s="38"/>
      <c r="TU139" s="38"/>
      <c r="TV139" s="38"/>
      <c r="TW139" s="38"/>
      <c r="TX139" s="38"/>
      <c r="TY139" s="38"/>
      <c r="TZ139" s="38"/>
      <c r="UA139" s="38"/>
      <c r="UB139" s="38"/>
      <c r="UC139" s="38"/>
      <c r="UD139" s="38"/>
      <c r="UE139" s="38"/>
      <c r="UF139" s="38"/>
      <c r="UG139" s="38"/>
      <c r="UH139" s="38"/>
      <c r="UI139" s="38"/>
      <c r="UJ139" s="38"/>
      <c r="UK139" s="38"/>
      <c r="UL139" s="38"/>
      <c r="UM139" s="38"/>
      <c r="UN139" s="38"/>
      <c r="UO139" s="38"/>
      <c r="UP139" s="38"/>
      <c r="UQ139" s="38"/>
      <c r="UR139" s="38"/>
      <c r="US139" s="38"/>
      <c r="UT139" s="38"/>
      <c r="UU139" s="38"/>
      <c r="UV139" s="38"/>
      <c r="UW139" s="38"/>
      <c r="UX139" s="38"/>
      <c r="UY139" s="38"/>
      <c r="UZ139" s="38"/>
      <c r="VA139" s="38"/>
      <c r="VB139" s="38"/>
      <c r="VC139" s="38"/>
      <c r="VD139" s="38"/>
      <c r="VE139" s="38"/>
      <c r="VF139" s="38"/>
      <c r="VG139" s="38"/>
      <c r="VH139" s="38"/>
      <c r="VI139" s="38"/>
      <c r="VJ139" s="38"/>
      <c r="VK139" s="38"/>
      <c r="VL139" s="38"/>
      <c r="VM139" s="38"/>
      <c r="VN139" s="38"/>
      <c r="VO139" s="38"/>
      <c r="VP139" s="38"/>
      <c r="VQ139" s="38"/>
      <c r="VR139" s="38"/>
      <c r="VS139" s="38"/>
      <c r="VT139" s="38"/>
      <c r="VU139" s="38"/>
      <c r="VV139" s="38"/>
      <c r="VW139" s="38"/>
      <c r="VX139" s="38"/>
      <c r="VY139" s="38"/>
      <c r="VZ139" s="38"/>
      <c r="WA139" s="38"/>
      <c r="WB139" s="38"/>
      <c r="WC139" s="38"/>
      <c r="WD139" s="38"/>
      <c r="WE139" s="38"/>
      <c r="WF139" s="38"/>
      <c r="WG139" s="38"/>
      <c r="WH139" s="38"/>
      <c r="WI139" s="38"/>
      <c r="WJ139" s="38"/>
      <c r="WK139" s="38"/>
      <c r="WL139" s="38"/>
      <c r="WM139" s="38"/>
      <c r="WN139" s="38"/>
      <c r="WO139" s="38"/>
      <c r="WP139" s="38"/>
      <c r="WQ139" s="38"/>
      <c r="WR139" s="38"/>
      <c r="WS139" s="38"/>
      <c r="WT139" s="38"/>
      <c r="WU139" s="38"/>
      <c r="WV139" s="38"/>
      <c r="WW139" s="38"/>
      <c r="WX139" s="38"/>
      <c r="WY139" s="38"/>
      <c r="WZ139" s="38"/>
      <c r="XA139" s="38"/>
      <c r="XB139" s="38"/>
      <c r="XC139" s="38"/>
      <c r="XD139" s="38"/>
      <c r="XE139" s="38"/>
      <c r="XF139" s="38"/>
      <c r="XG139" s="38"/>
      <c r="XH139" s="38"/>
      <c r="XI139" s="38"/>
      <c r="XJ139" s="38"/>
      <c r="XK139" s="38"/>
      <c r="XL139" s="38"/>
      <c r="XM139" s="38"/>
      <c r="XN139" s="38"/>
      <c r="XO139" s="38"/>
      <c r="XP139" s="38"/>
      <c r="XQ139" s="38"/>
      <c r="XR139" s="38"/>
      <c r="XS139" s="38"/>
      <c r="XT139" s="38"/>
      <c r="XU139" s="38"/>
      <c r="XV139" s="38"/>
      <c r="XW139" s="38"/>
      <c r="XX139" s="38"/>
      <c r="XY139" s="38"/>
      <c r="XZ139" s="38"/>
      <c r="YA139" s="38"/>
      <c r="YB139" s="38"/>
      <c r="YC139" s="38"/>
      <c r="YD139" s="38"/>
      <c r="YE139" s="38"/>
      <c r="YF139" s="38"/>
      <c r="YG139" s="38"/>
      <c r="YH139" s="38"/>
      <c r="YI139" s="38"/>
      <c r="YJ139" s="38"/>
      <c r="YK139" s="38"/>
      <c r="YL139" s="38"/>
      <c r="YM139" s="38"/>
      <c r="YN139" s="38"/>
      <c r="YO139" s="38"/>
      <c r="YP139" s="38"/>
      <c r="YQ139" s="38"/>
      <c r="YR139" s="38"/>
      <c r="YS139" s="38"/>
      <c r="YT139" s="38"/>
      <c r="YU139" s="38"/>
      <c r="YV139" s="38"/>
      <c r="YW139" s="38"/>
      <c r="YX139" s="38"/>
      <c r="YY139" s="38"/>
      <c r="YZ139" s="38"/>
      <c r="ZA139" s="38"/>
      <c r="ZB139" s="38"/>
      <c r="ZC139" s="38"/>
      <c r="ZD139" s="38"/>
      <c r="ZE139" s="38"/>
      <c r="ZF139" s="38"/>
      <c r="ZG139" s="38"/>
      <c r="ZH139" s="38"/>
      <c r="ZI139" s="38"/>
      <c r="ZJ139" s="38"/>
      <c r="ZK139" s="38"/>
      <c r="ZL139" s="38"/>
      <c r="ZM139" s="38"/>
      <c r="ZN139" s="38"/>
      <c r="ZO139" s="38"/>
      <c r="ZP139" s="38"/>
      <c r="ZQ139" s="38"/>
      <c r="ZR139" s="38"/>
      <c r="ZS139" s="38"/>
      <c r="ZT139" s="38"/>
      <c r="ZU139" s="38"/>
      <c r="ZV139" s="38"/>
      <c r="ZW139" s="38"/>
      <c r="ZX139" s="38"/>
      <c r="ZY139" s="38"/>
      <c r="ZZ139" s="38"/>
      <c r="AAA139" s="38"/>
      <c r="AAB139" s="38"/>
      <c r="AAC139" s="38"/>
      <c r="AAD139" s="38"/>
      <c r="AAE139" s="38"/>
      <c r="AAF139" s="38"/>
      <c r="AAG139" s="38"/>
      <c r="AAH139" s="38"/>
      <c r="AAI139" s="38"/>
      <c r="AAJ139" s="38"/>
      <c r="AAK139" s="38"/>
      <c r="AAL139" s="38"/>
      <c r="AAM139" s="38"/>
      <c r="AAN139" s="38"/>
      <c r="AAO139" s="38"/>
      <c r="AAP139" s="38"/>
      <c r="AAQ139" s="38"/>
      <c r="AAR139" s="38"/>
      <c r="AAS139" s="38"/>
      <c r="AAT139" s="38"/>
      <c r="AAU139" s="38"/>
      <c r="AAV139" s="38"/>
      <c r="AAW139" s="38"/>
      <c r="AAX139" s="38"/>
      <c r="AAY139" s="38"/>
      <c r="AAZ139" s="38"/>
      <c r="ABA139" s="38"/>
      <c r="ABB139" s="38"/>
      <c r="ABC139" s="38"/>
      <c r="ABD139" s="38"/>
      <c r="ABE139" s="38"/>
      <c r="ABF139" s="38"/>
      <c r="ABG139" s="38"/>
      <c r="ABH139" s="38"/>
      <c r="ABI139" s="38"/>
      <c r="ABJ139" s="38"/>
      <c r="ABK139" s="38"/>
      <c r="ABL139" s="38"/>
      <c r="ABM139" s="38"/>
      <c r="ABN139" s="38"/>
      <c r="ABO139" s="38"/>
      <c r="ABP139" s="38"/>
      <c r="ABQ139" s="38"/>
      <c r="ABR139" s="38"/>
      <c r="ABS139" s="38"/>
      <c r="ABT139" s="38"/>
      <c r="ABU139" s="38"/>
      <c r="ABV139" s="38"/>
      <c r="ABW139" s="38"/>
      <c r="ABX139" s="38"/>
      <c r="ABY139" s="38"/>
      <c r="ABZ139" s="38"/>
      <c r="ACA139" s="38"/>
      <c r="ACB139" s="38"/>
      <c r="ACC139" s="38"/>
      <c r="ACD139" s="38"/>
      <c r="ACE139" s="38"/>
      <c r="ACF139" s="38"/>
      <c r="ACG139" s="38"/>
      <c r="ACH139" s="38"/>
      <c r="ACI139" s="38"/>
      <c r="ACJ139" s="38"/>
      <c r="ACK139" s="38"/>
      <c r="ACL139" s="38"/>
      <c r="ACM139" s="38"/>
      <c r="ACN139" s="38"/>
      <c r="ACO139" s="38"/>
      <c r="ACP139" s="38"/>
      <c r="ACQ139" s="38"/>
      <c r="ACR139" s="38"/>
      <c r="ACS139" s="38"/>
      <c r="ACT139" s="38"/>
      <c r="ACU139" s="38"/>
      <c r="ACV139" s="38"/>
      <c r="ACW139" s="38"/>
      <c r="ACX139" s="38"/>
      <c r="ACY139" s="38"/>
      <c r="ACZ139" s="38"/>
      <c r="ADA139" s="38"/>
      <c r="ADB139" s="38"/>
      <c r="ADC139" s="38"/>
      <c r="ADD139" s="38"/>
      <c r="ADE139" s="38"/>
      <c r="ADF139" s="38"/>
      <c r="ADG139" s="38"/>
      <c r="ADH139" s="38"/>
      <c r="ADI139" s="38"/>
      <c r="ADJ139" s="38"/>
      <c r="ADK139" s="38"/>
      <c r="ADL139" s="38"/>
      <c r="ADM139" s="38"/>
      <c r="ADN139" s="38"/>
      <c r="ADO139" s="38"/>
      <c r="ADP139" s="38"/>
      <c r="ADQ139" s="38"/>
      <c r="ADR139" s="38"/>
      <c r="ADS139" s="38"/>
      <c r="ADT139" s="38"/>
      <c r="ADU139" s="38"/>
      <c r="ADV139" s="38"/>
      <c r="ADW139" s="38"/>
      <c r="ADX139" s="38"/>
      <c r="ADY139" s="38"/>
      <c r="ADZ139" s="38"/>
      <c r="AEA139" s="38"/>
      <c r="AEB139" s="38"/>
      <c r="AEC139" s="38"/>
      <c r="AED139" s="38"/>
      <c r="AEE139" s="38"/>
      <c r="AEF139" s="38"/>
      <c r="AEG139" s="38"/>
      <c r="AEH139" s="38"/>
      <c r="AEI139" s="38"/>
      <c r="AEJ139" s="38"/>
      <c r="AEK139" s="38"/>
      <c r="AEL139" s="38"/>
      <c r="AEM139" s="38"/>
      <c r="AEN139" s="38"/>
      <c r="AEO139" s="38"/>
      <c r="AEP139" s="38"/>
      <c r="AEQ139" s="38"/>
      <c r="AER139" s="38"/>
      <c r="AES139" s="38"/>
      <c r="AET139" s="38"/>
      <c r="AEU139" s="38"/>
      <c r="AEV139" s="38"/>
      <c r="AEW139" s="38"/>
      <c r="AEX139" s="38"/>
      <c r="AEY139" s="38"/>
      <c r="AEZ139" s="38"/>
      <c r="AFA139" s="38"/>
      <c r="AFB139" s="38"/>
      <c r="AFC139" s="38"/>
      <c r="AFD139" s="38"/>
      <c r="AFE139" s="38"/>
      <c r="AFF139" s="38"/>
      <c r="AFG139" s="38"/>
      <c r="AFH139" s="38"/>
      <c r="AFI139" s="38"/>
      <c r="AFJ139" s="38"/>
      <c r="AFK139" s="38"/>
      <c r="AFL139" s="38"/>
      <c r="AFM139" s="38"/>
      <c r="AFN139" s="38"/>
      <c r="AFO139" s="38"/>
      <c r="AFP139" s="38"/>
      <c r="AFQ139" s="38"/>
      <c r="AFR139" s="38"/>
      <c r="AFS139" s="38"/>
      <c r="AFT139" s="38"/>
      <c r="AFU139" s="38"/>
      <c r="AFV139" s="38"/>
      <c r="AFW139" s="38"/>
      <c r="AFX139" s="38"/>
      <c r="AFY139" s="38"/>
      <c r="AFZ139" s="38"/>
      <c r="AGA139" s="38"/>
      <c r="AGB139" s="38"/>
      <c r="AGC139" s="38"/>
      <c r="AGD139" s="38"/>
      <c r="AGE139" s="38"/>
      <c r="AGF139" s="38"/>
      <c r="AGG139" s="38"/>
      <c r="AGH139" s="38"/>
      <c r="AGI139" s="38"/>
      <c r="AGJ139" s="38"/>
      <c r="AGK139" s="38"/>
      <c r="AGL139" s="38"/>
      <c r="AGM139" s="38"/>
      <c r="AGN139" s="38"/>
      <c r="AGO139" s="38"/>
      <c r="AGP139" s="38"/>
      <c r="AGQ139" s="38"/>
      <c r="AGR139" s="38"/>
      <c r="AGS139" s="38"/>
      <c r="AGT139" s="38"/>
      <c r="AGU139" s="38"/>
      <c r="AGV139" s="38"/>
      <c r="AGW139" s="38"/>
      <c r="AGX139" s="38"/>
      <c r="AGY139" s="38"/>
      <c r="AGZ139" s="38"/>
      <c r="AHA139" s="38"/>
      <c r="AHB139" s="38"/>
      <c r="AHC139" s="38"/>
      <c r="AHD139" s="38"/>
      <c r="AHE139" s="38"/>
      <c r="AHF139" s="38"/>
      <c r="AHG139" s="38"/>
      <c r="AHH139" s="38"/>
      <c r="AHI139" s="38"/>
      <c r="AHJ139" s="38"/>
      <c r="AHK139" s="38"/>
      <c r="AHL139" s="38"/>
      <c r="AHM139" s="38"/>
      <c r="AHN139" s="38"/>
      <c r="AHO139" s="38"/>
      <c r="AHP139" s="38"/>
      <c r="AHQ139" s="38"/>
      <c r="AHR139" s="38"/>
      <c r="AHS139" s="38"/>
      <c r="AHT139" s="38"/>
      <c r="AHU139" s="38"/>
      <c r="AHV139" s="38"/>
    </row>
    <row r="140" spans="1:906" s="27" customFormat="1" x14ac:dyDescent="0.35">
      <c r="A140" s="84">
        <v>135</v>
      </c>
      <c r="B140" s="108" t="s">
        <v>228</v>
      </c>
      <c r="C140" s="109"/>
      <c r="D140" s="109" t="s">
        <v>15</v>
      </c>
      <c r="E140" s="125"/>
      <c r="F140" s="125">
        <v>17.95</v>
      </c>
      <c r="G140" s="125"/>
      <c r="H140" s="125"/>
      <c r="I140" s="37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  <c r="BP140" s="38"/>
      <c r="BQ140" s="38"/>
      <c r="BR140" s="38"/>
      <c r="BS140" s="38"/>
      <c r="BT140" s="38"/>
      <c r="BU140" s="38"/>
      <c r="BV140" s="38"/>
      <c r="BW140" s="38"/>
      <c r="BX140" s="38"/>
      <c r="BY140" s="38"/>
      <c r="BZ140" s="38"/>
      <c r="CA140" s="38"/>
      <c r="CB140" s="38"/>
      <c r="CC140" s="38"/>
      <c r="CD140" s="38"/>
      <c r="CE140" s="38"/>
      <c r="CF140" s="38"/>
      <c r="CG140" s="38"/>
      <c r="CH140" s="38"/>
      <c r="CI140" s="38"/>
      <c r="CJ140" s="38"/>
      <c r="CK140" s="38"/>
      <c r="CL140" s="38"/>
      <c r="CM140" s="38"/>
      <c r="CN140" s="38"/>
      <c r="CO140" s="38"/>
      <c r="CP140" s="38"/>
      <c r="CQ140" s="38"/>
      <c r="CR140" s="38"/>
      <c r="CS140" s="38"/>
      <c r="CT140" s="38"/>
      <c r="CU140" s="38"/>
      <c r="CV140" s="38"/>
      <c r="CW140" s="38"/>
      <c r="CX140" s="38"/>
      <c r="CY140" s="38"/>
      <c r="CZ140" s="38"/>
      <c r="DA140" s="38"/>
      <c r="DB140" s="38"/>
      <c r="DC140" s="38"/>
      <c r="DD140" s="38"/>
      <c r="DE140" s="38"/>
      <c r="DF140" s="38"/>
      <c r="DG140" s="38"/>
      <c r="DH140" s="38"/>
      <c r="DI140" s="38"/>
      <c r="DJ140" s="38"/>
      <c r="DK140" s="38"/>
      <c r="DL140" s="38"/>
      <c r="DM140" s="38"/>
      <c r="DN140" s="38"/>
      <c r="DO140" s="38"/>
      <c r="DP140" s="38"/>
      <c r="DQ140" s="38"/>
      <c r="DR140" s="38"/>
      <c r="DS140" s="38"/>
      <c r="DT140" s="38"/>
      <c r="DU140" s="38"/>
      <c r="DV140" s="38"/>
      <c r="DW140" s="38"/>
      <c r="DX140" s="38"/>
      <c r="DY140" s="38"/>
      <c r="DZ140" s="38"/>
      <c r="EA140" s="38"/>
      <c r="EB140" s="38"/>
      <c r="EC140" s="38"/>
      <c r="ED140" s="38"/>
      <c r="EE140" s="38"/>
      <c r="EF140" s="38"/>
      <c r="EG140" s="38"/>
      <c r="EH140" s="38"/>
      <c r="EI140" s="38"/>
      <c r="EJ140" s="38"/>
      <c r="EK140" s="38"/>
      <c r="EL140" s="38"/>
      <c r="EM140" s="38"/>
      <c r="EN140" s="38"/>
      <c r="EO140" s="38"/>
      <c r="EP140" s="38"/>
      <c r="EQ140" s="38"/>
      <c r="ER140" s="38"/>
      <c r="ES140" s="38"/>
      <c r="ET140" s="38"/>
      <c r="EU140" s="38"/>
      <c r="EV140" s="38"/>
      <c r="EW140" s="38"/>
      <c r="EX140" s="38"/>
      <c r="EY140" s="38"/>
      <c r="EZ140" s="38"/>
      <c r="FA140" s="38"/>
      <c r="FB140" s="38"/>
      <c r="FC140" s="38"/>
      <c r="FD140" s="38"/>
      <c r="FE140" s="38"/>
      <c r="FF140" s="38"/>
      <c r="FG140" s="38"/>
      <c r="FH140" s="38"/>
      <c r="FI140" s="38"/>
      <c r="FJ140" s="38"/>
      <c r="FK140" s="38"/>
      <c r="FL140" s="38"/>
      <c r="FM140" s="38"/>
      <c r="FN140" s="38"/>
      <c r="FO140" s="38"/>
      <c r="FP140" s="38"/>
      <c r="FQ140" s="38"/>
      <c r="FR140" s="38"/>
      <c r="FS140" s="38"/>
      <c r="FT140" s="38"/>
      <c r="FU140" s="38"/>
      <c r="FV140" s="38"/>
      <c r="FW140" s="38"/>
      <c r="FX140" s="38"/>
      <c r="FY140" s="38"/>
      <c r="FZ140" s="38"/>
      <c r="GA140" s="38"/>
      <c r="GB140" s="38"/>
      <c r="GC140" s="38"/>
      <c r="GD140" s="38"/>
      <c r="GE140" s="38"/>
      <c r="GF140" s="38"/>
      <c r="GG140" s="38"/>
      <c r="GH140" s="38"/>
      <c r="GI140" s="38"/>
      <c r="GJ140" s="38"/>
      <c r="GK140" s="38"/>
      <c r="GL140" s="38"/>
      <c r="GM140" s="38"/>
      <c r="GN140" s="38"/>
      <c r="GO140" s="38"/>
      <c r="GP140" s="38"/>
      <c r="GQ140" s="38"/>
      <c r="GR140" s="38"/>
      <c r="GS140" s="38"/>
      <c r="GT140" s="38"/>
      <c r="GU140" s="38"/>
      <c r="GV140" s="38"/>
      <c r="GW140" s="38"/>
      <c r="GX140" s="38"/>
      <c r="GY140" s="38"/>
      <c r="GZ140" s="38"/>
      <c r="HA140" s="38"/>
      <c r="HB140" s="38"/>
      <c r="HC140" s="38"/>
      <c r="HD140" s="38"/>
      <c r="HE140" s="38"/>
      <c r="HF140" s="38"/>
      <c r="HG140" s="38"/>
      <c r="HH140" s="38"/>
      <c r="HI140" s="38"/>
      <c r="HJ140" s="38"/>
      <c r="HK140" s="38"/>
      <c r="HL140" s="38"/>
      <c r="HM140" s="38"/>
      <c r="HN140" s="38"/>
      <c r="HO140" s="38"/>
      <c r="HP140" s="38"/>
      <c r="HQ140" s="38"/>
      <c r="HR140" s="38"/>
      <c r="HS140" s="38"/>
      <c r="HT140" s="38"/>
      <c r="HU140" s="38"/>
      <c r="HV140" s="38"/>
      <c r="HW140" s="38"/>
      <c r="HX140" s="38"/>
      <c r="HY140" s="38"/>
      <c r="HZ140" s="38"/>
      <c r="IA140" s="38"/>
      <c r="IB140" s="38"/>
      <c r="IC140" s="38"/>
      <c r="ID140" s="38"/>
      <c r="IE140" s="38"/>
      <c r="IF140" s="38"/>
      <c r="IG140" s="38"/>
      <c r="IH140" s="38"/>
      <c r="II140" s="38"/>
      <c r="IJ140" s="38"/>
      <c r="IK140" s="38"/>
      <c r="IL140" s="38"/>
      <c r="IM140" s="38"/>
      <c r="IN140" s="38"/>
      <c r="IO140" s="38"/>
      <c r="IP140" s="38"/>
      <c r="IQ140" s="38"/>
      <c r="IR140" s="38"/>
      <c r="IS140" s="38"/>
      <c r="IT140" s="38"/>
      <c r="IU140" s="38"/>
      <c r="IV140" s="38"/>
      <c r="IW140" s="38"/>
      <c r="IX140" s="38"/>
      <c r="IY140" s="38"/>
      <c r="IZ140" s="38"/>
      <c r="JA140" s="38"/>
      <c r="JB140" s="38"/>
      <c r="JC140" s="38"/>
      <c r="JD140" s="38"/>
      <c r="JE140" s="38"/>
      <c r="JF140" s="38"/>
      <c r="JG140" s="38"/>
      <c r="JH140" s="38"/>
      <c r="JI140" s="38"/>
      <c r="JJ140" s="38"/>
      <c r="JK140" s="38"/>
      <c r="JL140" s="38"/>
      <c r="JM140" s="38"/>
      <c r="JN140" s="38"/>
      <c r="JO140" s="38"/>
      <c r="JP140" s="38"/>
      <c r="JQ140" s="38"/>
      <c r="JR140" s="38"/>
      <c r="JS140" s="38"/>
      <c r="JT140" s="38"/>
      <c r="JU140" s="38"/>
      <c r="JV140" s="38"/>
      <c r="JW140" s="38"/>
      <c r="JX140" s="38"/>
      <c r="JY140" s="38"/>
      <c r="JZ140" s="38"/>
      <c r="KA140" s="38"/>
      <c r="KB140" s="38"/>
      <c r="KC140" s="38"/>
      <c r="KD140" s="38"/>
      <c r="KE140" s="38"/>
      <c r="KF140" s="38"/>
      <c r="KG140" s="38"/>
      <c r="KH140" s="38"/>
      <c r="KI140" s="38"/>
      <c r="KJ140" s="38"/>
      <c r="KK140" s="38"/>
      <c r="KL140" s="38"/>
      <c r="KM140" s="38"/>
      <c r="KN140" s="38"/>
      <c r="KO140" s="38"/>
      <c r="KP140" s="38"/>
      <c r="KQ140" s="38"/>
      <c r="KR140" s="38"/>
      <c r="KS140" s="38"/>
      <c r="KT140" s="38"/>
      <c r="KU140" s="38"/>
      <c r="KV140" s="38"/>
      <c r="KW140" s="38"/>
      <c r="KX140" s="38"/>
      <c r="KY140" s="38"/>
      <c r="KZ140" s="38"/>
      <c r="LA140" s="38"/>
      <c r="LB140" s="38"/>
      <c r="LC140" s="38"/>
      <c r="LD140" s="38"/>
      <c r="LE140" s="38"/>
      <c r="LF140" s="38"/>
      <c r="LG140" s="38"/>
      <c r="LH140" s="38"/>
      <c r="LI140" s="38"/>
      <c r="LJ140" s="38"/>
      <c r="LK140" s="38"/>
      <c r="LL140" s="38"/>
      <c r="LM140" s="38"/>
      <c r="LN140" s="38"/>
      <c r="LO140" s="38"/>
      <c r="LP140" s="38"/>
      <c r="LQ140" s="38"/>
      <c r="LR140" s="38"/>
      <c r="LS140" s="38"/>
      <c r="LT140" s="38"/>
      <c r="LU140" s="38"/>
      <c r="LV140" s="38"/>
      <c r="LW140" s="38"/>
      <c r="LX140" s="38"/>
      <c r="LY140" s="38"/>
      <c r="LZ140" s="38"/>
      <c r="MA140" s="38"/>
      <c r="MB140" s="38"/>
      <c r="MC140" s="38"/>
      <c r="MD140" s="38"/>
      <c r="ME140" s="38"/>
      <c r="MF140" s="38"/>
      <c r="MG140" s="38"/>
      <c r="MH140" s="38"/>
      <c r="MI140" s="38"/>
      <c r="MJ140" s="38"/>
      <c r="MK140" s="38"/>
      <c r="ML140" s="38"/>
      <c r="MM140" s="38"/>
      <c r="MN140" s="38"/>
      <c r="MO140" s="38"/>
      <c r="MP140" s="38"/>
      <c r="MQ140" s="38"/>
      <c r="MR140" s="38"/>
      <c r="MS140" s="38"/>
      <c r="MT140" s="38"/>
      <c r="MU140" s="38"/>
      <c r="MV140" s="38"/>
      <c r="MW140" s="38"/>
      <c r="MX140" s="38"/>
      <c r="MY140" s="38"/>
      <c r="MZ140" s="38"/>
      <c r="NA140" s="38"/>
      <c r="NB140" s="38"/>
      <c r="NC140" s="38"/>
      <c r="ND140" s="38"/>
      <c r="NE140" s="38"/>
      <c r="NF140" s="38"/>
      <c r="NG140" s="38"/>
      <c r="NH140" s="38"/>
      <c r="NI140" s="38"/>
      <c r="NJ140" s="38"/>
      <c r="NK140" s="38"/>
      <c r="NL140" s="38"/>
      <c r="NM140" s="38"/>
      <c r="NN140" s="38"/>
      <c r="NO140" s="38"/>
      <c r="NP140" s="38"/>
      <c r="NQ140" s="38"/>
      <c r="NR140" s="38"/>
      <c r="NS140" s="38"/>
      <c r="NT140" s="38"/>
      <c r="NU140" s="38"/>
      <c r="NV140" s="38"/>
      <c r="NW140" s="38"/>
      <c r="NX140" s="38"/>
      <c r="NY140" s="38"/>
      <c r="NZ140" s="38"/>
      <c r="OA140" s="38"/>
      <c r="OB140" s="38"/>
      <c r="OC140" s="38"/>
      <c r="OD140" s="38"/>
      <c r="OE140" s="38"/>
      <c r="OF140" s="38"/>
      <c r="OG140" s="38"/>
      <c r="OH140" s="38"/>
      <c r="OI140" s="38"/>
      <c r="OJ140" s="38"/>
      <c r="OK140" s="38"/>
      <c r="OL140" s="38"/>
      <c r="OM140" s="38"/>
      <c r="ON140" s="38"/>
      <c r="OO140" s="38"/>
      <c r="OP140" s="38"/>
      <c r="OQ140" s="38"/>
      <c r="OR140" s="38"/>
      <c r="OS140" s="38"/>
      <c r="OT140" s="38"/>
      <c r="OU140" s="38"/>
      <c r="OV140" s="38"/>
      <c r="OW140" s="38"/>
      <c r="OX140" s="38"/>
      <c r="OY140" s="38"/>
      <c r="OZ140" s="38"/>
      <c r="PA140" s="38"/>
      <c r="PB140" s="38"/>
      <c r="PC140" s="38"/>
      <c r="PD140" s="38"/>
      <c r="PE140" s="38"/>
      <c r="PF140" s="38"/>
      <c r="PG140" s="38"/>
      <c r="PH140" s="38"/>
      <c r="PI140" s="38"/>
      <c r="PJ140" s="38"/>
      <c r="PK140" s="38"/>
      <c r="PL140" s="38"/>
      <c r="PM140" s="38"/>
      <c r="PN140" s="38"/>
      <c r="PO140" s="38"/>
      <c r="PP140" s="38"/>
      <c r="PQ140" s="38"/>
      <c r="PR140" s="38"/>
      <c r="PS140" s="38"/>
      <c r="PT140" s="38"/>
      <c r="PU140" s="38"/>
      <c r="PV140" s="38"/>
      <c r="PW140" s="38"/>
      <c r="PX140" s="38"/>
      <c r="PY140" s="38"/>
      <c r="PZ140" s="38"/>
      <c r="QA140" s="38"/>
      <c r="QB140" s="38"/>
      <c r="QC140" s="38"/>
      <c r="QD140" s="38"/>
      <c r="QE140" s="38"/>
      <c r="QF140" s="38"/>
      <c r="QG140" s="38"/>
      <c r="QH140" s="38"/>
      <c r="QI140" s="38"/>
      <c r="QJ140" s="38"/>
      <c r="QK140" s="38"/>
      <c r="QL140" s="38"/>
      <c r="QM140" s="38"/>
      <c r="QN140" s="38"/>
      <c r="QO140" s="38"/>
      <c r="QP140" s="38"/>
      <c r="QQ140" s="38"/>
      <c r="QR140" s="38"/>
      <c r="QS140" s="38"/>
      <c r="QT140" s="38"/>
      <c r="QU140" s="38"/>
      <c r="QV140" s="38"/>
      <c r="QW140" s="38"/>
      <c r="QX140" s="38"/>
      <c r="QY140" s="38"/>
      <c r="QZ140" s="38"/>
      <c r="RA140" s="38"/>
      <c r="RB140" s="38"/>
      <c r="RC140" s="38"/>
      <c r="RD140" s="38"/>
      <c r="RE140" s="38"/>
      <c r="RF140" s="38"/>
      <c r="RG140" s="38"/>
      <c r="RH140" s="38"/>
      <c r="RI140" s="38"/>
      <c r="RJ140" s="38"/>
      <c r="RK140" s="38"/>
      <c r="RL140" s="38"/>
      <c r="RM140" s="38"/>
      <c r="RN140" s="38"/>
      <c r="RO140" s="38"/>
      <c r="RP140" s="38"/>
      <c r="RQ140" s="38"/>
      <c r="RR140" s="38"/>
      <c r="RS140" s="38"/>
      <c r="RT140" s="38"/>
      <c r="RU140" s="38"/>
      <c r="RV140" s="38"/>
      <c r="RW140" s="38"/>
      <c r="RX140" s="38"/>
      <c r="RY140" s="38"/>
      <c r="RZ140" s="38"/>
      <c r="SA140" s="38"/>
      <c r="SB140" s="38"/>
      <c r="SC140" s="38"/>
      <c r="SD140" s="38"/>
      <c r="SE140" s="38"/>
      <c r="SF140" s="38"/>
      <c r="SG140" s="38"/>
      <c r="SH140" s="38"/>
      <c r="SI140" s="38"/>
      <c r="SJ140" s="38"/>
      <c r="SK140" s="38"/>
      <c r="SL140" s="38"/>
      <c r="SM140" s="38"/>
      <c r="SN140" s="38"/>
      <c r="SO140" s="38"/>
      <c r="SP140" s="38"/>
      <c r="SQ140" s="38"/>
      <c r="SR140" s="38"/>
      <c r="SS140" s="38"/>
      <c r="ST140" s="38"/>
      <c r="SU140" s="38"/>
      <c r="SV140" s="38"/>
      <c r="SW140" s="38"/>
      <c r="SX140" s="38"/>
      <c r="SY140" s="38"/>
      <c r="SZ140" s="38"/>
      <c r="TA140" s="38"/>
      <c r="TB140" s="38"/>
      <c r="TC140" s="38"/>
      <c r="TD140" s="38"/>
      <c r="TE140" s="38"/>
      <c r="TF140" s="38"/>
      <c r="TG140" s="38"/>
      <c r="TH140" s="38"/>
      <c r="TI140" s="38"/>
      <c r="TJ140" s="38"/>
      <c r="TK140" s="38"/>
      <c r="TL140" s="38"/>
      <c r="TM140" s="38"/>
      <c r="TN140" s="38"/>
      <c r="TO140" s="38"/>
      <c r="TP140" s="38"/>
      <c r="TQ140" s="38"/>
      <c r="TR140" s="38"/>
      <c r="TS140" s="38"/>
      <c r="TT140" s="38"/>
      <c r="TU140" s="38"/>
      <c r="TV140" s="38"/>
      <c r="TW140" s="38"/>
      <c r="TX140" s="38"/>
      <c r="TY140" s="38"/>
      <c r="TZ140" s="38"/>
      <c r="UA140" s="38"/>
      <c r="UB140" s="38"/>
      <c r="UC140" s="38"/>
      <c r="UD140" s="38"/>
      <c r="UE140" s="38"/>
      <c r="UF140" s="38"/>
      <c r="UG140" s="38"/>
      <c r="UH140" s="38"/>
      <c r="UI140" s="38"/>
      <c r="UJ140" s="38"/>
      <c r="UK140" s="38"/>
      <c r="UL140" s="38"/>
      <c r="UM140" s="38"/>
      <c r="UN140" s="38"/>
      <c r="UO140" s="38"/>
      <c r="UP140" s="38"/>
      <c r="UQ140" s="38"/>
      <c r="UR140" s="38"/>
      <c r="US140" s="38"/>
      <c r="UT140" s="38"/>
      <c r="UU140" s="38"/>
      <c r="UV140" s="38"/>
      <c r="UW140" s="38"/>
      <c r="UX140" s="38"/>
      <c r="UY140" s="38"/>
      <c r="UZ140" s="38"/>
      <c r="VA140" s="38"/>
      <c r="VB140" s="38"/>
      <c r="VC140" s="38"/>
      <c r="VD140" s="38"/>
      <c r="VE140" s="38"/>
      <c r="VF140" s="38"/>
      <c r="VG140" s="38"/>
      <c r="VH140" s="38"/>
      <c r="VI140" s="38"/>
      <c r="VJ140" s="38"/>
      <c r="VK140" s="38"/>
      <c r="VL140" s="38"/>
      <c r="VM140" s="38"/>
      <c r="VN140" s="38"/>
      <c r="VO140" s="38"/>
      <c r="VP140" s="38"/>
      <c r="VQ140" s="38"/>
      <c r="VR140" s="38"/>
      <c r="VS140" s="38"/>
      <c r="VT140" s="38"/>
      <c r="VU140" s="38"/>
      <c r="VV140" s="38"/>
      <c r="VW140" s="38"/>
      <c r="VX140" s="38"/>
      <c r="VY140" s="38"/>
      <c r="VZ140" s="38"/>
      <c r="WA140" s="38"/>
      <c r="WB140" s="38"/>
      <c r="WC140" s="38"/>
      <c r="WD140" s="38"/>
      <c r="WE140" s="38"/>
      <c r="WF140" s="38"/>
      <c r="WG140" s="38"/>
      <c r="WH140" s="38"/>
      <c r="WI140" s="38"/>
      <c r="WJ140" s="38"/>
      <c r="WK140" s="38"/>
      <c r="WL140" s="38"/>
      <c r="WM140" s="38"/>
      <c r="WN140" s="38"/>
      <c r="WO140" s="38"/>
      <c r="WP140" s="38"/>
      <c r="WQ140" s="38"/>
      <c r="WR140" s="38"/>
      <c r="WS140" s="38"/>
      <c r="WT140" s="38"/>
      <c r="WU140" s="38"/>
      <c r="WV140" s="38"/>
      <c r="WW140" s="38"/>
      <c r="WX140" s="38"/>
      <c r="WY140" s="38"/>
      <c r="WZ140" s="38"/>
      <c r="XA140" s="38"/>
      <c r="XB140" s="38"/>
      <c r="XC140" s="38"/>
      <c r="XD140" s="38"/>
      <c r="XE140" s="38"/>
      <c r="XF140" s="38"/>
      <c r="XG140" s="38"/>
      <c r="XH140" s="38"/>
      <c r="XI140" s="38"/>
      <c r="XJ140" s="38"/>
      <c r="XK140" s="38"/>
      <c r="XL140" s="38"/>
      <c r="XM140" s="38"/>
      <c r="XN140" s="38"/>
      <c r="XO140" s="38"/>
      <c r="XP140" s="38"/>
      <c r="XQ140" s="38"/>
      <c r="XR140" s="38"/>
      <c r="XS140" s="38"/>
      <c r="XT140" s="38"/>
      <c r="XU140" s="38"/>
      <c r="XV140" s="38"/>
      <c r="XW140" s="38"/>
      <c r="XX140" s="38"/>
      <c r="XY140" s="38"/>
      <c r="XZ140" s="38"/>
      <c r="YA140" s="38"/>
      <c r="YB140" s="38"/>
      <c r="YC140" s="38"/>
      <c r="YD140" s="38"/>
      <c r="YE140" s="38"/>
      <c r="YF140" s="38"/>
      <c r="YG140" s="38"/>
      <c r="YH140" s="38"/>
      <c r="YI140" s="38"/>
      <c r="YJ140" s="38"/>
      <c r="YK140" s="38"/>
      <c r="YL140" s="38"/>
      <c r="YM140" s="38"/>
      <c r="YN140" s="38"/>
      <c r="YO140" s="38"/>
      <c r="YP140" s="38"/>
      <c r="YQ140" s="38"/>
      <c r="YR140" s="38"/>
      <c r="YS140" s="38"/>
      <c r="YT140" s="38"/>
      <c r="YU140" s="38"/>
      <c r="YV140" s="38"/>
      <c r="YW140" s="38"/>
      <c r="YX140" s="38"/>
      <c r="YY140" s="38"/>
      <c r="YZ140" s="38"/>
      <c r="ZA140" s="38"/>
      <c r="ZB140" s="38"/>
      <c r="ZC140" s="38"/>
      <c r="ZD140" s="38"/>
      <c r="ZE140" s="38"/>
      <c r="ZF140" s="38"/>
      <c r="ZG140" s="38"/>
      <c r="ZH140" s="38"/>
      <c r="ZI140" s="38"/>
      <c r="ZJ140" s="38"/>
      <c r="ZK140" s="38"/>
      <c r="ZL140" s="38"/>
      <c r="ZM140" s="38"/>
      <c r="ZN140" s="38"/>
      <c r="ZO140" s="38"/>
      <c r="ZP140" s="38"/>
      <c r="ZQ140" s="38"/>
      <c r="ZR140" s="38"/>
      <c r="ZS140" s="38"/>
      <c r="ZT140" s="38"/>
      <c r="ZU140" s="38"/>
      <c r="ZV140" s="38"/>
      <c r="ZW140" s="38"/>
      <c r="ZX140" s="38"/>
      <c r="ZY140" s="38"/>
      <c r="ZZ140" s="38"/>
      <c r="AAA140" s="38"/>
      <c r="AAB140" s="38"/>
      <c r="AAC140" s="38"/>
      <c r="AAD140" s="38"/>
      <c r="AAE140" s="38"/>
      <c r="AAF140" s="38"/>
      <c r="AAG140" s="38"/>
      <c r="AAH140" s="38"/>
      <c r="AAI140" s="38"/>
      <c r="AAJ140" s="38"/>
      <c r="AAK140" s="38"/>
      <c r="AAL140" s="38"/>
      <c r="AAM140" s="38"/>
      <c r="AAN140" s="38"/>
      <c r="AAO140" s="38"/>
      <c r="AAP140" s="38"/>
      <c r="AAQ140" s="38"/>
      <c r="AAR140" s="38"/>
      <c r="AAS140" s="38"/>
      <c r="AAT140" s="38"/>
      <c r="AAU140" s="38"/>
      <c r="AAV140" s="38"/>
      <c r="AAW140" s="38"/>
      <c r="AAX140" s="38"/>
      <c r="AAY140" s="38"/>
      <c r="AAZ140" s="38"/>
      <c r="ABA140" s="38"/>
      <c r="ABB140" s="38"/>
      <c r="ABC140" s="38"/>
      <c r="ABD140" s="38"/>
      <c r="ABE140" s="38"/>
      <c r="ABF140" s="38"/>
      <c r="ABG140" s="38"/>
      <c r="ABH140" s="38"/>
      <c r="ABI140" s="38"/>
      <c r="ABJ140" s="38"/>
      <c r="ABK140" s="38"/>
      <c r="ABL140" s="38"/>
      <c r="ABM140" s="38"/>
      <c r="ABN140" s="38"/>
      <c r="ABO140" s="38"/>
      <c r="ABP140" s="38"/>
      <c r="ABQ140" s="38"/>
      <c r="ABR140" s="38"/>
      <c r="ABS140" s="38"/>
      <c r="ABT140" s="38"/>
      <c r="ABU140" s="38"/>
      <c r="ABV140" s="38"/>
      <c r="ABW140" s="38"/>
      <c r="ABX140" s="38"/>
      <c r="ABY140" s="38"/>
      <c r="ABZ140" s="38"/>
      <c r="ACA140" s="38"/>
      <c r="ACB140" s="38"/>
      <c r="ACC140" s="38"/>
      <c r="ACD140" s="38"/>
      <c r="ACE140" s="38"/>
      <c r="ACF140" s="38"/>
      <c r="ACG140" s="38"/>
      <c r="ACH140" s="38"/>
      <c r="ACI140" s="38"/>
      <c r="ACJ140" s="38"/>
      <c r="ACK140" s="38"/>
      <c r="ACL140" s="38"/>
      <c r="ACM140" s="38"/>
      <c r="ACN140" s="38"/>
      <c r="ACO140" s="38"/>
      <c r="ACP140" s="38"/>
      <c r="ACQ140" s="38"/>
      <c r="ACR140" s="38"/>
      <c r="ACS140" s="38"/>
      <c r="ACT140" s="38"/>
      <c r="ACU140" s="38"/>
      <c r="ACV140" s="38"/>
      <c r="ACW140" s="38"/>
      <c r="ACX140" s="38"/>
      <c r="ACY140" s="38"/>
      <c r="ACZ140" s="38"/>
      <c r="ADA140" s="38"/>
      <c r="ADB140" s="38"/>
      <c r="ADC140" s="38"/>
      <c r="ADD140" s="38"/>
      <c r="ADE140" s="38"/>
      <c r="ADF140" s="38"/>
      <c r="ADG140" s="38"/>
      <c r="ADH140" s="38"/>
      <c r="ADI140" s="38"/>
      <c r="ADJ140" s="38"/>
      <c r="ADK140" s="38"/>
      <c r="ADL140" s="38"/>
      <c r="ADM140" s="38"/>
      <c r="ADN140" s="38"/>
      <c r="ADO140" s="38"/>
      <c r="ADP140" s="38"/>
      <c r="ADQ140" s="38"/>
      <c r="ADR140" s="38"/>
      <c r="ADS140" s="38"/>
      <c r="ADT140" s="38"/>
      <c r="ADU140" s="38"/>
      <c r="ADV140" s="38"/>
      <c r="ADW140" s="38"/>
      <c r="ADX140" s="38"/>
      <c r="ADY140" s="38"/>
      <c r="ADZ140" s="38"/>
      <c r="AEA140" s="38"/>
      <c r="AEB140" s="38"/>
      <c r="AEC140" s="38"/>
      <c r="AED140" s="38"/>
      <c r="AEE140" s="38"/>
      <c r="AEF140" s="38"/>
      <c r="AEG140" s="38"/>
      <c r="AEH140" s="38"/>
      <c r="AEI140" s="38"/>
      <c r="AEJ140" s="38"/>
      <c r="AEK140" s="38"/>
      <c r="AEL140" s="38"/>
      <c r="AEM140" s="38"/>
      <c r="AEN140" s="38"/>
      <c r="AEO140" s="38"/>
      <c r="AEP140" s="38"/>
      <c r="AEQ140" s="38"/>
      <c r="AER140" s="38"/>
      <c r="AES140" s="38"/>
      <c r="AET140" s="38"/>
      <c r="AEU140" s="38"/>
      <c r="AEV140" s="38"/>
      <c r="AEW140" s="38"/>
      <c r="AEX140" s="38"/>
      <c r="AEY140" s="38"/>
      <c r="AEZ140" s="38"/>
      <c r="AFA140" s="38"/>
      <c r="AFB140" s="38"/>
      <c r="AFC140" s="38"/>
      <c r="AFD140" s="38"/>
      <c r="AFE140" s="38"/>
      <c r="AFF140" s="38"/>
      <c r="AFG140" s="38"/>
      <c r="AFH140" s="38"/>
      <c r="AFI140" s="38"/>
      <c r="AFJ140" s="38"/>
      <c r="AFK140" s="38"/>
      <c r="AFL140" s="38"/>
      <c r="AFM140" s="38"/>
      <c r="AFN140" s="38"/>
      <c r="AFO140" s="38"/>
      <c r="AFP140" s="38"/>
      <c r="AFQ140" s="38"/>
      <c r="AFR140" s="38"/>
      <c r="AFS140" s="38"/>
      <c r="AFT140" s="38"/>
      <c r="AFU140" s="38"/>
      <c r="AFV140" s="38"/>
      <c r="AFW140" s="38"/>
      <c r="AFX140" s="38"/>
      <c r="AFY140" s="38"/>
      <c r="AFZ140" s="38"/>
      <c r="AGA140" s="38"/>
      <c r="AGB140" s="38"/>
      <c r="AGC140" s="38"/>
      <c r="AGD140" s="38"/>
      <c r="AGE140" s="38"/>
      <c r="AGF140" s="38"/>
      <c r="AGG140" s="38"/>
      <c r="AGH140" s="38"/>
      <c r="AGI140" s="38"/>
      <c r="AGJ140" s="38"/>
      <c r="AGK140" s="38"/>
      <c r="AGL140" s="38"/>
      <c r="AGM140" s="38"/>
      <c r="AGN140" s="38"/>
      <c r="AGO140" s="38"/>
      <c r="AGP140" s="38"/>
      <c r="AGQ140" s="38"/>
      <c r="AGR140" s="38"/>
      <c r="AGS140" s="38"/>
      <c r="AGT140" s="38"/>
      <c r="AGU140" s="38"/>
      <c r="AGV140" s="38"/>
      <c r="AGW140" s="38"/>
      <c r="AGX140" s="38"/>
      <c r="AGY140" s="38"/>
      <c r="AGZ140" s="38"/>
      <c r="AHA140" s="38"/>
      <c r="AHB140" s="38"/>
      <c r="AHC140" s="38"/>
      <c r="AHD140" s="38"/>
      <c r="AHE140" s="38"/>
      <c r="AHF140" s="38"/>
      <c r="AHG140" s="38"/>
      <c r="AHH140" s="38"/>
      <c r="AHI140" s="38"/>
      <c r="AHJ140" s="38"/>
      <c r="AHK140" s="38"/>
      <c r="AHL140" s="38"/>
      <c r="AHM140" s="38"/>
      <c r="AHN140" s="38"/>
      <c r="AHO140" s="38"/>
      <c r="AHP140" s="38"/>
      <c r="AHQ140" s="38"/>
      <c r="AHR140" s="38"/>
      <c r="AHS140" s="38"/>
      <c r="AHT140" s="38"/>
      <c r="AHU140" s="38"/>
      <c r="AHV140" s="38"/>
    </row>
    <row r="141" spans="1:906" s="27" customFormat="1" x14ac:dyDescent="0.35">
      <c r="A141" s="84">
        <v>136</v>
      </c>
      <c r="B141" s="108" t="s">
        <v>229</v>
      </c>
      <c r="C141" s="109"/>
      <c r="D141" s="109" t="s">
        <v>15</v>
      </c>
      <c r="E141" s="125">
        <v>28.93</v>
      </c>
      <c r="F141" s="125">
        <v>23.95</v>
      </c>
      <c r="G141" s="125"/>
      <c r="H141" s="125"/>
      <c r="I141" s="37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  <c r="BN141" s="38"/>
      <c r="BO141" s="38"/>
      <c r="BP141" s="38"/>
      <c r="BQ141" s="38"/>
      <c r="BR141" s="38"/>
      <c r="BS141" s="38"/>
      <c r="BT141" s="38"/>
      <c r="BU141" s="38"/>
      <c r="BV141" s="38"/>
      <c r="BW141" s="38"/>
      <c r="BX141" s="38"/>
      <c r="BY141" s="38"/>
      <c r="BZ141" s="38"/>
      <c r="CA141" s="38"/>
      <c r="CB141" s="38"/>
      <c r="CC141" s="38"/>
      <c r="CD141" s="38"/>
      <c r="CE141" s="38"/>
      <c r="CF141" s="38"/>
      <c r="CG141" s="38"/>
      <c r="CH141" s="38"/>
      <c r="CI141" s="38"/>
      <c r="CJ141" s="38"/>
      <c r="CK141" s="38"/>
      <c r="CL141" s="38"/>
      <c r="CM141" s="38"/>
      <c r="CN141" s="38"/>
      <c r="CO141" s="38"/>
      <c r="CP141" s="38"/>
      <c r="CQ141" s="38"/>
      <c r="CR141" s="38"/>
      <c r="CS141" s="38"/>
      <c r="CT141" s="38"/>
      <c r="CU141" s="38"/>
      <c r="CV141" s="38"/>
      <c r="CW141" s="38"/>
      <c r="CX141" s="38"/>
      <c r="CY141" s="38"/>
      <c r="CZ141" s="38"/>
      <c r="DA141" s="38"/>
      <c r="DB141" s="38"/>
      <c r="DC141" s="38"/>
      <c r="DD141" s="38"/>
      <c r="DE141" s="38"/>
      <c r="DF141" s="38"/>
      <c r="DG141" s="38"/>
      <c r="DH141" s="38"/>
      <c r="DI141" s="38"/>
      <c r="DJ141" s="38"/>
      <c r="DK141" s="38"/>
      <c r="DL141" s="38"/>
      <c r="DM141" s="38"/>
      <c r="DN141" s="38"/>
      <c r="DO141" s="38"/>
      <c r="DP141" s="38"/>
      <c r="DQ141" s="38"/>
      <c r="DR141" s="38"/>
      <c r="DS141" s="38"/>
      <c r="DT141" s="38"/>
      <c r="DU141" s="38"/>
      <c r="DV141" s="38"/>
      <c r="DW141" s="38"/>
      <c r="DX141" s="38"/>
      <c r="DY141" s="38"/>
      <c r="DZ141" s="38"/>
      <c r="EA141" s="38"/>
      <c r="EB141" s="38"/>
      <c r="EC141" s="38"/>
      <c r="ED141" s="38"/>
      <c r="EE141" s="38"/>
      <c r="EF141" s="38"/>
      <c r="EG141" s="38"/>
      <c r="EH141" s="38"/>
      <c r="EI141" s="38"/>
      <c r="EJ141" s="38"/>
      <c r="EK141" s="38"/>
      <c r="EL141" s="38"/>
      <c r="EM141" s="38"/>
      <c r="EN141" s="38"/>
      <c r="EO141" s="38"/>
      <c r="EP141" s="38"/>
      <c r="EQ141" s="38"/>
      <c r="ER141" s="38"/>
      <c r="ES141" s="38"/>
      <c r="ET141" s="38"/>
      <c r="EU141" s="38"/>
      <c r="EV141" s="38"/>
      <c r="EW141" s="38"/>
      <c r="EX141" s="38"/>
      <c r="EY141" s="38"/>
      <c r="EZ141" s="38"/>
      <c r="FA141" s="38"/>
      <c r="FB141" s="38"/>
      <c r="FC141" s="38"/>
      <c r="FD141" s="38"/>
      <c r="FE141" s="38"/>
      <c r="FF141" s="38"/>
      <c r="FG141" s="38"/>
      <c r="FH141" s="38"/>
      <c r="FI141" s="38"/>
      <c r="FJ141" s="38"/>
      <c r="FK141" s="38"/>
      <c r="FL141" s="38"/>
      <c r="FM141" s="38"/>
      <c r="FN141" s="38"/>
      <c r="FO141" s="38"/>
      <c r="FP141" s="38"/>
      <c r="FQ141" s="38"/>
      <c r="FR141" s="38"/>
      <c r="FS141" s="38"/>
      <c r="FT141" s="38"/>
      <c r="FU141" s="38"/>
      <c r="FV141" s="38"/>
      <c r="FW141" s="38"/>
      <c r="FX141" s="38"/>
      <c r="FY141" s="38"/>
      <c r="FZ141" s="38"/>
      <c r="GA141" s="38"/>
      <c r="GB141" s="38"/>
      <c r="GC141" s="38"/>
      <c r="GD141" s="38"/>
      <c r="GE141" s="38"/>
      <c r="GF141" s="38"/>
      <c r="GG141" s="38"/>
      <c r="GH141" s="38"/>
      <c r="GI141" s="38"/>
      <c r="GJ141" s="38"/>
      <c r="GK141" s="38"/>
      <c r="GL141" s="38"/>
      <c r="GM141" s="38"/>
      <c r="GN141" s="38"/>
      <c r="GO141" s="38"/>
      <c r="GP141" s="38"/>
      <c r="GQ141" s="38"/>
      <c r="GR141" s="38"/>
      <c r="GS141" s="38"/>
      <c r="GT141" s="38"/>
      <c r="GU141" s="38"/>
      <c r="GV141" s="38"/>
      <c r="GW141" s="38"/>
      <c r="GX141" s="38"/>
      <c r="GY141" s="38"/>
      <c r="GZ141" s="38"/>
      <c r="HA141" s="38"/>
      <c r="HB141" s="38"/>
      <c r="HC141" s="38"/>
      <c r="HD141" s="38"/>
      <c r="HE141" s="38"/>
      <c r="HF141" s="38"/>
      <c r="HG141" s="38"/>
      <c r="HH141" s="38"/>
      <c r="HI141" s="38"/>
      <c r="HJ141" s="38"/>
      <c r="HK141" s="38"/>
      <c r="HL141" s="38"/>
      <c r="HM141" s="38"/>
      <c r="HN141" s="38"/>
      <c r="HO141" s="38"/>
      <c r="HP141" s="38"/>
      <c r="HQ141" s="38"/>
      <c r="HR141" s="38"/>
      <c r="HS141" s="38"/>
      <c r="HT141" s="38"/>
      <c r="HU141" s="38"/>
      <c r="HV141" s="38"/>
      <c r="HW141" s="38"/>
      <c r="HX141" s="38"/>
      <c r="HY141" s="38"/>
      <c r="HZ141" s="38"/>
      <c r="IA141" s="38"/>
      <c r="IB141" s="38"/>
      <c r="IC141" s="38"/>
      <c r="ID141" s="38"/>
      <c r="IE141" s="38"/>
      <c r="IF141" s="38"/>
      <c r="IG141" s="38"/>
      <c r="IH141" s="38"/>
      <c r="II141" s="38"/>
      <c r="IJ141" s="38"/>
      <c r="IK141" s="38"/>
      <c r="IL141" s="38"/>
      <c r="IM141" s="38"/>
      <c r="IN141" s="38"/>
      <c r="IO141" s="38"/>
      <c r="IP141" s="38"/>
      <c r="IQ141" s="38"/>
      <c r="IR141" s="38"/>
      <c r="IS141" s="38"/>
      <c r="IT141" s="38"/>
      <c r="IU141" s="38"/>
      <c r="IV141" s="38"/>
      <c r="IW141" s="38"/>
      <c r="IX141" s="38"/>
      <c r="IY141" s="38"/>
      <c r="IZ141" s="38"/>
      <c r="JA141" s="38"/>
      <c r="JB141" s="38"/>
      <c r="JC141" s="38"/>
      <c r="JD141" s="38"/>
      <c r="JE141" s="38"/>
      <c r="JF141" s="38"/>
      <c r="JG141" s="38"/>
      <c r="JH141" s="38"/>
      <c r="JI141" s="38"/>
      <c r="JJ141" s="38"/>
      <c r="JK141" s="38"/>
      <c r="JL141" s="38"/>
      <c r="JM141" s="38"/>
      <c r="JN141" s="38"/>
      <c r="JO141" s="38"/>
      <c r="JP141" s="38"/>
      <c r="JQ141" s="38"/>
      <c r="JR141" s="38"/>
      <c r="JS141" s="38"/>
      <c r="JT141" s="38"/>
      <c r="JU141" s="38"/>
      <c r="JV141" s="38"/>
      <c r="JW141" s="38"/>
      <c r="JX141" s="38"/>
      <c r="JY141" s="38"/>
      <c r="JZ141" s="38"/>
      <c r="KA141" s="38"/>
      <c r="KB141" s="38"/>
      <c r="KC141" s="38"/>
      <c r="KD141" s="38"/>
      <c r="KE141" s="38"/>
      <c r="KF141" s="38"/>
      <c r="KG141" s="38"/>
      <c r="KH141" s="38"/>
      <c r="KI141" s="38"/>
      <c r="KJ141" s="38"/>
      <c r="KK141" s="38"/>
      <c r="KL141" s="38"/>
      <c r="KM141" s="38"/>
      <c r="KN141" s="38"/>
      <c r="KO141" s="38"/>
      <c r="KP141" s="38"/>
      <c r="KQ141" s="38"/>
      <c r="KR141" s="38"/>
      <c r="KS141" s="38"/>
      <c r="KT141" s="38"/>
      <c r="KU141" s="38"/>
      <c r="KV141" s="38"/>
      <c r="KW141" s="38"/>
      <c r="KX141" s="38"/>
      <c r="KY141" s="38"/>
      <c r="KZ141" s="38"/>
      <c r="LA141" s="38"/>
      <c r="LB141" s="38"/>
      <c r="LC141" s="38"/>
      <c r="LD141" s="38"/>
      <c r="LE141" s="38"/>
      <c r="LF141" s="38"/>
      <c r="LG141" s="38"/>
      <c r="LH141" s="38"/>
      <c r="LI141" s="38"/>
      <c r="LJ141" s="38"/>
      <c r="LK141" s="38"/>
      <c r="LL141" s="38"/>
      <c r="LM141" s="38"/>
      <c r="LN141" s="38"/>
      <c r="LO141" s="38"/>
      <c r="LP141" s="38"/>
      <c r="LQ141" s="38"/>
      <c r="LR141" s="38"/>
      <c r="LS141" s="38"/>
      <c r="LT141" s="38"/>
      <c r="LU141" s="38"/>
      <c r="LV141" s="38"/>
      <c r="LW141" s="38"/>
      <c r="LX141" s="38"/>
      <c r="LY141" s="38"/>
      <c r="LZ141" s="38"/>
      <c r="MA141" s="38"/>
      <c r="MB141" s="38"/>
      <c r="MC141" s="38"/>
      <c r="MD141" s="38"/>
      <c r="ME141" s="38"/>
      <c r="MF141" s="38"/>
      <c r="MG141" s="38"/>
      <c r="MH141" s="38"/>
      <c r="MI141" s="38"/>
      <c r="MJ141" s="38"/>
      <c r="MK141" s="38"/>
      <c r="ML141" s="38"/>
      <c r="MM141" s="38"/>
      <c r="MN141" s="38"/>
      <c r="MO141" s="38"/>
      <c r="MP141" s="38"/>
      <c r="MQ141" s="38"/>
      <c r="MR141" s="38"/>
      <c r="MS141" s="38"/>
      <c r="MT141" s="38"/>
      <c r="MU141" s="38"/>
      <c r="MV141" s="38"/>
      <c r="MW141" s="38"/>
      <c r="MX141" s="38"/>
      <c r="MY141" s="38"/>
      <c r="MZ141" s="38"/>
      <c r="NA141" s="38"/>
      <c r="NB141" s="38"/>
      <c r="NC141" s="38"/>
      <c r="ND141" s="38"/>
      <c r="NE141" s="38"/>
      <c r="NF141" s="38"/>
      <c r="NG141" s="38"/>
      <c r="NH141" s="38"/>
      <c r="NI141" s="38"/>
      <c r="NJ141" s="38"/>
      <c r="NK141" s="38"/>
      <c r="NL141" s="38"/>
      <c r="NM141" s="38"/>
      <c r="NN141" s="38"/>
      <c r="NO141" s="38"/>
      <c r="NP141" s="38"/>
      <c r="NQ141" s="38"/>
      <c r="NR141" s="38"/>
      <c r="NS141" s="38"/>
      <c r="NT141" s="38"/>
      <c r="NU141" s="38"/>
      <c r="NV141" s="38"/>
      <c r="NW141" s="38"/>
      <c r="NX141" s="38"/>
      <c r="NY141" s="38"/>
      <c r="NZ141" s="38"/>
      <c r="OA141" s="38"/>
      <c r="OB141" s="38"/>
      <c r="OC141" s="38"/>
      <c r="OD141" s="38"/>
      <c r="OE141" s="38"/>
      <c r="OF141" s="38"/>
      <c r="OG141" s="38"/>
      <c r="OH141" s="38"/>
      <c r="OI141" s="38"/>
      <c r="OJ141" s="38"/>
      <c r="OK141" s="38"/>
      <c r="OL141" s="38"/>
      <c r="OM141" s="38"/>
      <c r="ON141" s="38"/>
      <c r="OO141" s="38"/>
      <c r="OP141" s="38"/>
      <c r="OQ141" s="38"/>
      <c r="OR141" s="38"/>
      <c r="OS141" s="38"/>
      <c r="OT141" s="38"/>
      <c r="OU141" s="38"/>
      <c r="OV141" s="38"/>
      <c r="OW141" s="38"/>
      <c r="OX141" s="38"/>
      <c r="OY141" s="38"/>
      <c r="OZ141" s="38"/>
      <c r="PA141" s="38"/>
      <c r="PB141" s="38"/>
      <c r="PC141" s="38"/>
      <c r="PD141" s="38"/>
      <c r="PE141" s="38"/>
      <c r="PF141" s="38"/>
      <c r="PG141" s="38"/>
      <c r="PH141" s="38"/>
      <c r="PI141" s="38"/>
      <c r="PJ141" s="38"/>
      <c r="PK141" s="38"/>
      <c r="PL141" s="38"/>
      <c r="PM141" s="38"/>
      <c r="PN141" s="38"/>
      <c r="PO141" s="38"/>
      <c r="PP141" s="38"/>
      <c r="PQ141" s="38"/>
      <c r="PR141" s="38"/>
      <c r="PS141" s="38"/>
      <c r="PT141" s="38"/>
      <c r="PU141" s="38"/>
      <c r="PV141" s="38"/>
      <c r="PW141" s="38"/>
      <c r="PX141" s="38"/>
      <c r="PY141" s="38"/>
      <c r="PZ141" s="38"/>
      <c r="QA141" s="38"/>
      <c r="QB141" s="38"/>
      <c r="QC141" s="38"/>
      <c r="QD141" s="38"/>
      <c r="QE141" s="38"/>
      <c r="QF141" s="38"/>
      <c r="QG141" s="38"/>
      <c r="QH141" s="38"/>
      <c r="QI141" s="38"/>
      <c r="QJ141" s="38"/>
      <c r="QK141" s="38"/>
      <c r="QL141" s="38"/>
      <c r="QM141" s="38"/>
      <c r="QN141" s="38"/>
      <c r="QO141" s="38"/>
      <c r="QP141" s="38"/>
      <c r="QQ141" s="38"/>
      <c r="QR141" s="38"/>
      <c r="QS141" s="38"/>
      <c r="QT141" s="38"/>
      <c r="QU141" s="38"/>
      <c r="QV141" s="38"/>
      <c r="QW141" s="38"/>
      <c r="QX141" s="38"/>
      <c r="QY141" s="38"/>
      <c r="QZ141" s="38"/>
      <c r="RA141" s="38"/>
      <c r="RB141" s="38"/>
      <c r="RC141" s="38"/>
      <c r="RD141" s="38"/>
      <c r="RE141" s="38"/>
      <c r="RF141" s="38"/>
      <c r="RG141" s="38"/>
      <c r="RH141" s="38"/>
      <c r="RI141" s="38"/>
      <c r="RJ141" s="38"/>
      <c r="RK141" s="38"/>
      <c r="RL141" s="38"/>
      <c r="RM141" s="38"/>
      <c r="RN141" s="38"/>
      <c r="RO141" s="38"/>
      <c r="RP141" s="38"/>
      <c r="RQ141" s="38"/>
      <c r="RR141" s="38"/>
      <c r="RS141" s="38"/>
      <c r="RT141" s="38"/>
      <c r="RU141" s="38"/>
      <c r="RV141" s="38"/>
      <c r="RW141" s="38"/>
      <c r="RX141" s="38"/>
      <c r="RY141" s="38"/>
      <c r="RZ141" s="38"/>
      <c r="SA141" s="38"/>
      <c r="SB141" s="38"/>
      <c r="SC141" s="38"/>
      <c r="SD141" s="38"/>
      <c r="SE141" s="38"/>
      <c r="SF141" s="38"/>
      <c r="SG141" s="38"/>
      <c r="SH141" s="38"/>
      <c r="SI141" s="38"/>
      <c r="SJ141" s="38"/>
      <c r="SK141" s="38"/>
      <c r="SL141" s="38"/>
      <c r="SM141" s="38"/>
      <c r="SN141" s="38"/>
      <c r="SO141" s="38"/>
      <c r="SP141" s="38"/>
      <c r="SQ141" s="38"/>
      <c r="SR141" s="38"/>
      <c r="SS141" s="38"/>
      <c r="ST141" s="38"/>
      <c r="SU141" s="38"/>
      <c r="SV141" s="38"/>
      <c r="SW141" s="38"/>
      <c r="SX141" s="38"/>
      <c r="SY141" s="38"/>
      <c r="SZ141" s="38"/>
      <c r="TA141" s="38"/>
      <c r="TB141" s="38"/>
      <c r="TC141" s="38"/>
      <c r="TD141" s="38"/>
      <c r="TE141" s="38"/>
      <c r="TF141" s="38"/>
      <c r="TG141" s="38"/>
      <c r="TH141" s="38"/>
      <c r="TI141" s="38"/>
      <c r="TJ141" s="38"/>
      <c r="TK141" s="38"/>
      <c r="TL141" s="38"/>
      <c r="TM141" s="38"/>
      <c r="TN141" s="38"/>
      <c r="TO141" s="38"/>
      <c r="TP141" s="38"/>
      <c r="TQ141" s="38"/>
      <c r="TR141" s="38"/>
      <c r="TS141" s="38"/>
      <c r="TT141" s="38"/>
      <c r="TU141" s="38"/>
      <c r="TV141" s="38"/>
      <c r="TW141" s="38"/>
      <c r="TX141" s="38"/>
      <c r="TY141" s="38"/>
      <c r="TZ141" s="38"/>
      <c r="UA141" s="38"/>
      <c r="UB141" s="38"/>
      <c r="UC141" s="38"/>
      <c r="UD141" s="38"/>
      <c r="UE141" s="38"/>
      <c r="UF141" s="38"/>
      <c r="UG141" s="38"/>
      <c r="UH141" s="38"/>
      <c r="UI141" s="38"/>
      <c r="UJ141" s="38"/>
      <c r="UK141" s="38"/>
      <c r="UL141" s="38"/>
      <c r="UM141" s="38"/>
      <c r="UN141" s="38"/>
      <c r="UO141" s="38"/>
      <c r="UP141" s="38"/>
      <c r="UQ141" s="38"/>
      <c r="UR141" s="38"/>
      <c r="US141" s="38"/>
      <c r="UT141" s="38"/>
      <c r="UU141" s="38"/>
      <c r="UV141" s="38"/>
      <c r="UW141" s="38"/>
      <c r="UX141" s="38"/>
      <c r="UY141" s="38"/>
      <c r="UZ141" s="38"/>
      <c r="VA141" s="38"/>
      <c r="VB141" s="38"/>
      <c r="VC141" s="38"/>
      <c r="VD141" s="38"/>
      <c r="VE141" s="38"/>
      <c r="VF141" s="38"/>
      <c r="VG141" s="38"/>
      <c r="VH141" s="38"/>
      <c r="VI141" s="38"/>
      <c r="VJ141" s="38"/>
      <c r="VK141" s="38"/>
      <c r="VL141" s="38"/>
      <c r="VM141" s="38"/>
      <c r="VN141" s="38"/>
      <c r="VO141" s="38"/>
      <c r="VP141" s="38"/>
      <c r="VQ141" s="38"/>
      <c r="VR141" s="38"/>
      <c r="VS141" s="38"/>
      <c r="VT141" s="38"/>
      <c r="VU141" s="38"/>
      <c r="VV141" s="38"/>
      <c r="VW141" s="38"/>
      <c r="VX141" s="38"/>
      <c r="VY141" s="38"/>
      <c r="VZ141" s="38"/>
      <c r="WA141" s="38"/>
      <c r="WB141" s="38"/>
      <c r="WC141" s="38"/>
      <c r="WD141" s="38"/>
      <c r="WE141" s="38"/>
      <c r="WF141" s="38"/>
      <c r="WG141" s="38"/>
      <c r="WH141" s="38"/>
      <c r="WI141" s="38"/>
      <c r="WJ141" s="38"/>
      <c r="WK141" s="38"/>
      <c r="WL141" s="38"/>
      <c r="WM141" s="38"/>
      <c r="WN141" s="38"/>
      <c r="WO141" s="38"/>
      <c r="WP141" s="38"/>
      <c r="WQ141" s="38"/>
      <c r="WR141" s="38"/>
      <c r="WS141" s="38"/>
      <c r="WT141" s="38"/>
      <c r="WU141" s="38"/>
      <c r="WV141" s="38"/>
      <c r="WW141" s="38"/>
      <c r="WX141" s="38"/>
      <c r="WY141" s="38"/>
      <c r="WZ141" s="38"/>
      <c r="XA141" s="38"/>
      <c r="XB141" s="38"/>
      <c r="XC141" s="38"/>
      <c r="XD141" s="38"/>
      <c r="XE141" s="38"/>
      <c r="XF141" s="38"/>
      <c r="XG141" s="38"/>
      <c r="XH141" s="38"/>
      <c r="XI141" s="38"/>
      <c r="XJ141" s="38"/>
      <c r="XK141" s="38"/>
      <c r="XL141" s="38"/>
      <c r="XM141" s="38"/>
      <c r="XN141" s="38"/>
      <c r="XO141" s="38"/>
      <c r="XP141" s="38"/>
      <c r="XQ141" s="38"/>
      <c r="XR141" s="38"/>
      <c r="XS141" s="38"/>
      <c r="XT141" s="38"/>
      <c r="XU141" s="38"/>
      <c r="XV141" s="38"/>
      <c r="XW141" s="38"/>
      <c r="XX141" s="38"/>
      <c r="XY141" s="38"/>
      <c r="XZ141" s="38"/>
      <c r="YA141" s="38"/>
      <c r="YB141" s="38"/>
      <c r="YC141" s="38"/>
      <c r="YD141" s="38"/>
      <c r="YE141" s="38"/>
      <c r="YF141" s="38"/>
      <c r="YG141" s="38"/>
      <c r="YH141" s="38"/>
      <c r="YI141" s="38"/>
      <c r="YJ141" s="38"/>
      <c r="YK141" s="38"/>
      <c r="YL141" s="38"/>
      <c r="YM141" s="38"/>
      <c r="YN141" s="38"/>
      <c r="YO141" s="38"/>
      <c r="YP141" s="38"/>
      <c r="YQ141" s="38"/>
      <c r="YR141" s="38"/>
      <c r="YS141" s="38"/>
      <c r="YT141" s="38"/>
      <c r="YU141" s="38"/>
      <c r="YV141" s="38"/>
      <c r="YW141" s="38"/>
      <c r="YX141" s="38"/>
      <c r="YY141" s="38"/>
      <c r="YZ141" s="38"/>
      <c r="ZA141" s="38"/>
      <c r="ZB141" s="38"/>
      <c r="ZC141" s="38"/>
      <c r="ZD141" s="38"/>
      <c r="ZE141" s="38"/>
      <c r="ZF141" s="38"/>
      <c r="ZG141" s="38"/>
      <c r="ZH141" s="38"/>
      <c r="ZI141" s="38"/>
      <c r="ZJ141" s="38"/>
      <c r="ZK141" s="38"/>
      <c r="ZL141" s="38"/>
      <c r="ZM141" s="38"/>
      <c r="ZN141" s="38"/>
      <c r="ZO141" s="38"/>
      <c r="ZP141" s="38"/>
      <c r="ZQ141" s="38"/>
      <c r="ZR141" s="38"/>
      <c r="ZS141" s="38"/>
      <c r="ZT141" s="38"/>
      <c r="ZU141" s="38"/>
      <c r="ZV141" s="38"/>
      <c r="ZW141" s="38"/>
      <c r="ZX141" s="38"/>
      <c r="ZY141" s="38"/>
      <c r="ZZ141" s="38"/>
      <c r="AAA141" s="38"/>
      <c r="AAB141" s="38"/>
      <c r="AAC141" s="38"/>
      <c r="AAD141" s="38"/>
      <c r="AAE141" s="38"/>
      <c r="AAF141" s="38"/>
      <c r="AAG141" s="38"/>
      <c r="AAH141" s="38"/>
      <c r="AAI141" s="38"/>
      <c r="AAJ141" s="38"/>
      <c r="AAK141" s="38"/>
      <c r="AAL141" s="38"/>
      <c r="AAM141" s="38"/>
      <c r="AAN141" s="38"/>
      <c r="AAO141" s="38"/>
      <c r="AAP141" s="38"/>
      <c r="AAQ141" s="38"/>
      <c r="AAR141" s="38"/>
      <c r="AAS141" s="38"/>
      <c r="AAT141" s="38"/>
      <c r="AAU141" s="38"/>
      <c r="AAV141" s="38"/>
      <c r="AAW141" s="38"/>
      <c r="AAX141" s="38"/>
      <c r="AAY141" s="38"/>
      <c r="AAZ141" s="38"/>
      <c r="ABA141" s="38"/>
      <c r="ABB141" s="38"/>
      <c r="ABC141" s="38"/>
      <c r="ABD141" s="38"/>
      <c r="ABE141" s="38"/>
      <c r="ABF141" s="38"/>
      <c r="ABG141" s="38"/>
      <c r="ABH141" s="38"/>
      <c r="ABI141" s="38"/>
      <c r="ABJ141" s="38"/>
      <c r="ABK141" s="38"/>
      <c r="ABL141" s="38"/>
      <c r="ABM141" s="38"/>
      <c r="ABN141" s="38"/>
      <c r="ABO141" s="38"/>
      <c r="ABP141" s="38"/>
      <c r="ABQ141" s="38"/>
      <c r="ABR141" s="38"/>
      <c r="ABS141" s="38"/>
      <c r="ABT141" s="38"/>
      <c r="ABU141" s="38"/>
      <c r="ABV141" s="38"/>
      <c r="ABW141" s="38"/>
      <c r="ABX141" s="38"/>
      <c r="ABY141" s="38"/>
      <c r="ABZ141" s="38"/>
      <c r="ACA141" s="38"/>
      <c r="ACB141" s="38"/>
      <c r="ACC141" s="38"/>
      <c r="ACD141" s="38"/>
      <c r="ACE141" s="38"/>
      <c r="ACF141" s="38"/>
      <c r="ACG141" s="38"/>
      <c r="ACH141" s="38"/>
      <c r="ACI141" s="38"/>
      <c r="ACJ141" s="38"/>
      <c r="ACK141" s="38"/>
      <c r="ACL141" s="38"/>
      <c r="ACM141" s="38"/>
      <c r="ACN141" s="38"/>
      <c r="ACO141" s="38"/>
      <c r="ACP141" s="38"/>
      <c r="ACQ141" s="38"/>
      <c r="ACR141" s="38"/>
      <c r="ACS141" s="38"/>
      <c r="ACT141" s="38"/>
      <c r="ACU141" s="38"/>
      <c r="ACV141" s="38"/>
      <c r="ACW141" s="38"/>
      <c r="ACX141" s="38"/>
      <c r="ACY141" s="38"/>
      <c r="ACZ141" s="38"/>
      <c r="ADA141" s="38"/>
      <c r="ADB141" s="38"/>
      <c r="ADC141" s="38"/>
      <c r="ADD141" s="38"/>
      <c r="ADE141" s="38"/>
      <c r="ADF141" s="38"/>
      <c r="ADG141" s="38"/>
      <c r="ADH141" s="38"/>
      <c r="ADI141" s="38"/>
      <c r="ADJ141" s="38"/>
      <c r="ADK141" s="38"/>
      <c r="ADL141" s="38"/>
      <c r="ADM141" s="38"/>
      <c r="ADN141" s="38"/>
      <c r="ADO141" s="38"/>
      <c r="ADP141" s="38"/>
      <c r="ADQ141" s="38"/>
      <c r="ADR141" s="38"/>
      <c r="ADS141" s="38"/>
      <c r="ADT141" s="38"/>
      <c r="ADU141" s="38"/>
      <c r="ADV141" s="38"/>
      <c r="ADW141" s="38"/>
      <c r="ADX141" s="38"/>
      <c r="ADY141" s="38"/>
      <c r="ADZ141" s="38"/>
      <c r="AEA141" s="38"/>
      <c r="AEB141" s="38"/>
      <c r="AEC141" s="38"/>
      <c r="AED141" s="38"/>
      <c r="AEE141" s="38"/>
      <c r="AEF141" s="38"/>
      <c r="AEG141" s="38"/>
      <c r="AEH141" s="38"/>
      <c r="AEI141" s="38"/>
      <c r="AEJ141" s="38"/>
      <c r="AEK141" s="38"/>
      <c r="AEL141" s="38"/>
      <c r="AEM141" s="38"/>
      <c r="AEN141" s="38"/>
      <c r="AEO141" s="38"/>
      <c r="AEP141" s="38"/>
      <c r="AEQ141" s="38"/>
      <c r="AER141" s="38"/>
      <c r="AES141" s="38"/>
      <c r="AET141" s="38"/>
      <c r="AEU141" s="38"/>
      <c r="AEV141" s="38"/>
      <c r="AEW141" s="38"/>
      <c r="AEX141" s="38"/>
      <c r="AEY141" s="38"/>
      <c r="AEZ141" s="38"/>
      <c r="AFA141" s="38"/>
      <c r="AFB141" s="38"/>
      <c r="AFC141" s="38"/>
      <c r="AFD141" s="38"/>
      <c r="AFE141" s="38"/>
      <c r="AFF141" s="38"/>
      <c r="AFG141" s="38"/>
      <c r="AFH141" s="38"/>
      <c r="AFI141" s="38"/>
      <c r="AFJ141" s="38"/>
      <c r="AFK141" s="38"/>
      <c r="AFL141" s="38"/>
      <c r="AFM141" s="38"/>
      <c r="AFN141" s="38"/>
      <c r="AFO141" s="38"/>
      <c r="AFP141" s="38"/>
      <c r="AFQ141" s="38"/>
      <c r="AFR141" s="38"/>
      <c r="AFS141" s="38"/>
      <c r="AFT141" s="38"/>
      <c r="AFU141" s="38"/>
      <c r="AFV141" s="38"/>
      <c r="AFW141" s="38"/>
      <c r="AFX141" s="38"/>
      <c r="AFY141" s="38"/>
      <c r="AFZ141" s="38"/>
      <c r="AGA141" s="38"/>
      <c r="AGB141" s="38"/>
      <c r="AGC141" s="38"/>
      <c r="AGD141" s="38"/>
      <c r="AGE141" s="38"/>
      <c r="AGF141" s="38"/>
      <c r="AGG141" s="38"/>
      <c r="AGH141" s="38"/>
      <c r="AGI141" s="38"/>
      <c r="AGJ141" s="38"/>
      <c r="AGK141" s="38"/>
      <c r="AGL141" s="38"/>
      <c r="AGM141" s="38"/>
      <c r="AGN141" s="38"/>
      <c r="AGO141" s="38"/>
      <c r="AGP141" s="38"/>
      <c r="AGQ141" s="38"/>
      <c r="AGR141" s="38"/>
      <c r="AGS141" s="38"/>
      <c r="AGT141" s="38"/>
      <c r="AGU141" s="38"/>
      <c r="AGV141" s="38"/>
      <c r="AGW141" s="38"/>
      <c r="AGX141" s="38"/>
      <c r="AGY141" s="38"/>
      <c r="AGZ141" s="38"/>
      <c r="AHA141" s="38"/>
      <c r="AHB141" s="38"/>
      <c r="AHC141" s="38"/>
      <c r="AHD141" s="38"/>
      <c r="AHE141" s="38"/>
      <c r="AHF141" s="38"/>
      <c r="AHG141" s="38"/>
      <c r="AHH141" s="38"/>
      <c r="AHI141" s="38"/>
      <c r="AHJ141" s="38"/>
      <c r="AHK141" s="38"/>
      <c r="AHL141" s="38"/>
      <c r="AHM141" s="38"/>
      <c r="AHN141" s="38"/>
      <c r="AHO141" s="38"/>
      <c r="AHP141" s="38"/>
      <c r="AHQ141" s="38"/>
      <c r="AHR141" s="38"/>
      <c r="AHS141" s="38"/>
      <c r="AHT141" s="38"/>
      <c r="AHU141" s="38"/>
      <c r="AHV141" s="38"/>
    </row>
    <row r="142" spans="1:906" x14ac:dyDescent="0.35"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  <c r="BP142" s="38"/>
      <c r="BQ142" s="38"/>
      <c r="BR142" s="38"/>
      <c r="BS142" s="38"/>
      <c r="BT142" s="38"/>
      <c r="BU142" s="38"/>
      <c r="BV142" s="38"/>
      <c r="BW142" s="38"/>
      <c r="BX142" s="38"/>
      <c r="BY142" s="38"/>
      <c r="BZ142" s="38"/>
      <c r="CA142" s="38"/>
      <c r="CB142" s="38"/>
      <c r="CC142" s="38"/>
      <c r="CD142" s="38"/>
      <c r="CE142" s="38"/>
      <c r="CF142" s="38"/>
      <c r="CG142" s="38"/>
      <c r="CH142" s="38"/>
      <c r="CI142" s="38"/>
      <c r="CJ142" s="38"/>
      <c r="CK142" s="38"/>
      <c r="CL142" s="38"/>
      <c r="CM142" s="38"/>
      <c r="CN142" s="38"/>
      <c r="CO142" s="38"/>
      <c r="CP142" s="38"/>
      <c r="CQ142" s="38"/>
      <c r="CR142" s="38"/>
      <c r="CS142" s="38"/>
      <c r="CT142" s="38"/>
      <c r="CU142" s="38"/>
      <c r="CV142" s="38"/>
      <c r="CW142" s="38"/>
      <c r="CX142" s="38"/>
      <c r="CY142" s="38"/>
      <c r="CZ142" s="38"/>
      <c r="DA142" s="38"/>
      <c r="DB142" s="38"/>
      <c r="DC142" s="38"/>
      <c r="DD142" s="38"/>
      <c r="DE142" s="38"/>
      <c r="DF142" s="38"/>
      <c r="DG142" s="38"/>
      <c r="DH142" s="38"/>
      <c r="DI142" s="38"/>
      <c r="DJ142" s="38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  <c r="EI142" s="38"/>
      <c r="EJ142" s="38"/>
      <c r="EK142" s="38"/>
      <c r="EL142" s="38"/>
      <c r="EM142" s="38"/>
      <c r="EN142" s="38"/>
      <c r="EO142" s="38"/>
      <c r="EP142" s="38"/>
      <c r="EQ142" s="38"/>
      <c r="ER142" s="38"/>
      <c r="ES142" s="38"/>
      <c r="ET142" s="38"/>
      <c r="EU142" s="38"/>
      <c r="EV142" s="38"/>
      <c r="EW142" s="38"/>
      <c r="EX142" s="38"/>
      <c r="EY142" s="38"/>
      <c r="EZ142" s="38"/>
      <c r="FA142" s="38"/>
      <c r="FB142" s="38"/>
      <c r="FC142" s="38"/>
      <c r="FD142" s="38"/>
      <c r="FE142" s="38"/>
      <c r="FF142" s="38"/>
      <c r="FG142" s="38"/>
      <c r="FH142" s="38"/>
      <c r="FI142" s="38"/>
      <c r="FJ142" s="38"/>
      <c r="FK142" s="38"/>
      <c r="FL142" s="38"/>
      <c r="FM142" s="38"/>
      <c r="FN142" s="38"/>
      <c r="FO142" s="38"/>
      <c r="FP142" s="38"/>
      <c r="FQ142" s="38"/>
      <c r="FR142" s="38"/>
      <c r="FS142" s="38"/>
      <c r="FT142" s="38"/>
      <c r="FU142" s="38"/>
      <c r="FV142" s="38"/>
      <c r="FW142" s="38"/>
      <c r="FX142" s="38"/>
      <c r="FY142" s="38"/>
      <c r="FZ142" s="38"/>
      <c r="GA142" s="38"/>
      <c r="GB142" s="38"/>
      <c r="GC142" s="38"/>
      <c r="GD142" s="38"/>
      <c r="GE142" s="38"/>
      <c r="GF142" s="38"/>
      <c r="GG142" s="38"/>
      <c r="GH142" s="38"/>
      <c r="GI142" s="38"/>
      <c r="GJ142" s="38"/>
      <c r="GK142" s="38"/>
      <c r="GL142" s="38"/>
      <c r="GM142" s="38"/>
      <c r="GN142" s="38"/>
      <c r="GO142" s="38"/>
      <c r="GP142" s="38"/>
      <c r="GQ142" s="38"/>
      <c r="GR142" s="38"/>
      <c r="GS142" s="38"/>
      <c r="GT142" s="38"/>
      <c r="GU142" s="38"/>
      <c r="GV142" s="38"/>
      <c r="GW142" s="38"/>
      <c r="GX142" s="38"/>
      <c r="GY142" s="38"/>
      <c r="GZ142" s="38"/>
      <c r="HA142" s="38"/>
      <c r="HB142" s="38"/>
      <c r="HC142" s="38"/>
      <c r="HD142" s="38"/>
      <c r="HE142" s="38"/>
      <c r="HF142" s="38"/>
      <c r="HG142" s="38"/>
      <c r="HH142" s="38"/>
      <c r="HI142" s="38"/>
      <c r="HJ142" s="38"/>
      <c r="HK142" s="38"/>
      <c r="HL142" s="38"/>
      <c r="HM142" s="38"/>
      <c r="HN142" s="38"/>
      <c r="HO142" s="38"/>
      <c r="HP142" s="38"/>
      <c r="HQ142" s="38"/>
      <c r="HR142" s="38"/>
      <c r="HS142" s="38"/>
      <c r="HT142" s="38"/>
      <c r="HU142" s="38"/>
      <c r="HV142" s="38"/>
      <c r="HW142" s="38"/>
      <c r="HX142" s="38"/>
      <c r="HY142" s="38"/>
      <c r="HZ142" s="38"/>
      <c r="IA142" s="38"/>
      <c r="IB142" s="38"/>
      <c r="IC142" s="38"/>
      <c r="ID142" s="38"/>
      <c r="IE142" s="38"/>
      <c r="IF142" s="38"/>
      <c r="IG142" s="38"/>
      <c r="IH142" s="38"/>
      <c r="II142" s="38"/>
      <c r="IJ142" s="38"/>
      <c r="IK142" s="38"/>
      <c r="IL142" s="38"/>
      <c r="IM142" s="38"/>
      <c r="IN142" s="38"/>
      <c r="IO142" s="38"/>
      <c r="IP142" s="38"/>
      <c r="IQ142" s="38"/>
      <c r="IR142" s="38"/>
      <c r="IS142" s="38"/>
      <c r="IT142" s="38"/>
      <c r="IU142" s="38"/>
      <c r="IV142" s="38"/>
      <c r="IW142" s="38"/>
      <c r="IX142" s="38"/>
      <c r="IY142" s="38"/>
      <c r="IZ142" s="38"/>
      <c r="JA142" s="38"/>
      <c r="JB142" s="38"/>
      <c r="JC142" s="38"/>
      <c r="JD142" s="38"/>
      <c r="JE142" s="38"/>
      <c r="JF142" s="38"/>
      <c r="JG142" s="38"/>
      <c r="JH142" s="38"/>
      <c r="JI142" s="38"/>
      <c r="JJ142" s="38"/>
      <c r="JK142" s="38"/>
      <c r="JL142" s="38"/>
      <c r="JM142" s="38"/>
      <c r="JN142" s="38"/>
      <c r="JO142" s="38"/>
      <c r="JP142" s="38"/>
      <c r="JQ142" s="38"/>
      <c r="JR142" s="38"/>
      <c r="JS142" s="38"/>
      <c r="JT142" s="38"/>
      <c r="JU142" s="38"/>
      <c r="JV142" s="38"/>
      <c r="JW142" s="38"/>
      <c r="JX142" s="38"/>
      <c r="JY142" s="38"/>
      <c r="JZ142" s="38"/>
      <c r="KA142" s="38"/>
      <c r="KB142" s="38"/>
      <c r="KC142" s="38"/>
      <c r="KD142" s="38"/>
      <c r="KE142" s="38"/>
      <c r="KF142" s="38"/>
      <c r="KG142" s="38"/>
      <c r="KH142" s="38"/>
      <c r="KI142" s="38"/>
      <c r="KJ142" s="38"/>
      <c r="KK142" s="38"/>
      <c r="KL142" s="38"/>
      <c r="KM142" s="38"/>
      <c r="KN142" s="38"/>
      <c r="KO142" s="38"/>
      <c r="KP142" s="38"/>
      <c r="KQ142" s="38"/>
      <c r="KR142" s="38"/>
      <c r="KS142" s="38"/>
      <c r="KT142" s="38"/>
      <c r="KU142" s="38"/>
      <c r="KV142" s="38"/>
      <c r="KW142" s="38"/>
      <c r="KX142" s="38"/>
      <c r="KY142" s="38"/>
      <c r="KZ142" s="38"/>
      <c r="LA142" s="38"/>
      <c r="LB142" s="38"/>
      <c r="LC142" s="38"/>
      <c r="LD142" s="38"/>
      <c r="LE142" s="38"/>
      <c r="LF142" s="38"/>
      <c r="LG142" s="38"/>
      <c r="LH142" s="38"/>
      <c r="LI142" s="38"/>
      <c r="LJ142" s="38"/>
      <c r="LK142" s="38"/>
      <c r="LL142" s="38"/>
      <c r="LM142" s="38"/>
      <c r="LN142" s="38"/>
      <c r="LO142" s="38"/>
      <c r="LP142" s="38"/>
      <c r="LQ142" s="38"/>
      <c r="LR142" s="38"/>
      <c r="LS142" s="38"/>
      <c r="LT142" s="38"/>
      <c r="LU142" s="38"/>
      <c r="LV142" s="38"/>
      <c r="LW142" s="38"/>
      <c r="LX142" s="38"/>
      <c r="LY142" s="38"/>
      <c r="LZ142" s="38"/>
      <c r="MA142" s="38"/>
      <c r="MB142" s="38"/>
      <c r="MC142" s="38"/>
      <c r="MD142" s="38"/>
      <c r="ME142" s="38"/>
      <c r="MF142" s="38"/>
      <c r="MG142" s="38"/>
      <c r="MH142" s="38"/>
      <c r="MI142" s="38"/>
      <c r="MJ142" s="38"/>
      <c r="MK142" s="38"/>
      <c r="ML142" s="38"/>
      <c r="MM142" s="38"/>
      <c r="MN142" s="38"/>
      <c r="MO142" s="38"/>
      <c r="MP142" s="38"/>
      <c r="MQ142" s="38"/>
      <c r="MR142" s="38"/>
      <c r="MS142" s="38"/>
      <c r="MT142" s="38"/>
      <c r="MU142" s="38"/>
      <c r="MV142" s="38"/>
      <c r="MW142" s="38"/>
      <c r="MX142" s="38"/>
      <c r="MY142" s="38"/>
      <c r="MZ142" s="38"/>
      <c r="NA142" s="38"/>
      <c r="NB142" s="38"/>
      <c r="NC142" s="38"/>
      <c r="ND142" s="38"/>
      <c r="NE142" s="38"/>
      <c r="NF142" s="38"/>
      <c r="NG142" s="38"/>
      <c r="NH142" s="38"/>
      <c r="NI142" s="38"/>
      <c r="NJ142" s="38"/>
      <c r="NK142" s="38"/>
      <c r="NL142" s="38"/>
      <c r="NM142" s="38"/>
      <c r="NN142" s="38"/>
      <c r="NO142" s="38"/>
      <c r="NP142" s="38"/>
      <c r="NQ142" s="38"/>
      <c r="NR142" s="38"/>
      <c r="NS142" s="38"/>
      <c r="NT142" s="38"/>
      <c r="NU142" s="38"/>
      <c r="NV142" s="38"/>
      <c r="NW142" s="38"/>
      <c r="NX142" s="38"/>
      <c r="NY142" s="38"/>
      <c r="NZ142" s="38"/>
      <c r="OA142" s="38"/>
      <c r="OB142" s="38"/>
      <c r="OC142" s="38"/>
      <c r="OD142" s="38"/>
      <c r="OE142" s="38"/>
      <c r="OF142" s="38"/>
      <c r="OG142" s="38"/>
      <c r="OH142" s="38"/>
      <c r="OI142" s="38"/>
      <c r="OJ142" s="38"/>
      <c r="OK142" s="38"/>
      <c r="OL142" s="38"/>
      <c r="OM142" s="38"/>
      <c r="ON142" s="38"/>
      <c r="OO142" s="38"/>
      <c r="OP142" s="38"/>
      <c r="OQ142" s="38"/>
      <c r="OR142" s="38"/>
      <c r="OS142" s="38"/>
      <c r="OT142" s="38"/>
      <c r="OU142" s="38"/>
      <c r="OV142" s="38"/>
      <c r="OW142" s="38"/>
      <c r="OX142" s="38"/>
      <c r="OY142" s="38"/>
      <c r="OZ142" s="38"/>
      <c r="PA142" s="38"/>
      <c r="PB142" s="38"/>
      <c r="PC142" s="38"/>
      <c r="PD142" s="38"/>
      <c r="PE142" s="38"/>
      <c r="PF142" s="38"/>
      <c r="PG142" s="38"/>
      <c r="PH142" s="38"/>
      <c r="PI142" s="38"/>
      <c r="PJ142" s="38"/>
      <c r="PK142" s="38"/>
      <c r="PL142" s="38"/>
      <c r="PM142" s="38"/>
      <c r="PN142" s="38"/>
      <c r="PO142" s="38"/>
      <c r="PP142" s="38"/>
      <c r="PQ142" s="38"/>
      <c r="PR142" s="38"/>
      <c r="PS142" s="38"/>
      <c r="PT142" s="38"/>
      <c r="PU142" s="38"/>
      <c r="PV142" s="38"/>
      <c r="PW142" s="38"/>
      <c r="PX142" s="38"/>
      <c r="PY142" s="38"/>
      <c r="PZ142" s="38"/>
      <c r="QA142" s="38"/>
      <c r="QB142" s="38"/>
      <c r="QC142" s="38"/>
      <c r="QD142" s="38"/>
      <c r="QE142" s="38"/>
      <c r="QF142" s="38"/>
      <c r="QG142" s="38"/>
      <c r="QH142" s="38"/>
      <c r="QI142" s="38"/>
      <c r="QJ142" s="38"/>
      <c r="QK142" s="38"/>
      <c r="QL142" s="38"/>
      <c r="QM142" s="38"/>
      <c r="QN142" s="38"/>
      <c r="QO142" s="38"/>
      <c r="QP142" s="38"/>
      <c r="QQ142" s="38"/>
      <c r="QR142" s="38"/>
      <c r="QS142" s="38"/>
      <c r="QT142" s="38"/>
      <c r="QU142" s="38"/>
      <c r="QV142" s="38"/>
      <c r="QW142" s="38"/>
      <c r="QX142" s="38"/>
      <c r="QY142" s="38"/>
      <c r="QZ142" s="38"/>
      <c r="RA142" s="38"/>
      <c r="RB142" s="38"/>
      <c r="RC142" s="38"/>
      <c r="RD142" s="38"/>
      <c r="RE142" s="38"/>
      <c r="RF142" s="38"/>
      <c r="RG142" s="38"/>
      <c r="RH142" s="38"/>
      <c r="RI142" s="38"/>
      <c r="RJ142" s="38"/>
      <c r="RK142" s="38"/>
      <c r="RL142" s="38"/>
      <c r="RM142" s="38"/>
      <c r="RN142" s="38"/>
      <c r="RO142" s="38"/>
      <c r="RP142" s="38"/>
      <c r="RQ142" s="38"/>
      <c r="RR142" s="38"/>
      <c r="RS142" s="38"/>
      <c r="RT142" s="38"/>
      <c r="RU142" s="38"/>
      <c r="RV142" s="38"/>
      <c r="RW142" s="38"/>
      <c r="RX142" s="38"/>
      <c r="RY142" s="38"/>
      <c r="RZ142" s="38"/>
      <c r="SA142" s="38"/>
      <c r="SB142" s="38"/>
      <c r="SC142" s="38"/>
      <c r="SD142" s="38"/>
      <c r="SE142" s="38"/>
      <c r="SF142" s="38"/>
      <c r="SG142" s="38"/>
      <c r="SH142" s="38"/>
      <c r="SI142" s="38"/>
      <c r="SJ142" s="38"/>
      <c r="SK142" s="38"/>
      <c r="SL142" s="38"/>
      <c r="SM142" s="38"/>
      <c r="SN142" s="38"/>
      <c r="SO142" s="38"/>
      <c r="SP142" s="38"/>
      <c r="SQ142" s="38"/>
      <c r="SR142" s="38"/>
      <c r="SS142" s="38"/>
      <c r="ST142" s="38"/>
      <c r="SU142" s="38"/>
      <c r="SV142" s="38"/>
      <c r="SW142" s="38"/>
      <c r="SX142" s="38"/>
      <c r="SY142" s="38"/>
      <c r="SZ142" s="38"/>
      <c r="TA142" s="38"/>
      <c r="TB142" s="38"/>
      <c r="TC142" s="38"/>
      <c r="TD142" s="38"/>
      <c r="TE142" s="38"/>
      <c r="TF142" s="38"/>
      <c r="TG142" s="38"/>
      <c r="TH142" s="38"/>
      <c r="TI142" s="38"/>
      <c r="TJ142" s="38"/>
      <c r="TK142" s="38"/>
      <c r="TL142" s="38"/>
      <c r="TM142" s="38"/>
      <c r="TN142" s="38"/>
      <c r="TO142" s="38"/>
      <c r="TP142" s="38"/>
      <c r="TQ142" s="38"/>
      <c r="TR142" s="38"/>
      <c r="TS142" s="38"/>
      <c r="TT142" s="38"/>
      <c r="TU142" s="38"/>
      <c r="TV142" s="38"/>
      <c r="TW142" s="38"/>
      <c r="TX142" s="38"/>
      <c r="TY142" s="38"/>
      <c r="TZ142" s="38"/>
      <c r="UA142" s="38"/>
      <c r="UB142" s="38"/>
      <c r="UC142" s="38"/>
      <c r="UD142" s="38"/>
      <c r="UE142" s="38"/>
      <c r="UF142" s="38"/>
      <c r="UG142" s="38"/>
      <c r="UH142" s="38"/>
      <c r="UI142" s="38"/>
      <c r="UJ142" s="38"/>
      <c r="UK142" s="38"/>
      <c r="UL142" s="38"/>
      <c r="UM142" s="38"/>
      <c r="UN142" s="38"/>
      <c r="UO142" s="38"/>
      <c r="UP142" s="38"/>
      <c r="UQ142" s="38"/>
      <c r="UR142" s="38"/>
      <c r="US142" s="38"/>
      <c r="UT142" s="38"/>
      <c r="UU142" s="38"/>
      <c r="UV142" s="38"/>
      <c r="UW142" s="38"/>
      <c r="UX142" s="38"/>
      <c r="UY142" s="38"/>
      <c r="UZ142" s="38"/>
      <c r="VA142" s="38"/>
      <c r="VB142" s="38"/>
      <c r="VC142" s="38"/>
      <c r="VD142" s="38"/>
      <c r="VE142" s="38"/>
      <c r="VF142" s="38"/>
      <c r="VG142" s="38"/>
      <c r="VH142" s="38"/>
      <c r="VI142" s="38"/>
      <c r="VJ142" s="38"/>
      <c r="VK142" s="38"/>
      <c r="VL142" s="38"/>
      <c r="VM142" s="38"/>
      <c r="VN142" s="38"/>
      <c r="VO142" s="38"/>
      <c r="VP142" s="38"/>
      <c r="VQ142" s="38"/>
      <c r="VR142" s="38"/>
      <c r="VS142" s="38"/>
      <c r="VT142" s="38"/>
      <c r="VU142" s="38"/>
      <c r="VV142" s="38"/>
      <c r="VW142" s="38"/>
      <c r="VX142" s="38"/>
      <c r="VY142" s="38"/>
      <c r="VZ142" s="38"/>
      <c r="WA142" s="38"/>
      <c r="WB142" s="38"/>
      <c r="WC142" s="38"/>
      <c r="WD142" s="38"/>
      <c r="WE142" s="38"/>
      <c r="WF142" s="38"/>
      <c r="WG142" s="38"/>
      <c r="WH142" s="38"/>
      <c r="WI142" s="38"/>
      <c r="WJ142" s="38"/>
      <c r="WK142" s="38"/>
      <c r="WL142" s="38"/>
      <c r="WM142" s="38"/>
      <c r="WN142" s="38"/>
      <c r="WO142" s="38"/>
      <c r="WP142" s="38"/>
      <c r="WQ142" s="38"/>
      <c r="WR142" s="38"/>
      <c r="WS142" s="38"/>
      <c r="WT142" s="38"/>
      <c r="WU142" s="38"/>
      <c r="WV142" s="38"/>
      <c r="WW142" s="38"/>
      <c r="WX142" s="38"/>
      <c r="WY142" s="38"/>
      <c r="WZ142" s="38"/>
      <c r="XA142" s="38"/>
      <c r="XB142" s="38"/>
      <c r="XC142" s="38"/>
      <c r="XD142" s="38"/>
      <c r="XE142" s="38"/>
      <c r="XF142" s="38"/>
      <c r="XG142" s="38"/>
      <c r="XH142" s="38"/>
      <c r="XI142" s="38"/>
      <c r="XJ142" s="38"/>
      <c r="XK142" s="38"/>
      <c r="XL142" s="38"/>
      <c r="XM142" s="38"/>
      <c r="XN142" s="38"/>
      <c r="XO142" s="38"/>
      <c r="XP142" s="38"/>
      <c r="XQ142" s="38"/>
      <c r="XR142" s="38"/>
      <c r="XS142" s="38"/>
      <c r="XT142" s="38"/>
      <c r="XU142" s="38"/>
      <c r="XV142" s="38"/>
      <c r="XW142" s="38"/>
      <c r="XX142" s="38"/>
      <c r="XY142" s="38"/>
      <c r="XZ142" s="38"/>
      <c r="YA142" s="38"/>
      <c r="YB142" s="38"/>
      <c r="YC142" s="38"/>
      <c r="YD142" s="38"/>
      <c r="YE142" s="38"/>
      <c r="YF142" s="38"/>
      <c r="YG142" s="38"/>
      <c r="YH142" s="38"/>
      <c r="YI142" s="38"/>
      <c r="YJ142" s="38"/>
      <c r="YK142" s="38"/>
      <c r="YL142" s="38"/>
      <c r="YM142" s="38"/>
      <c r="YN142" s="38"/>
      <c r="YO142" s="38"/>
      <c r="YP142" s="38"/>
      <c r="YQ142" s="38"/>
      <c r="YR142" s="38"/>
      <c r="YS142" s="38"/>
      <c r="YT142" s="38"/>
      <c r="YU142" s="38"/>
      <c r="YV142" s="38"/>
      <c r="YW142" s="38"/>
      <c r="YX142" s="38"/>
      <c r="YY142" s="38"/>
      <c r="YZ142" s="38"/>
      <c r="ZA142" s="38"/>
      <c r="ZB142" s="38"/>
      <c r="ZC142" s="38"/>
      <c r="ZD142" s="38"/>
      <c r="ZE142" s="38"/>
      <c r="ZF142" s="38"/>
      <c r="ZG142" s="38"/>
      <c r="ZH142" s="38"/>
      <c r="ZI142" s="38"/>
      <c r="ZJ142" s="38"/>
      <c r="ZK142" s="38"/>
      <c r="ZL142" s="38"/>
      <c r="ZM142" s="38"/>
      <c r="ZN142" s="38"/>
      <c r="ZO142" s="38"/>
      <c r="ZP142" s="38"/>
      <c r="ZQ142" s="38"/>
      <c r="ZR142" s="38"/>
      <c r="ZS142" s="38"/>
      <c r="ZT142" s="38"/>
      <c r="ZU142" s="38"/>
      <c r="ZV142" s="38"/>
      <c r="ZW142" s="38"/>
      <c r="ZX142" s="38"/>
      <c r="ZY142" s="38"/>
      <c r="ZZ142" s="38"/>
      <c r="AAA142" s="38"/>
      <c r="AAB142" s="38"/>
      <c r="AAC142" s="38"/>
      <c r="AAD142" s="38"/>
      <c r="AAE142" s="38"/>
      <c r="AAF142" s="38"/>
      <c r="AAG142" s="38"/>
      <c r="AAH142" s="38"/>
      <c r="AAI142" s="38"/>
      <c r="AAJ142" s="38"/>
      <c r="AAK142" s="38"/>
      <c r="AAL142" s="38"/>
      <c r="AAM142" s="38"/>
      <c r="AAN142" s="38"/>
      <c r="AAO142" s="38"/>
      <c r="AAP142" s="38"/>
      <c r="AAQ142" s="38"/>
      <c r="AAR142" s="38"/>
      <c r="AAS142" s="38"/>
      <c r="AAT142" s="38"/>
      <c r="AAU142" s="38"/>
      <c r="AAV142" s="38"/>
      <c r="AAW142" s="38"/>
      <c r="AAX142" s="38"/>
      <c r="AAY142" s="38"/>
      <c r="AAZ142" s="38"/>
      <c r="ABA142" s="38"/>
      <c r="ABB142" s="38"/>
      <c r="ABC142" s="38"/>
      <c r="ABD142" s="38"/>
      <c r="ABE142" s="38"/>
      <c r="ABF142" s="38"/>
      <c r="ABG142" s="38"/>
      <c r="ABH142" s="38"/>
      <c r="ABI142" s="38"/>
      <c r="ABJ142" s="38"/>
      <c r="ABK142" s="38"/>
      <c r="ABL142" s="38"/>
      <c r="ABM142" s="38"/>
      <c r="ABN142" s="38"/>
      <c r="ABO142" s="38"/>
      <c r="ABP142" s="38"/>
      <c r="ABQ142" s="38"/>
      <c r="ABR142" s="38"/>
      <c r="ABS142" s="38"/>
      <c r="ABT142" s="38"/>
      <c r="ABU142" s="38"/>
      <c r="ABV142" s="38"/>
      <c r="ABW142" s="38"/>
      <c r="ABX142" s="38"/>
      <c r="ABY142" s="38"/>
      <c r="ABZ142" s="38"/>
      <c r="ACA142" s="38"/>
      <c r="ACB142" s="38"/>
      <c r="ACC142" s="38"/>
      <c r="ACD142" s="38"/>
      <c r="ACE142" s="38"/>
      <c r="ACF142" s="38"/>
      <c r="ACG142" s="38"/>
      <c r="ACH142" s="38"/>
      <c r="ACI142" s="38"/>
      <c r="ACJ142" s="38"/>
      <c r="ACK142" s="38"/>
      <c r="ACL142" s="38"/>
      <c r="ACM142" s="38"/>
      <c r="ACN142" s="38"/>
      <c r="ACO142" s="38"/>
      <c r="ACP142" s="38"/>
      <c r="ACQ142" s="38"/>
      <c r="ACR142" s="38"/>
      <c r="ACS142" s="38"/>
      <c r="ACT142" s="38"/>
      <c r="ACU142" s="38"/>
      <c r="ACV142" s="38"/>
      <c r="ACW142" s="38"/>
      <c r="ACX142" s="38"/>
      <c r="ACY142" s="38"/>
      <c r="ACZ142" s="38"/>
      <c r="ADA142" s="38"/>
      <c r="ADB142" s="38"/>
      <c r="ADC142" s="38"/>
      <c r="ADD142" s="38"/>
      <c r="ADE142" s="38"/>
      <c r="ADF142" s="38"/>
      <c r="ADG142" s="38"/>
      <c r="ADH142" s="38"/>
      <c r="ADI142" s="38"/>
      <c r="ADJ142" s="38"/>
      <c r="ADK142" s="38"/>
      <c r="ADL142" s="38"/>
      <c r="ADM142" s="38"/>
      <c r="ADN142" s="38"/>
      <c r="ADO142" s="38"/>
      <c r="ADP142" s="38"/>
      <c r="ADQ142" s="38"/>
      <c r="ADR142" s="38"/>
      <c r="ADS142" s="38"/>
      <c r="ADT142" s="38"/>
      <c r="ADU142" s="38"/>
      <c r="ADV142" s="38"/>
      <c r="ADW142" s="38"/>
      <c r="ADX142" s="38"/>
      <c r="ADY142" s="38"/>
      <c r="ADZ142" s="38"/>
      <c r="AEA142" s="38"/>
      <c r="AEB142" s="38"/>
      <c r="AEC142" s="38"/>
      <c r="AED142" s="38"/>
      <c r="AEE142" s="38"/>
      <c r="AEF142" s="38"/>
      <c r="AEG142" s="38"/>
      <c r="AEH142" s="38"/>
      <c r="AEI142" s="38"/>
      <c r="AEJ142" s="38"/>
      <c r="AEK142" s="38"/>
      <c r="AEL142" s="38"/>
      <c r="AEM142" s="38"/>
      <c r="AEN142" s="38"/>
      <c r="AEO142" s="38"/>
      <c r="AEP142" s="38"/>
      <c r="AEQ142" s="38"/>
      <c r="AER142" s="38"/>
      <c r="AES142" s="38"/>
      <c r="AET142" s="38"/>
      <c r="AEU142" s="38"/>
      <c r="AEV142" s="38"/>
      <c r="AEW142" s="38"/>
      <c r="AEX142" s="38"/>
      <c r="AEY142" s="38"/>
      <c r="AEZ142" s="38"/>
      <c r="AFA142" s="38"/>
      <c r="AFB142" s="38"/>
      <c r="AFC142" s="38"/>
      <c r="AFD142" s="38"/>
      <c r="AFE142" s="38"/>
      <c r="AFF142" s="38"/>
      <c r="AFG142" s="38"/>
      <c r="AFH142" s="38"/>
      <c r="AFI142" s="38"/>
      <c r="AFJ142" s="38"/>
      <c r="AFK142" s="38"/>
      <c r="AFL142" s="38"/>
      <c r="AFM142" s="38"/>
      <c r="AFN142" s="38"/>
      <c r="AFO142" s="38"/>
      <c r="AFP142" s="38"/>
      <c r="AFQ142" s="38"/>
      <c r="AFR142" s="38"/>
      <c r="AFS142" s="38"/>
      <c r="AFT142" s="38"/>
      <c r="AFU142" s="38"/>
      <c r="AFV142" s="38"/>
      <c r="AFW142" s="38"/>
      <c r="AFX142" s="38"/>
      <c r="AFY142" s="38"/>
      <c r="AFZ142" s="38"/>
      <c r="AGA142" s="38"/>
      <c r="AGB142" s="38"/>
      <c r="AGC142" s="38"/>
      <c r="AGD142" s="38"/>
      <c r="AGE142" s="38"/>
      <c r="AGF142" s="38"/>
      <c r="AGG142" s="38"/>
      <c r="AGH142" s="38"/>
      <c r="AGI142" s="38"/>
      <c r="AGJ142" s="38"/>
      <c r="AGK142" s="38"/>
      <c r="AGL142" s="38"/>
      <c r="AGM142" s="38"/>
      <c r="AGN142" s="38"/>
      <c r="AGO142" s="38"/>
      <c r="AGP142" s="38"/>
      <c r="AGQ142" s="38"/>
      <c r="AGR142" s="38"/>
      <c r="AGS142" s="38"/>
      <c r="AGT142" s="38"/>
      <c r="AGU142" s="38"/>
      <c r="AGV142" s="38"/>
      <c r="AGW142" s="38"/>
      <c r="AGX142" s="38"/>
      <c r="AGY142" s="38"/>
      <c r="AGZ142" s="38"/>
      <c r="AHA142" s="38"/>
      <c r="AHB142" s="38"/>
      <c r="AHC142" s="38"/>
      <c r="AHD142" s="38"/>
      <c r="AHE142" s="38"/>
      <c r="AHF142" s="38"/>
      <c r="AHG142" s="38"/>
      <c r="AHH142" s="38"/>
      <c r="AHI142" s="38"/>
      <c r="AHJ142" s="38"/>
      <c r="AHK142" s="38"/>
      <c r="AHL142" s="38"/>
      <c r="AHM142" s="38"/>
      <c r="AHN142" s="38"/>
      <c r="AHO142" s="38"/>
      <c r="AHP142" s="38"/>
      <c r="AHQ142" s="38"/>
      <c r="AHR142" s="38"/>
      <c r="AHS142" s="38"/>
      <c r="AHT142" s="38"/>
      <c r="AHU142" s="38"/>
      <c r="AHV142" s="38"/>
    </row>
    <row r="143" spans="1:906" x14ac:dyDescent="0.35"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  <c r="BP143" s="38"/>
      <c r="BQ143" s="38"/>
      <c r="BR143" s="38"/>
      <c r="BS143" s="38"/>
      <c r="BT143" s="38"/>
      <c r="BU143" s="38"/>
      <c r="BV143" s="38"/>
      <c r="BW143" s="38"/>
      <c r="BX143" s="38"/>
      <c r="BY143" s="38"/>
      <c r="BZ143" s="38"/>
      <c r="CA143" s="38"/>
      <c r="CB143" s="38"/>
      <c r="CC143" s="38"/>
      <c r="CD143" s="38"/>
      <c r="CE143" s="38"/>
      <c r="CF143" s="38"/>
      <c r="CG143" s="38"/>
      <c r="CH143" s="38"/>
      <c r="CI143" s="38"/>
      <c r="CJ143" s="38"/>
      <c r="CK143" s="38"/>
      <c r="CL143" s="38"/>
      <c r="CM143" s="38"/>
      <c r="CN143" s="38"/>
      <c r="CO143" s="38"/>
      <c r="CP143" s="38"/>
      <c r="CQ143" s="38"/>
      <c r="CR143" s="38"/>
      <c r="CS143" s="38"/>
      <c r="CT143" s="38"/>
      <c r="CU143" s="38"/>
      <c r="CV143" s="38"/>
      <c r="CW143" s="38"/>
      <c r="CX143" s="38"/>
      <c r="CY143" s="38"/>
      <c r="CZ143" s="38"/>
      <c r="DA143" s="38"/>
      <c r="DB143" s="38"/>
      <c r="DC143" s="38"/>
      <c r="DD143" s="38"/>
      <c r="DE143" s="38"/>
      <c r="DF143" s="38"/>
      <c r="DG143" s="38"/>
      <c r="DH143" s="38"/>
      <c r="DI143" s="38"/>
      <c r="DJ143" s="38"/>
      <c r="DK143" s="38"/>
      <c r="DL143" s="38"/>
      <c r="DM143" s="38"/>
      <c r="DN143" s="38"/>
      <c r="DO143" s="38"/>
      <c r="DP143" s="38"/>
      <c r="DQ143" s="38"/>
      <c r="DR143" s="38"/>
      <c r="DS143" s="38"/>
      <c r="DT143" s="38"/>
      <c r="DU143" s="38"/>
      <c r="DV143" s="38"/>
      <c r="DW143" s="38"/>
      <c r="DX143" s="38"/>
      <c r="DY143" s="38"/>
      <c r="DZ143" s="38"/>
      <c r="EA143" s="38"/>
      <c r="EB143" s="38"/>
      <c r="EC143" s="38"/>
      <c r="ED143" s="38"/>
      <c r="EE143" s="38"/>
      <c r="EF143" s="38"/>
      <c r="EG143" s="38"/>
      <c r="EH143" s="38"/>
      <c r="EI143" s="38"/>
      <c r="EJ143" s="38"/>
      <c r="EK143" s="38"/>
      <c r="EL143" s="38"/>
      <c r="EM143" s="38"/>
      <c r="EN143" s="38"/>
      <c r="EO143" s="38"/>
      <c r="EP143" s="38"/>
      <c r="EQ143" s="38"/>
      <c r="ER143" s="38"/>
      <c r="ES143" s="38"/>
      <c r="ET143" s="38"/>
      <c r="EU143" s="38"/>
      <c r="EV143" s="38"/>
      <c r="EW143" s="38"/>
      <c r="EX143" s="38"/>
      <c r="EY143" s="38"/>
      <c r="EZ143" s="38"/>
      <c r="FA143" s="38"/>
      <c r="FB143" s="38"/>
      <c r="FC143" s="38"/>
      <c r="FD143" s="38"/>
      <c r="FE143" s="38"/>
      <c r="FF143" s="38"/>
      <c r="FG143" s="38"/>
      <c r="FH143" s="38"/>
      <c r="FI143" s="38"/>
      <c r="FJ143" s="38"/>
      <c r="FK143" s="38"/>
      <c r="FL143" s="38"/>
      <c r="FM143" s="38"/>
      <c r="FN143" s="38"/>
      <c r="FO143" s="38"/>
      <c r="FP143" s="38"/>
      <c r="FQ143" s="38"/>
      <c r="FR143" s="38"/>
      <c r="FS143" s="38"/>
      <c r="FT143" s="38"/>
      <c r="FU143" s="38"/>
      <c r="FV143" s="38"/>
      <c r="FW143" s="38"/>
      <c r="FX143" s="38"/>
      <c r="FY143" s="38"/>
      <c r="FZ143" s="38"/>
      <c r="GA143" s="38"/>
      <c r="GB143" s="38"/>
      <c r="GC143" s="38"/>
      <c r="GD143" s="38"/>
      <c r="GE143" s="38"/>
      <c r="GF143" s="38"/>
      <c r="GG143" s="38"/>
      <c r="GH143" s="38"/>
      <c r="GI143" s="38"/>
      <c r="GJ143" s="38"/>
      <c r="GK143" s="38"/>
      <c r="GL143" s="38"/>
      <c r="GM143" s="38"/>
      <c r="GN143" s="38"/>
      <c r="GO143" s="38"/>
      <c r="GP143" s="38"/>
      <c r="GQ143" s="38"/>
      <c r="GR143" s="38"/>
      <c r="GS143" s="38"/>
      <c r="GT143" s="38"/>
      <c r="GU143" s="38"/>
      <c r="GV143" s="38"/>
      <c r="GW143" s="38"/>
      <c r="GX143" s="38"/>
      <c r="GY143" s="38"/>
      <c r="GZ143" s="38"/>
      <c r="HA143" s="38"/>
      <c r="HB143" s="38"/>
      <c r="HC143" s="38"/>
      <c r="HD143" s="38"/>
      <c r="HE143" s="38"/>
      <c r="HF143" s="38"/>
      <c r="HG143" s="38"/>
      <c r="HH143" s="38"/>
      <c r="HI143" s="38"/>
      <c r="HJ143" s="38"/>
      <c r="HK143" s="38"/>
      <c r="HL143" s="38"/>
      <c r="HM143" s="38"/>
      <c r="HN143" s="38"/>
      <c r="HO143" s="38"/>
      <c r="HP143" s="38"/>
      <c r="HQ143" s="38"/>
      <c r="HR143" s="38"/>
      <c r="HS143" s="38"/>
      <c r="HT143" s="38"/>
      <c r="HU143" s="38"/>
      <c r="HV143" s="38"/>
      <c r="HW143" s="38"/>
      <c r="HX143" s="38"/>
      <c r="HY143" s="38"/>
      <c r="HZ143" s="38"/>
      <c r="IA143" s="38"/>
      <c r="IB143" s="38"/>
      <c r="IC143" s="38"/>
      <c r="ID143" s="38"/>
      <c r="IE143" s="38"/>
      <c r="IF143" s="38"/>
      <c r="IG143" s="38"/>
      <c r="IH143" s="38"/>
      <c r="II143" s="38"/>
      <c r="IJ143" s="38"/>
      <c r="IK143" s="38"/>
      <c r="IL143" s="38"/>
      <c r="IM143" s="38"/>
      <c r="IN143" s="38"/>
      <c r="IO143" s="38"/>
      <c r="IP143" s="38"/>
      <c r="IQ143" s="38"/>
      <c r="IR143" s="38"/>
      <c r="IS143" s="38"/>
      <c r="IT143" s="38"/>
      <c r="IU143" s="38"/>
      <c r="IV143" s="38"/>
      <c r="IW143" s="38"/>
      <c r="IX143" s="38"/>
      <c r="IY143" s="38"/>
      <c r="IZ143" s="38"/>
      <c r="JA143" s="38"/>
      <c r="JB143" s="38"/>
      <c r="JC143" s="38"/>
      <c r="JD143" s="38"/>
      <c r="JE143" s="38"/>
      <c r="JF143" s="38"/>
      <c r="JG143" s="38"/>
      <c r="JH143" s="38"/>
      <c r="JI143" s="38"/>
      <c r="JJ143" s="38"/>
      <c r="JK143" s="38"/>
      <c r="JL143" s="38"/>
      <c r="JM143" s="38"/>
      <c r="JN143" s="38"/>
      <c r="JO143" s="38"/>
      <c r="JP143" s="38"/>
      <c r="JQ143" s="38"/>
      <c r="JR143" s="38"/>
      <c r="JS143" s="38"/>
      <c r="JT143" s="38"/>
      <c r="JU143" s="38"/>
      <c r="JV143" s="38"/>
      <c r="JW143" s="38"/>
      <c r="JX143" s="38"/>
      <c r="JY143" s="38"/>
      <c r="JZ143" s="38"/>
      <c r="KA143" s="38"/>
      <c r="KB143" s="38"/>
      <c r="KC143" s="38"/>
      <c r="KD143" s="38"/>
      <c r="KE143" s="38"/>
      <c r="KF143" s="38"/>
      <c r="KG143" s="38"/>
      <c r="KH143" s="38"/>
      <c r="KI143" s="38"/>
      <c r="KJ143" s="38"/>
      <c r="KK143" s="38"/>
      <c r="KL143" s="38"/>
      <c r="KM143" s="38"/>
      <c r="KN143" s="38"/>
      <c r="KO143" s="38"/>
      <c r="KP143" s="38"/>
      <c r="KQ143" s="38"/>
      <c r="KR143" s="38"/>
      <c r="KS143" s="38"/>
      <c r="KT143" s="38"/>
      <c r="KU143" s="38"/>
      <c r="KV143" s="38"/>
      <c r="KW143" s="38"/>
      <c r="KX143" s="38"/>
      <c r="KY143" s="38"/>
      <c r="KZ143" s="38"/>
      <c r="LA143" s="38"/>
      <c r="LB143" s="38"/>
      <c r="LC143" s="38"/>
      <c r="LD143" s="38"/>
      <c r="LE143" s="38"/>
      <c r="LF143" s="38"/>
      <c r="LG143" s="38"/>
      <c r="LH143" s="38"/>
      <c r="LI143" s="38"/>
      <c r="LJ143" s="38"/>
      <c r="LK143" s="38"/>
      <c r="LL143" s="38"/>
      <c r="LM143" s="38"/>
      <c r="LN143" s="38"/>
      <c r="LO143" s="38"/>
      <c r="LP143" s="38"/>
      <c r="LQ143" s="38"/>
      <c r="LR143" s="38"/>
      <c r="LS143" s="38"/>
      <c r="LT143" s="38"/>
      <c r="LU143" s="38"/>
      <c r="LV143" s="38"/>
      <c r="LW143" s="38"/>
      <c r="LX143" s="38"/>
      <c r="LY143" s="38"/>
      <c r="LZ143" s="38"/>
      <c r="MA143" s="38"/>
      <c r="MB143" s="38"/>
      <c r="MC143" s="38"/>
      <c r="MD143" s="38"/>
      <c r="ME143" s="38"/>
      <c r="MF143" s="38"/>
      <c r="MG143" s="38"/>
      <c r="MH143" s="38"/>
      <c r="MI143" s="38"/>
      <c r="MJ143" s="38"/>
      <c r="MK143" s="38"/>
      <c r="ML143" s="38"/>
      <c r="MM143" s="38"/>
      <c r="MN143" s="38"/>
      <c r="MO143" s="38"/>
      <c r="MP143" s="38"/>
      <c r="MQ143" s="38"/>
      <c r="MR143" s="38"/>
      <c r="MS143" s="38"/>
      <c r="MT143" s="38"/>
      <c r="MU143" s="38"/>
      <c r="MV143" s="38"/>
      <c r="MW143" s="38"/>
      <c r="MX143" s="38"/>
      <c r="MY143" s="38"/>
      <c r="MZ143" s="38"/>
      <c r="NA143" s="38"/>
      <c r="NB143" s="38"/>
      <c r="NC143" s="38"/>
      <c r="ND143" s="38"/>
      <c r="NE143" s="38"/>
      <c r="NF143" s="38"/>
      <c r="NG143" s="38"/>
      <c r="NH143" s="38"/>
      <c r="NI143" s="38"/>
      <c r="NJ143" s="38"/>
      <c r="NK143" s="38"/>
      <c r="NL143" s="38"/>
      <c r="NM143" s="38"/>
      <c r="NN143" s="38"/>
      <c r="NO143" s="38"/>
      <c r="NP143" s="38"/>
      <c r="NQ143" s="38"/>
      <c r="NR143" s="38"/>
      <c r="NS143" s="38"/>
      <c r="NT143" s="38"/>
      <c r="NU143" s="38"/>
      <c r="NV143" s="38"/>
      <c r="NW143" s="38"/>
      <c r="NX143" s="38"/>
      <c r="NY143" s="38"/>
      <c r="NZ143" s="38"/>
      <c r="OA143" s="38"/>
      <c r="OB143" s="38"/>
      <c r="OC143" s="38"/>
      <c r="OD143" s="38"/>
      <c r="OE143" s="38"/>
      <c r="OF143" s="38"/>
      <c r="OG143" s="38"/>
      <c r="OH143" s="38"/>
      <c r="OI143" s="38"/>
      <c r="OJ143" s="38"/>
      <c r="OK143" s="38"/>
      <c r="OL143" s="38"/>
      <c r="OM143" s="38"/>
      <c r="ON143" s="38"/>
      <c r="OO143" s="38"/>
      <c r="OP143" s="38"/>
      <c r="OQ143" s="38"/>
      <c r="OR143" s="38"/>
      <c r="OS143" s="38"/>
      <c r="OT143" s="38"/>
      <c r="OU143" s="38"/>
      <c r="OV143" s="38"/>
      <c r="OW143" s="38"/>
      <c r="OX143" s="38"/>
      <c r="OY143" s="38"/>
      <c r="OZ143" s="38"/>
      <c r="PA143" s="38"/>
      <c r="PB143" s="38"/>
      <c r="PC143" s="38"/>
      <c r="PD143" s="38"/>
      <c r="PE143" s="38"/>
      <c r="PF143" s="38"/>
      <c r="PG143" s="38"/>
      <c r="PH143" s="38"/>
      <c r="PI143" s="38"/>
      <c r="PJ143" s="38"/>
      <c r="PK143" s="38"/>
      <c r="PL143" s="38"/>
      <c r="PM143" s="38"/>
      <c r="PN143" s="38"/>
      <c r="PO143" s="38"/>
      <c r="PP143" s="38"/>
      <c r="PQ143" s="38"/>
      <c r="PR143" s="38"/>
      <c r="PS143" s="38"/>
      <c r="PT143" s="38"/>
      <c r="PU143" s="38"/>
      <c r="PV143" s="38"/>
      <c r="PW143" s="38"/>
      <c r="PX143" s="38"/>
      <c r="PY143" s="38"/>
      <c r="PZ143" s="38"/>
      <c r="QA143" s="38"/>
      <c r="QB143" s="38"/>
      <c r="QC143" s="38"/>
      <c r="QD143" s="38"/>
      <c r="QE143" s="38"/>
      <c r="QF143" s="38"/>
      <c r="QG143" s="38"/>
      <c r="QH143" s="38"/>
      <c r="QI143" s="38"/>
      <c r="QJ143" s="38"/>
      <c r="QK143" s="38"/>
      <c r="QL143" s="38"/>
      <c r="QM143" s="38"/>
      <c r="QN143" s="38"/>
      <c r="QO143" s="38"/>
      <c r="QP143" s="38"/>
      <c r="QQ143" s="38"/>
      <c r="QR143" s="38"/>
      <c r="QS143" s="38"/>
      <c r="QT143" s="38"/>
      <c r="QU143" s="38"/>
      <c r="QV143" s="38"/>
      <c r="QW143" s="38"/>
      <c r="QX143" s="38"/>
      <c r="QY143" s="38"/>
      <c r="QZ143" s="38"/>
      <c r="RA143" s="38"/>
      <c r="RB143" s="38"/>
      <c r="RC143" s="38"/>
      <c r="RD143" s="38"/>
      <c r="RE143" s="38"/>
      <c r="RF143" s="38"/>
      <c r="RG143" s="38"/>
      <c r="RH143" s="38"/>
      <c r="RI143" s="38"/>
      <c r="RJ143" s="38"/>
      <c r="RK143" s="38"/>
      <c r="RL143" s="38"/>
      <c r="RM143" s="38"/>
      <c r="RN143" s="38"/>
      <c r="RO143" s="38"/>
      <c r="RP143" s="38"/>
      <c r="RQ143" s="38"/>
      <c r="RR143" s="38"/>
      <c r="RS143" s="38"/>
      <c r="RT143" s="38"/>
      <c r="RU143" s="38"/>
      <c r="RV143" s="38"/>
      <c r="RW143" s="38"/>
      <c r="RX143" s="38"/>
      <c r="RY143" s="38"/>
      <c r="RZ143" s="38"/>
      <c r="SA143" s="38"/>
      <c r="SB143" s="38"/>
      <c r="SC143" s="38"/>
      <c r="SD143" s="38"/>
      <c r="SE143" s="38"/>
      <c r="SF143" s="38"/>
      <c r="SG143" s="38"/>
      <c r="SH143" s="38"/>
      <c r="SI143" s="38"/>
      <c r="SJ143" s="38"/>
      <c r="SK143" s="38"/>
      <c r="SL143" s="38"/>
      <c r="SM143" s="38"/>
      <c r="SN143" s="38"/>
      <c r="SO143" s="38"/>
      <c r="SP143" s="38"/>
      <c r="SQ143" s="38"/>
      <c r="SR143" s="38"/>
      <c r="SS143" s="38"/>
      <c r="ST143" s="38"/>
      <c r="SU143" s="38"/>
      <c r="SV143" s="38"/>
      <c r="SW143" s="38"/>
      <c r="SX143" s="38"/>
      <c r="SY143" s="38"/>
      <c r="SZ143" s="38"/>
      <c r="TA143" s="38"/>
      <c r="TB143" s="38"/>
      <c r="TC143" s="38"/>
      <c r="TD143" s="38"/>
      <c r="TE143" s="38"/>
      <c r="TF143" s="38"/>
      <c r="TG143" s="38"/>
      <c r="TH143" s="38"/>
      <c r="TI143" s="38"/>
      <c r="TJ143" s="38"/>
      <c r="TK143" s="38"/>
      <c r="TL143" s="38"/>
      <c r="TM143" s="38"/>
      <c r="TN143" s="38"/>
      <c r="TO143" s="38"/>
      <c r="TP143" s="38"/>
      <c r="TQ143" s="38"/>
      <c r="TR143" s="38"/>
      <c r="TS143" s="38"/>
      <c r="TT143" s="38"/>
      <c r="TU143" s="38"/>
      <c r="TV143" s="38"/>
      <c r="TW143" s="38"/>
      <c r="TX143" s="38"/>
      <c r="TY143" s="38"/>
      <c r="TZ143" s="38"/>
      <c r="UA143" s="38"/>
      <c r="UB143" s="38"/>
      <c r="UC143" s="38"/>
      <c r="UD143" s="38"/>
      <c r="UE143" s="38"/>
      <c r="UF143" s="38"/>
      <c r="UG143" s="38"/>
      <c r="UH143" s="38"/>
      <c r="UI143" s="38"/>
      <c r="UJ143" s="38"/>
      <c r="UK143" s="38"/>
      <c r="UL143" s="38"/>
      <c r="UM143" s="38"/>
      <c r="UN143" s="38"/>
      <c r="UO143" s="38"/>
      <c r="UP143" s="38"/>
      <c r="UQ143" s="38"/>
      <c r="UR143" s="38"/>
      <c r="US143" s="38"/>
      <c r="UT143" s="38"/>
      <c r="UU143" s="38"/>
      <c r="UV143" s="38"/>
      <c r="UW143" s="38"/>
      <c r="UX143" s="38"/>
      <c r="UY143" s="38"/>
      <c r="UZ143" s="38"/>
      <c r="VA143" s="38"/>
      <c r="VB143" s="38"/>
      <c r="VC143" s="38"/>
      <c r="VD143" s="38"/>
      <c r="VE143" s="38"/>
      <c r="VF143" s="38"/>
      <c r="VG143" s="38"/>
      <c r="VH143" s="38"/>
      <c r="VI143" s="38"/>
      <c r="VJ143" s="38"/>
      <c r="VK143" s="38"/>
      <c r="VL143" s="38"/>
      <c r="VM143" s="38"/>
      <c r="VN143" s="38"/>
      <c r="VO143" s="38"/>
      <c r="VP143" s="38"/>
      <c r="VQ143" s="38"/>
      <c r="VR143" s="38"/>
      <c r="VS143" s="38"/>
      <c r="VT143" s="38"/>
      <c r="VU143" s="38"/>
      <c r="VV143" s="38"/>
      <c r="VW143" s="38"/>
      <c r="VX143" s="38"/>
      <c r="VY143" s="38"/>
      <c r="VZ143" s="38"/>
      <c r="WA143" s="38"/>
      <c r="WB143" s="38"/>
      <c r="WC143" s="38"/>
      <c r="WD143" s="38"/>
      <c r="WE143" s="38"/>
      <c r="WF143" s="38"/>
      <c r="WG143" s="38"/>
      <c r="WH143" s="38"/>
      <c r="WI143" s="38"/>
      <c r="WJ143" s="38"/>
      <c r="WK143" s="38"/>
      <c r="WL143" s="38"/>
      <c r="WM143" s="38"/>
      <c r="WN143" s="38"/>
      <c r="WO143" s="38"/>
      <c r="WP143" s="38"/>
      <c r="WQ143" s="38"/>
      <c r="WR143" s="38"/>
      <c r="WS143" s="38"/>
      <c r="WT143" s="38"/>
      <c r="WU143" s="38"/>
      <c r="WV143" s="38"/>
      <c r="WW143" s="38"/>
      <c r="WX143" s="38"/>
      <c r="WY143" s="38"/>
      <c r="WZ143" s="38"/>
      <c r="XA143" s="38"/>
      <c r="XB143" s="38"/>
      <c r="XC143" s="38"/>
      <c r="XD143" s="38"/>
      <c r="XE143" s="38"/>
      <c r="XF143" s="38"/>
      <c r="XG143" s="38"/>
      <c r="XH143" s="38"/>
      <c r="XI143" s="38"/>
      <c r="XJ143" s="38"/>
      <c r="XK143" s="38"/>
      <c r="XL143" s="38"/>
      <c r="XM143" s="38"/>
      <c r="XN143" s="38"/>
      <c r="XO143" s="38"/>
      <c r="XP143" s="38"/>
      <c r="XQ143" s="38"/>
      <c r="XR143" s="38"/>
      <c r="XS143" s="38"/>
      <c r="XT143" s="38"/>
      <c r="XU143" s="38"/>
      <c r="XV143" s="38"/>
      <c r="XW143" s="38"/>
      <c r="XX143" s="38"/>
      <c r="XY143" s="38"/>
      <c r="XZ143" s="38"/>
      <c r="YA143" s="38"/>
      <c r="YB143" s="38"/>
      <c r="YC143" s="38"/>
      <c r="YD143" s="38"/>
      <c r="YE143" s="38"/>
      <c r="YF143" s="38"/>
      <c r="YG143" s="38"/>
      <c r="YH143" s="38"/>
      <c r="YI143" s="38"/>
      <c r="YJ143" s="38"/>
      <c r="YK143" s="38"/>
      <c r="YL143" s="38"/>
      <c r="YM143" s="38"/>
      <c r="YN143" s="38"/>
      <c r="YO143" s="38"/>
      <c r="YP143" s="38"/>
      <c r="YQ143" s="38"/>
      <c r="YR143" s="38"/>
      <c r="YS143" s="38"/>
      <c r="YT143" s="38"/>
      <c r="YU143" s="38"/>
      <c r="YV143" s="38"/>
      <c r="YW143" s="38"/>
      <c r="YX143" s="38"/>
      <c r="YY143" s="38"/>
      <c r="YZ143" s="38"/>
      <c r="ZA143" s="38"/>
      <c r="ZB143" s="38"/>
      <c r="ZC143" s="38"/>
      <c r="ZD143" s="38"/>
      <c r="ZE143" s="38"/>
      <c r="ZF143" s="38"/>
      <c r="ZG143" s="38"/>
      <c r="ZH143" s="38"/>
      <c r="ZI143" s="38"/>
      <c r="ZJ143" s="38"/>
      <c r="ZK143" s="38"/>
      <c r="ZL143" s="38"/>
      <c r="ZM143" s="38"/>
      <c r="ZN143" s="38"/>
      <c r="ZO143" s="38"/>
      <c r="ZP143" s="38"/>
      <c r="ZQ143" s="38"/>
      <c r="ZR143" s="38"/>
      <c r="ZS143" s="38"/>
      <c r="ZT143" s="38"/>
      <c r="ZU143" s="38"/>
      <c r="ZV143" s="38"/>
      <c r="ZW143" s="38"/>
      <c r="ZX143" s="38"/>
      <c r="ZY143" s="38"/>
      <c r="ZZ143" s="38"/>
      <c r="AAA143" s="38"/>
      <c r="AAB143" s="38"/>
      <c r="AAC143" s="38"/>
      <c r="AAD143" s="38"/>
      <c r="AAE143" s="38"/>
      <c r="AAF143" s="38"/>
      <c r="AAG143" s="38"/>
      <c r="AAH143" s="38"/>
      <c r="AAI143" s="38"/>
      <c r="AAJ143" s="38"/>
      <c r="AAK143" s="38"/>
      <c r="AAL143" s="38"/>
      <c r="AAM143" s="38"/>
      <c r="AAN143" s="38"/>
      <c r="AAO143" s="38"/>
      <c r="AAP143" s="38"/>
      <c r="AAQ143" s="38"/>
      <c r="AAR143" s="38"/>
      <c r="AAS143" s="38"/>
      <c r="AAT143" s="38"/>
      <c r="AAU143" s="38"/>
      <c r="AAV143" s="38"/>
      <c r="AAW143" s="38"/>
      <c r="AAX143" s="38"/>
      <c r="AAY143" s="38"/>
      <c r="AAZ143" s="38"/>
      <c r="ABA143" s="38"/>
      <c r="ABB143" s="38"/>
      <c r="ABC143" s="38"/>
      <c r="ABD143" s="38"/>
      <c r="ABE143" s="38"/>
      <c r="ABF143" s="38"/>
      <c r="ABG143" s="38"/>
      <c r="ABH143" s="38"/>
      <c r="ABI143" s="38"/>
      <c r="ABJ143" s="38"/>
      <c r="ABK143" s="38"/>
      <c r="ABL143" s="38"/>
      <c r="ABM143" s="38"/>
      <c r="ABN143" s="38"/>
      <c r="ABO143" s="38"/>
      <c r="ABP143" s="38"/>
      <c r="ABQ143" s="38"/>
      <c r="ABR143" s="38"/>
      <c r="ABS143" s="38"/>
      <c r="ABT143" s="38"/>
      <c r="ABU143" s="38"/>
      <c r="ABV143" s="38"/>
      <c r="ABW143" s="38"/>
      <c r="ABX143" s="38"/>
      <c r="ABY143" s="38"/>
      <c r="ABZ143" s="38"/>
      <c r="ACA143" s="38"/>
      <c r="ACB143" s="38"/>
      <c r="ACC143" s="38"/>
      <c r="ACD143" s="38"/>
      <c r="ACE143" s="38"/>
      <c r="ACF143" s="38"/>
      <c r="ACG143" s="38"/>
      <c r="ACH143" s="38"/>
      <c r="ACI143" s="38"/>
      <c r="ACJ143" s="38"/>
      <c r="ACK143" s="38"/>
      <c r="ACL143" s="38"/>
      <c r="ACM143" s="38"/>
      <c r="ACN143" s="38"/>
      <c r="ACO143" s="38"/>
      <c r="ACP143" s="38"/>
      <c r="ACQ143" s="38"/>
      <c r="ACR143" s="38"/>
      <c r="ACS143" s="38"/>
      <c r="ACT143" s="38"/>
      <c r="ACU143" s="38"/>
      <c r="ACV143" s="38"/>
      <c r="ACW143" s="38"/>
      <c r="ACX143" s="38"/>
      <c r="ACY143" s="38"/>
      <c r="ACZ143" s="38"/>
      <c r="ADA143" s="38"/>
      <c r="ADB143" s="38"/>
      <c r="ADC143" s="38"/>
      <c r="ADD143" s="38"/>
      <c r="ADE143" s="38"/>
      <c r="ADF143" s="38"/>
      <c r="ADG143" s="38"/>
      <c r="ADH143" s="38"/>
      <c r="ADI143" s="38"/>
      <c r="ADJ143" s="38"/>
      <c r="ADK143" s="38"/>
      <c r="ADL143" s="38"/>
      <c r="ADM143" s="38"/>
      <c r="ADN143" s="38"/>
      <c r="ADO143" s="38"/>
      <c r="ADP143" s="38"/>
      <c r="ADQ143" s="38"/>
      <c r="ADR143" s="38"/>
      <c r="ADS143" s="38"/>
      <c r="ADT143" s="38"/>
      <c r="ADU143" s="38"/>
      <c r="ADV143" s="38"/>
      <c r="ADW143" s="38"/>
      <c r="ADX143" s="38"/>
      <c r="ADY143" s="38"/>
      <c r="ADZ143" s="38"/>
      <c r="AEA143" s="38"/>
      <c r="AEB143" s="38"/>
      <c r="AEC143" s="38"/>
      <c r="AED143" s="38"/>
      <c r="AEE143" s="38"/>
      <c r="AEF143" s="38"/>
      <c r="AEG143" s="38"/>
      <c r="AEH143" s="38"/>
      <c r="AEI143" s="38"/>
      <c r="AEJ143" s="38"/>
      <c r="AEK143" s="38"/>
      <c r="AEL143" s="38"/>
      <c r="AEM143" s="38"/>
      <c r="AEN143" s="38"/>
      <c r="AEO143" s="38"/>
      <c r="AEP143" s="38"/>
      <c r="AEQ143" s="38"/>
      <c r="AER143" s="38"/>
      <c r="AES143" s="38"/>
      <c r="AET143" s="38"/>
      <c r="AEU143" s="38"/>
      <c r="AEV143" s="38"/>
      <c r="AEW143" s="38"/>
      <c r="AEX143" s="38"/>
      <c r="AEY143" s="38"/>
      <c r="AEZ143" s="38"/>
      <c r="AFA143" s="38"/>
      <c r="AFB143" s="38"/>
      <c r="AFC143" s="38"/>
      <c r="AFD143" s="38"/>
      <c r="AFE143" s="38"/>
      <c r="AFF143" s="38"/>
      <c r="AFG143" s="38"/>
      <c r="AFH143" s="38"/>
      <c r="AFI143" s="38"/>
      <c r="AFJ143" s="38"/>
      <c r="AFK143" s="38"/>
      <c r="AFL143" s="38"/>
      <c r="AFM143" s="38"/>
      <c r="AFN143" s="38"/>
      <c r="AFO143" s="38"/>
      <c r="AFP143" s="38"/>
      <c r="AFQ143" s="38"/>
      <c r="AFR143" s="38"/>
      <c r="AFS143" s="38"/>
      <c r="AFT143" s="38"/>
      <c r="AFU143" s="38"/>
      <c r="AFV143" s="38"/>
      <c r="AFW143" s="38"/>
      <c r="AFX143" s="38"/>
      <c r="AFY143" s="38"/>
      <c r="AFZ143" s="38"/>
      <c r="AGA143" s="38"/>
      <c r="AGB143" s="38"/>
      <c r="AGC143" s="38"/>
      <c r="AGD143" s="38"/>
      <c r="AGE143" s="38"/>
      <c r="AGF143" s="38"/>
      <c r="AGG143" s="38"/>
      <c r="AGH143" s="38"/>
      <c r="AGI143" s="38"/>
      <c r="AGJ143" s="38"/>
      <c r="AGK143" s="38"/>
      <c r="AGL143" s="38"/>
      <c r="AGM143" s="38"/>
      <c r="AGN143" s="38"/>
      <c r="AGO143" s="38"/>
      <c r="AGP143" s="38"/>
      <c r="AGQ143" s="38"/>
      <c r="AGR143" s="38"/>
      <c r="AGS143" s="38"/>
      <c r="AGT143" s="38"/>
      <c r="AGU143" s="38"/>
      <c r="AGV143" s="38"/>
      <c r="AGW143" s="38"/>
      <c r="AGX143" s="38"/>
      <c r="AGY143" s="38"/>
      <c r="AGZ143" s="38"/>
      <c r="AHA143" s="38"/>
      <c r="AHB143" s="38"/>
      <c r="AHC143" s="38"/>
      <c r="AHD143" s="38"/>
      <c r="AHE143" s="38"/>
      <c r="AHF143" s="38"/>
      <c r="AHG143" s="38"/>
      <c r="AHH143" s="38"/>
      <c r="AHI143" s="38"/>
      <c r="AHJ143" s="38"/>
      <c r="AHK143" s="38"/>
      <c r="AHL143" s="38"/>
      <c r="AHM143" s="38"/>
      <c r="AHN143" s="38"/>
      <c r="AHO143" s="38"/>
      <c r="AHP143" s="38"/>
      <c r="AHQ143" s="38"/>
      <c r="AHR143" s="38"/>
      <c r="AHS143" s="38"/>
      <c r="AHT143" s="38"/>
      <c r="AHU143" s="38"/>
      <c r="AHV143" s="38"/>
    </row>
  </sheetData>
  <autoFilter ref="B2:B152"/>
  <sortState ref="A6:H141">
    <sortCondition ref="A6"/>
  </sortState>
  <mergeCells count="6">
    <mergeCell ref="A1:B1"/>
    <mergeCell ref="G2:H2"/>
    <mergeCell ref="A2:B2"/>
    <mergeCell ref="E4:F4"/>
    <mergeCell ref="G4:H4"/>
    <mergeCell ref="A3:H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J141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G137" sqref="G137"/>
    </sheetView>
  </sheetViews>
  <sheetFormatPr defaultRowHeight="14.5" x14ac:dyDescent="0.35"/>
  <cols>
    <col min="1" max="1" width="4.54296875" customWidth="1"/>
    <col min="2" max="2" width="31.1796875" customWidth="1"/>
    <col min="3" max="3" width="23" customWidth="1"/>
    <col min="4" max="4" width="9.1796875" customWidth="1"/>
    <col min="5" max="5" width="9.1796875" style="3" customWidth="1"/>
    <col min="6" max="6" width="9.1796875" style="3"/>
    <col min="7" max="7" width="10.26953125" style="3" customWidth="1"/>
    <col min="8" max="8" width="9.1796875" style="3"/>
    <col min="9" max="9" width="9.1796875" style="52"/>
  </cols>
  <sheetData>
    <row r="1" spans="1:10" s="48" customFormat="1" x14ac:dyDescent="0.35">
      <c r="A1" s="151" t="s">
        <v>287</v>
      </c>
      <c r="B1" s="151"/>
      <c r="E1" s="49"/>
      <c r="F1" s="49"/>
      <c r="G1" s="49"/>
      <c r="H1" s="49"/>
      <c r="I1" s="52"/>
    </row>
    <row r="2" spans="1:10" s="48" customFormat="1" ht="15" customHeight="1" x14ac:dyDescent="0.35">
      <c r="A2" s="151" t="s">
        <v>289</v>
      </c>
      <c r="B2" s="151"/>
      <c r="C2" s="54"/>
      <c r="D2" s="82"/>
      <c r="E2" s="82"/>
      <c r="F2" s="82"/>
      <c r="G2" s="152" t="s">
        <v>288</v>
      </c>
      <c r="H2" s="153"/>
      <c r="I2" s="52"/>
    </row>
    <row r="3" spans="1:10" ht="14.5" customHeight="1" x14ac:dyDescent="0.35">
      <c r="A3" s="156" t="s">
        <v>1</v>
      </c>
      <c r="B3" s="157"/>
      <c r="C3" s="157"/>
      <c r="D3" s="157"/>
      <c r="E3" s="157"/>
      <c r="F3" s="157"/>
      <c r="G3" s="157"/>
      <c r="H3" s="158"/>
      <c r="I3" s="56"/>
      <c r="J3" s="55"/>
    </row>
    <row r="4" spans="1:10" x14ac:dyDescent="0.35">
      <c r="A4" s="51"/>
      <c r="B4" s="51"/>
      <c r="C4" s="51"/>
      <c r="D4" s="51"/>
      <c r="E4" s="154" t="s">
        <v>3</v>
      </c>
      <c r="F4" s="154"/>
      <c r="G4" s="154" t="s">
        <v>4</v>
      </c>
      <c r="H4" s="154"/>
    </row>
    <row r="5" spans="1:10" ht="29" x14ac:dyDescent="0.35">
      <c r="A5" s="39" t="s">
        <v>5</v>
      </c>
      <c r="B5" s="39" t="s">
        <v>6</v>
      </c>
      <c r="C5" s="39" t="s">
        <v>7</v>
      </c>
      <c r="D5" s="39" t="s">
        <v>8</v>
      </c>
      <c r="E5" s="53" t="s">
        <v>10</v>
      </c>
      <c r="F5" s="53" t="s">
        <v>11</v>
      </c>
      <c r="G5" s="53" t="s">
        <v>243</v>
      </c>
      <c r="H5" s="53" t="s">
        <v>12</v>
      </c>
    </row>
    <row r="6" spans="1:10" x14ac:dyDescent="0.35">
      <c r="A6" s="124">
        <v>1</v>
      </c>
      <c r="B6" s="124" t="s">
        <v>13</v>
      </c>
      <c r="C6" s="124" t="s">
        <v>14</v>
      </c>
      <c r="D6" s="124" t="s">
        <v>15</v>
      </c>
      <c r="E6" s="125"/>
      <c r="F6" s="125"/>
      <c r="G6" s="125"/>
      <c r="H6" s="125"/>
    </row>
    <row r="7" spans="1:10" x14ac:dyDescent="0.35">
      <c r="A7" s="124">
        <v>2</v>
      </c>
      <c r="B7" s="124" t="s">
        <v>13</v>
      </c>
      <c r="C7" s="124" t="s">
        <v>16</v>
      </c>
      <c r="D7" s="124" t="s">
        <v>15</v>
      </c>
      <c r="E7" s="125"/>
      <c r="F7" s="125"/>
      <c r="G7" s="125"/>
      <c r="H7" s="125"/>
    </row>
    <row r="8" spans="1:10" x14ac:dyDescent="0.35">
      <c r="A8" s="124">
        <v>3</v>
      </c>
      <c r="B8" s="124" t="s">
        <v>17</v>
      </c>
      <c r="C8" s="128" t="s">
        <v>18</v>
      </c>
      <c r="D8" s="128" t="s">
        <v>19</v>
      </c>
      <c r="E8" s="125"/>
      <c r="F8" s="125"/>
      <c r="G8" s="125"/>
      <c r="H8" s="125"/>
    </row>
    <row r="9" spans="1:10" x14ac:dyDescent="0.35">
      <c r="A9" s="124">
        <v>4</v>
      </c>
      <c r="B9" s="124" t="s">
        <v>20</v>
      </c>
      <c r="C9" s="128" t="s">
        <v>18</v>
      </c>
      <c r="D9" s="128" t="s">
        <v>19</v>
      </c>
      <c r="E9" s="125"/>
      <c r="F9" s="125"/>
      <c r="G9" s="125"/>
      <c r="H9" s="125"/>
    </row>
    <row r="10" spans="1:10" x14ac:dyDescent="0.35">
      <c r="A10" s="124">
        <v>5</v>
      </c>
      <c r="B10" s="124" t="s">
        <v>21</v>
      </c>
      <c r="C10" s="128" t="s">
        <v>18</v>
      </c>
      <c r="D10" s="128" t="s">
        <v>19</v>
      </c>
      <c r="E10" s="125"/>
      <c r="F10" s="125"/>
      <c r="G10" s="125"/>
      <c r="H10" s="125"/>
    </row>
    <row r="11" spans="1:10" x14ac:dyDescent="0.35">
      <c r="A11" s="124">
        <v>6</v>
      </c>
      <c r="B11" s="124" t="s">
        <v>22</v>
      </c>
      <c r="C11" s="128" t="s">
        <v>18</v>
      </c>
      <c r="D11" s="128" t="s">
        <v>19</v>
      </c>
      <c r="E11" s="125"/>
      <c r="F11" s="125"/>
      <c r="G11" s="125"/>
      <c r="H11" s="125"/>
    </row>
    <row r="12" spans="1:10" x14ac:dyDescent="0.35">
      <c r="A12" s="124">
        <v>7</v>
      </c>
      <c r="B12" s="124" t="s">
        <v>23</v>
      </c>
      <c r="C12" s="128" t="s">
        <v>18</v>
      </c>
      <c r="D12" s="128" t="s">
        <v>19</v>
      </c>
      <c r="E12" s="125"/>
      <c r="F12" s="125"/>
      <c r="G12" s="125"/>
      <c r="H12" s="125"/>
    </row>
    <row r="13" spans="1:10" ht="14.5" customHeight="1" x14ac:dyDescent="0.35">
      <c r="A13" s="124">
        <v>8</v>
      </c>
      <c r="B13" s="124" t="s">
        <v>24</v>
      </c>
      <c r="C13" s="128"/>
      <c r="D13" s="128" t="s">
        <v>15</v>
      </c>
      <c r="E13" s="125">
        <v>23.15</v>
      </c>
      <c r="F13" s="125">
        <v>24.95</v>
      </c>
      <c r="G13" s="125"/>
      <c r="H13" s="125">
        <v>26.8</v>
      </c>
    </row>
    <row r="14" spans="1:10" ht="14.5" customHeight="1" x14ac:dyDescent="0.35">
      <c r="A14" s="124">
        <v>9</v>
      </c>
      <c r="B14" s="124" t="s">
        <v>25</v>
      </c>
      <c r="C14" s="128"/>
      <c r="D14" s="128" t="s">
        <v>15</v>
      </c>
      <c r="E14" s="125">
        <v>33.15</v>
      </c>
      <c r="F14" s="125">
        <v>35.119999999999997</v>
      </c>
      <c r="G14" s="125">
        <v>39.46</v>
      </c>
      <c r="H14" s="125">
        <v>38.53</v>
      </c>
    </row>
    <row r="15" spans="1:10" ht="14.5" customHeight="1" x14ac:dyDescent="0.35">
      <c r="A15" s="124">
        <v>10</v>
      </c>
      <c r="B15" s="124" t="s">
        <v>26</v>
      </c>
      <c r="C15" s="128"/>
      <c r="D15" s="128" t="s">
        <v>15</v>
      </c>
      <c r="E15" s="125">
        <v>28.61</v>
      </c>
      <c r="F15" s="125">
        <v>32.79</v>
      </c>
      <c r="G15" s="125"/>
      <c r="H15" s="125"/>
    </row>
    <row r="16" spans="1:10" ht="14.5" customHeight="1" x14ac:dyDescent="0.35">
      <c r="A16" s="124">
        <v>11</v>
      </c>
      <c r="B16" s="124" t="s">
        <v>27</v>
      </c>
      <c r="C16" s="128" t="s">
        <v>28</v>
      </c>
      <c r="D16" s="128" t="s">
        <v>29</v>
      </c>
      <c r="E16" s="125">
        <v>16.5</v>
      </c>
      <c r="F16" s="125">
        <v>16.399999999999999</v>
      </c>
      <c r="G16" s="125">
        <v>16.350000000000001</v>
      </c>
      <c r="H16" s="125">
        <v>15</v>
      </c>
    </row>
    <row r="17" spans="1:8" ht="14.5" customHeight="1" x14ac:dyDescent="0.35">
      <c r="A17" s="124">
        <v>12</v>
      </c>
      <c r="B17" s="124" t="s">
        <v>306</v>
      </c>
      <c r="C17" s="128" t="s">
        <v>31</v>
      </c>
      <c r="D17" s="128" t="s">
        <v>15</v>
      </c>
      <c r="E17" s="125">
        <v>28.61</v>
      </c>
      <c r="F17" s="125">
        <v>25.29</v>
      </c>
      <c r="G17" s="125"/>
      <c r="H17" s="125"/>
    </row>
    <row r="18" spans="1:8" ht="14.5" customHeight="1" x14ac:dyDescent="0.35">
      <c r="A18" s="124">
        <v>13</v>
      </c>
      <c r="B18" s="124" t="s">
        <v>307</v>
      </c>
      <c r="C18" s="128" t="s">
        <v>32</v>
      </c>
      <c r="D18" s="128" t="s">
        <v>15</v>
      </c>
      <c r="E18" s="125"/>
      <c r="F18" s="125"/>
      <c r="G18" s="125"/>
      <c r="H18" s="125"/>
    </row>
    <row r="19" spans="1:8" x14ac:dyDescent="0.35">
      <c r="A19" s="124">
        <v>14</v>
      </c>
      <c r="B19" s="124" t="s">
        <v>304</v>
      </c>
      <c r="C19" s="128" t="s">
        <v>31</v>
      </c>
      <c r="D19" s="128" t="s">
        <v>15</v>
      </c>
      <c r="E19" s="125"/>
      <c r="F19" s="125"/>
      <c r="G19" s="125"/>
      <c r="H19" s="125"/>
    </row>
    <row r="20" spans="1:8" x14ac:dyDescent="0.35">
      <c r="A20" s="124">
        <v>15</v>
      </c>
      <c r="B20" s="124" t="s">
        <v>305</v>
      </c>
      <c r="C20" s="128" t="s">
        <v>32</v>
      </c>
      <c r="D20" s="128" t="s">
        <v>15</v>
      </c>
      <c r="E20" s="125">
        <v>32.950000000000003</v>
      </c>
      <c r="F20" s="125"/>
      <c r="G20" s="125">
        <v>36.4</v>
      </c>
      <c r="H20" s="125">
        <v>39.25</v>
      </c>
    </row>
    <row r="21" spans="1:8" x14ac:dyDescent="0.35">
      <c r="A21" s="124">
        <v>16</v>
      </c>
      <c r="B21" s="124" t="s">
        <v>34</v>
      </c>
      <c r="C21" s="128"/>
      <c r="D21" s="128" t="s">
        <v>15</v>
      </c>
      <c r="E21" s="125">
        <v>19.52</v>
      </c>
      <c r="F21" s="125">
        <v>26.31</v>
      </c>
      <c r="G21" s="125"/>
      <c r="H21" s="125"/>
    </row>
    <row r="22" spans="1:8" x14ac:dyDescent="0.35">
      <c r="A22" s="124">
        <v>17</v>
      </c>
      <c r="B22" s="124" t="s">
        <v>35</v>
      </c>
      <c r="C22" s="128" t="s">
        <v>36</v>
      </c>
      <c r="D22" s="128" t="s">
        <v>15</v>
      </c>
      <c r="E22" s="125">
        <v>56.95</v>
      </c>
      <c r="F22" s="125"/>
      <c r="G22" s="125">
        <v>59.6</v>
      </c>
      <c r="H22" s="125">
        <v>56</v>
      </c>
    </row>
    <row r="23" spans="1:8" x14ac:dyDescent="0.35">
      <c r="A23" s="124">
        <v>18</v>
      </c>
      <c r="B23" s="124" t="s">
        <v>37</v>
      </c>
      <c r="C23" s="128"/>
      <c r="D23" s="128" t="s">
        <v>15</v>
      </c>
      <c r="E23" s="125">
        <v>30.88</v>
      </c>
      <c r="F23" s="125">
        <v>32.880000000000003</v>
      </c>
      <c r="G23" s="125">
        <v>27.78</v>
      </c>
      <c r="H23" s="125">
        <v>31.8</v>
      </c>
    </row>
    <row r="24" spans="1:8" x14ac:dyDescent="0.35">
      <c r="A24" s="124">
        <v>19</v>
      </c>
      <c r="B24" s="124" t="s">
        <v>38</v>
      </c>
      <c r="C24" s="128" t="s">
        <v>39</v>
      </c>
      <c r="D24" s="128" t="s">
        <v>40</v>
      </c>
      <c r="E24" s="125">
        <v>16.95</v>
      </c>
      <c r="F24" s="125"/>
      <c r="G24" s="125">
        <v>15.45</v>
      </c>
      <c r="H24" s="125">
        <v>16.25</v>
      </c>
    </row>
    <row r="25" spans="1:8" x14ac:dyDescent="0.35">
      <c r="A25" s="124">
        <v>20</v>
      </c>
      <c r="B25" s="124" t="s">
        <v>38</v>
      </c>
      <c r="C25" s="128" t="s">
        <v>41</v>
      </c>
      <c r="D25" s="128" t="s">
        <v>40</v>
      </c>
      <c r="E25" s="125">
        <v>10.5</v>
      </c>
      <c r="F25" s="125">
        <v>9.1999999999999993</v>
      </c>
      <c r="G25" s="125">
        <v>10.4</v>
      </c>
      <c r="H25" s="125"/>
    </row>
    <row r="26" spans="1:8" x14ac:dyDescent="0.35">
      <c r="A26" s="124">
        <v>21</v>
      </c>
      <c r="B26" s="124" t="s">
        <v>42</v>
      </c>
      <c r="C26" s="128" t="s">
        <v>43</v>
      </c>
      <c r="D26" s="128" t="s">
        <v>40</v>
      </c>
      <c r="E26" s="125">
        <v>12.95</v>
      </c>
      <c r="F26" s="125">
        <v>11.95</v>
      </c>
      <c r="G26" s="125">
        <v>12.5</v>
      </c>
      <c r="H26" s="125">
        <v>12.75</v>
      </c>
    </row>
    <row r="27" spans="1:8" x14ac:dyDescent="0.35">
      <c r="A27" s="124">
        <v>22</v>
      </c>
      <c r="B27" s="124" t="s">
        <v>42</v>
      </c>
      <c r="C27" s="128" t="s">
        <v>44</v>
      </c>
      <c r="D27" s="128" t="s">
        <v>45</v>
      </c>
      <c r="E27" s="125">
        <v>35.950000000000003</v>
      </c>
      <c r="F27" s="125">
        <v>35.450000000000003</v>
      </c>
      <c r="G27" s="125">
        <v>32.49</v>
      </c>
      <c r="H27" s="125">
        <v>35.25</v>
      </c>
    </row>
    <row r="28" spans="1:8" x14ac:dyDescent="0.35">
      <c r="A28" s="124">
        <v>23</v>
      </c>
      <c r="B28" s="124" t="s">
        <v>46</v>
      </c>
      <c r="C28" s="128" t="s">
        <v>47</v>
      </c>
      <c r="D28" s="128" t="s">
        <v>48</v>
      </c>
      <c r="E28" s="125">
        <v>24</v>
      </c>
      <c r="F28" s="125">
        <v>24.85</v>
      </c>
      <c r="G28" s="125">
        <v>26.49</v>
      </c>
      <c r="H28" s="125">
        <v>24.75</v>
      </c>
    </row>
    <row r="29" spans="1:8" x14ac:dyDescent="0.35">
      <c r="A29" s="124">
        <v>24</v>
      </c>
      <c r="B29" s="124" t="s">
        <v>49</v>
      </c>
      <c r="C29" s="128" t="s">
        <v>50</v>
      </c>
      <c r="D29" s="128" t="s">
        <v>51</v>
      </c>
      <c r="E29" s="125">
        <v>14.95</v>
      </c>
      <c r="F29" s="125">
        <v>14.8</v>
      </c>
      <c r="G29" s="125">
        <v>16.75</v>
      </c>
      <c r="H29" s="125">
        <v>17.25</v>
      </c>
    </row>
    <row r="30" spans="1:8" x14ac:dyDescent="0.35">
      <c r="A30" s="124">
        <v>25</v>
      </c>
      <c r="B30" s="124" t="s">
        <v>52</v>
      </c>
      <c r="C30" s="128" t="s">
        <v>53</v>
      </c>
      <c r="D30" s="128" t="s">
        <v>51</v>
      </c>
      <c r="E30" s="125">
        <v>14.95</v>
      </c>
      <c r="F30" s="125">
        <v>16.399999999999999</v>
      </c>
      <c r="G30" s="125">
        <v>16.75</v>
      </c>
      <c r="H30" s="125">
        <v>16.5</v>
      </c>
    </row>
    <row r="31" spans="1:8" x14ac:dyDescent="0.35">
      <c r="A31" s="124">
        <v>26</v>
      </c>
      <c r="B31" s="124" t="s">
        <v>54</v>
      </c>
      <c r="C31" s="128" t="s">
        <v>55</v>
      </c>
      <c r="D31" s="128" t="s">
        <v>56</v>
      </c>
      <c r="E31" s="125">
        <v>52.95</v>
      </c>
      <c r="F31" s="142">
        <v>47.95</v>
      </c>
      <c r="G31" s="125">
        <v>52.99</v>
      </c>
      <c r="H31" s="125">
        <v>54.25</v>
      </c>
    </row>
    <row r="32" spans="1:8" x14ac:dyDescent="0.35">
      <c r="A32" s="124">
        <v>27</v>
      </c>
      <c r="B32" s="124" t="s">
        <v>54</v>
      </c>
      <c r="C32" s="128" t="s">
        <v>55</v>
      </c>
      <c r="D32" s="128" t="s">
        <v>57</v>
      </c>
      <c r="E32" s="125">
        <v>16.95</v>
      </c>
      <c r="F32" s="125">
        <v>16.5</v>
      </c>
      <c r="G32" s="125">
        <v>16.7</v>
      </c>
      <c r="H32" s="125"/>
    </row>
    <row r="33" spans="1:8" x14ac:dyDescent="0.35">
      <c r="A33" s="124">
        <v>28</v>
      </c>
      <c r="B33" s="124" t="s">
        <v>58</v>
      </c>
      <c r="C33" s="128" t="s">
        <v>55</v>
      </c>
      <c r="D33" s="128" t="s">
        <v>56</v>
      </c>
      <c r="E33" s="125">
        <v>57.95</v>
      </c>
      <c r="F33" s="125">
        <v>57.95</v>
      </c>
      <c r="G33" s="125">
        <v>57.99</v>
      </c>
      <c r="H33" s="142">
        <v>54.95</v>
      </c>
    </row>
    <row r="34" spans="1:8" x14ac:dyDescent="0.35">
      <c r="A34" s="124">
        <v>29</v>
      </c>
      <c r="B34" s="124" t="s">
        <v>58</v>
      </c>
      <c r="C34" s="128" t="s">
        <v>55</v>
      </c>
      <c r="D34" s="128" t="s">
        <v>59</v>
      </c>
      <c r="E34" s="125">
        <v>31.95</v>
      </c>
      <c r="F34" s="125">
        <v>30.95</v>
      </c>
      <c r="G34" s="125">
        <v>31.3</v>
      </c>
      <c r="H34" s="125">
        <v>31.75</v>
      </c>
    </row>
    <row r="35" spans="1:8" x14ac:dyDescent="0.35">
      <c r="A35" s="124">
        <v>30</v>
      </c>
      <c r="B35" s="124" t="s">
        <v>60</v>
      </c>
      <c r="C35" s="128" t="s">
        <v>61</v>
      </c>
      <c r="D35" s="128" t="s">
        <v>62</v>
      </c>
      <c r="E35" s="125">
        <v>10.95</v>
      </c>
      <c r="F35" s="125">
        <v>10.95</v>
      </c>
      <c r="G35" s="125">
        <v>11.75</v>
      </c>
      <c r="H35" s="142">
        <v>5.5</v>
      </c>
    </row>
    <row r="36" spans="1:8" x14ac:dyDescent="0.35">
      <c r="A36" s="124">
        <v>31</v>
      </c>
      <c r="B36" s="124" t="s">
        <v>63</v>
      </c>
      <c r="C36" s="128" t="s">
        <v>64</v>
      </c>
      <c r="D36" s="128" t="s">
        <v>65</v>
      </c>
      <c r="E36" s="125">
        <v>6.95</v>
      </c>
      <c r="F36" s="125">
        <v>6.65</v>
      </c>
      <c r="G36" s="125">
        <v>6.99</v>
      </c>
      <c r="H36" s="125">
        <v>7</v>
      </c>
    </row>
    <row r="37" spans="1:8" x14ac:dyDescent="0.35">
      <c r="A37" s="124">
        <v>32</v>
      </c>
      <c r="B37" s="124" t="s">
        <v>66</v>
      </c>
      <c r="C37" s="128" t="s">
        <v>50</v>
      </c>
      <c r="D37" s="128" t="s">
        <v>67</v>
      </c>
      <c r="E37" s="125"/>
      <c r="F37" s="125"/>
      <c r="G37" s="125">
        <v>12.5</v>
      </c>
      <c r="H37" s="125"/>
    </row>
    <row r="38" spans="1:8" x14ac:dyDescent="0.35">
      <c r="A38" s="124">
        <v>33</v>
      </c>
      <c r="B38" s="124" t="s">
        <v>66</v>
      </c>
      <c r="C38" s="128" t="s">
        <v>68</v>
      </c>
      <c r="D38" s="128" t="s">
        <v>67</v>
      </c>
      <c r="E38" s="125">
        <v>10.5</v>
      </c>
      <c r="F38" s="125">
        <v>10.35</v>
      </c>
      <c r="G38" s="125">
        <v>11.65</v>
      </c>
      <c r="H38" s="125">
        <v>11</v>
      </c>
    </row>
    <row r="39" spans="1:8" x14ac:dyDescent="0.35">
      <c r="A39" s="124">
        <v>35</v>
      </c>
      <c r="B39" s="124" t="s">
        <v>69</v>
      </c>
      <c r="C39" s="128" t="s">
        <v>70</v>
      </c>
      <c r="D39" s="128" t="s">
        <v>59</v>
      </c>
      <c r="E39" s="125">
        <v>7.25</v>
      </c>
      <c r="F39" s="125">
        <v>6.7</v>
      </c>
      <c r="G39" s="125">
        <v>7.25</v>
      </c>
      <c r="H39" s="125">
        <v>7.5</v>
      </c>
    </row>
    <row r="40" spans="1:8" x14ac:dyDescent="0.35">
      <c r="A40" s="124">
        <v>36</v>
      </c>
      <c r="B40" s="124" t="s">
        <v>71</v>
      </c>
      <c r="C40" s="128" t="s">
        <v>70</v>
      </c>
      <c r="D40" s="128" t="s">
        <v>59</v>
      </c>
      <c r="E40" s="125">
        <v>8.25</v>
      </c>
      <c r="F40" s="125">
        <v>7.7</v>
      </c>
      <c r="G40" s="125">
        <v>7.1</v>
      </c>
      <c r="H40" s="125"/>
    </row>
    <row r="41" spans="1:8" x14ac:dyDescent="0.35">
      <c r="A41" s="124">
        <v>37</v>
      </c>
      <c r="B41" s="124" t="s">
        <v>72</v>
      </c>
      <c r="C41" s="128" t="s">
        <v>73</v>
      </c>
      <c r="D41" s="128" t="s">
        <v>15</v>
      </c>
      <c r="E41" s="125">
        <v>10.95</v>
      </c>
      <c r="F41" s="125">
        <v>10.75</v>
      </c>
      <c r="G41" s="125">
        <v>10.5</v>
      </c>
      <c r="H41" s="125">
        <v>10.75</v>
      </c>
    </row>
    <row r="42" spans="1:8" x14ac:dyDescent="0.35">
      <c r="A42" s="124">
        <v>38</v>
      </c>
      <c r="B42" s="124" t="s">
        <v>74</v>
      </c>
      <c r="C42" s="128" t="s">
        <v>75</v>
      </c>
      <c r="D42" s="128" t="s">
        <v>76</v>
      </c>
      <c r="E42" s="125">
        <v>19.5</v>
      </c>
      <c r="F42" s="125"/>
      <c r="G42" s="125">
        <v>19.75</v>
      </c>
      <c r="H42" s="125">
        <v>19.75</v>
      </c>
    </row>
    <row r="43" spans="1:8" x14ac:dyDescent="0.35">
      <c r="A43" s="124">
        <v>39</v>
      </c>
      <c r="B43" s="124" t="s">
        <v>77</v>
      </c>
      <c r="C43" s="128" t="s">
        <v>75</v>
      </c>
      <c r="D43" s="128" t="s">
        <v>78</v>
      </c>
      <c r="E43" s="125">
        <v>99.95</v>
      </c>
      <c r="F43" s="125">
        <v>105.55</v>
      </c>
      <c r="G43" s="125">
        <v>97.5</v>
      </c>
      <c r="H43" s="125">
        <v>97.75</v>
      </c>
    </row>
    <row r="44" spans="1:8" x14ac:dyDescent="0.35">
      <c r="A44" s="124">
        <v>40</v>
      </c>
      <c r="B44" s="124" t="s">
        <v>79</v>
      </c>
      <c r="C44" s="128" t="s">
        <v>80</v>
      </c>
      <c r="D44" s="128" t="s">
        <v>81</v>
      </c>
      <c r="E44" s="125"/>
      <c r="F44" s="125"/>
      <c r="G44" s="125"/>
      <c r="H44" s="142">
        <v>21.5</v>
      </c>
    </row>
    <row r="45" spans="1:8" x14ac:dyDescent="0.35">
      <c r="A45" s="124">
        <v>41</v>
      </c>
      <c r="B45" s="124" t="s">
        <v>79</v>
      </c>
      <c r="C45" s="128" t="s">
        <v>286</v>
      </c>
      <c r="D45" s="128" t="s">
        <v>76</v>
      </c>
      <c r="E45" s="125">
        <v>26.95</v>
      </c>
      <c r="F45" s="125">
        <v>25.85</v>
      </c>
      <c r="G45" s="125">
        <v>28.05</v>
      </c>
      <c r="H45" s="125">
        <v>26.75</v>
      </c>
    </row>
    <row r="46" spans="1:8" x14ac:dyDescent="0.35">
      <c r="A46" s="124">
        <v>42</v>
      </c>
      <c r="B46" s="124" t="s">
        <v>79</v>
      </c>
      <c r="C46" s="128" t="s">
        <v>286</v>
      </c>
      <c r="D46" s="128" t="s">
        <v>83</v>
      </c>
      <c r="E46" s="125">
        <v>13.95</v>
      </c>
      <c r="F46" s="125">
        <v>12.95</v>
      </c>
      <c r="G46" s="125">
        <v>14.4</v>
      </c>
      <c r="H46" s="125">
        <v>13.5</v>
      </c>
    </row>
    <row r="47" spans="1:8" x14ac:dyDescent="0.35">
      <c r="A47" s="124">
        <v>43</v>
      </c>
      <c r="B47" s="124" t="s">
        <v>84</v>
      </c>
      <c r="C47" s="128" t="s">
        <v>85</v>
      </c>
      <c r="D47" s="128" t="s">
        <v>86</v>
      </c>
      <c r="E47" s="125">
        <v>5.95</v>
      </c>
      <c r="F47" s="125">
        <v>5.55</v>
      </c>
      <c r="G47" s="125">
        <v>6.05</v>
      </c>
      <c r="H47" s="125"/>
    </row>
    <row r="48" spans="1:8" x14ac:dyDescent="0.35">
      <c r="A48" s="124">
        <v>44</v>
      </c>
      <c r="B48" s="124" t="s">
        <v>87</v>
      </c>
      <c r="C48" s="128" t="s">
        <v>88</v>
      </c>
      <c r="D48" s="128" t="s">
        <v>89</v>
      </c>
      <c r="E48" s="125">
        <v>9.9499999999999993</v>
      </c>
      <c r="F48" s="125">
        <v>9.65</v>
      </c>
      <c r="G48" s="125">
        <v>10.25</v>
      </c>
      <c r="H48" s="125">
        <v>9.9499999999999993</v>
      </c>
    </row>
    <row r="49" spans="1:8" x14ac:dyDescent="0.35">
      <c r="A49" s="124">
        <v>45</v>
      </c>
      <c r="B49" s="124" t="s">
        <v>90</v>
      </c>
      <c r="C49" s="128" t="s">
        <v>91</v>
      </c>
      <c r="D49" s="128" t="s">
        <v>15</v>
      </c>
      <c r="E49" s="125">
        <v>7.95</v>
      </c>
      <c r="F49" s="125">
        <v>7.45</v>
      </c>
      <c r="G49" s="125">
        <v>8.1</v>
      </c>
      <c r="H49" s="125">
        <v>9</v>
      </c>
    </row>
    <row r="50" spans="1:8" x14ac:dyDescent="0.35">
      <c r="A50" s="124">
        <v>46</v>
      </c>
      <c r="B50" s="124" t="s">
        <v>92</v>
      </c>
      <c r="C50" s="128" t="s">
        <v>93</v>
      </c>
      <c r="D50" s="128" t="s">
        <v>94</v>
      </c>
      <c r="E50" s="125">
        <v>14.5</v>
      </c>
      <c r="F50" s="125">
        <v>14.5</v>
      </c>
      <c r="G50" s="125">
        <v>14.5</v>
      </c>
      <c r="H50" s="125">
        <v>14.5</v>
      </c>
    </row>
    <row r="51" spans="1:8" x14ac:dyDescent="0.35">
      <c r="A51" s="124">
        <v>47</v>
      </c>
      <c r="B51" s="124" t="s">
        <v>95</v>
      </c>
      <c r="C51" s="128"/>
      <c r="D51" s="128" t="s">
        <v>15</v>
      </c>
      <c r="E51" s="125">
        <v>4.95</v>
      </c>
      <c r="F51" s="125"/>
      <c r="G51" s="125"/>
      <c r="H51" s="125"/>
    </row>
    <row r="52" spans="1:8" x14ac:dyDescent="0.35">
      <c r="A52" s="124">
        <v>48</v>
      </c>
      <c r="B52" s="124" t="s">
        <v>95</v>
      </c>
      <c r="C52" s="128"/>
      <c r="D52" s="128" t="s">
        <v>59</v>
      </c>
      <c r="E52" s="125"/>
      <c r="F52" s="125"/>
      <c r="G52" s="125"/>
      <c r="H52" s="125"/>
    </row>
    <row r="53" spans="1:8" x14ac:dyDescent="0.35">
      <c r="A53" s="124">
        <v>49</v>
      </c>
      <c r="B53" s="124" t="s">
        <v>96</v>
      </c>
      <c r="C53" s="128" t="s">
        <v>97</v>
      </c>
      <c r="D53" s="128" t="s">
        <v>15</v>
      </c>
      <c r="E53" s="125">
        <v>9.9499999999999993</v>
      </c>
      <c r="F53" s="125"/>
      <c r="G53" s="125"/>
      <c r="H53" s="125"/>
    </row>
    <row r="54" spans="1:8" x14ac:dyDescent="0.35">
      <c r="A54" s="124">
        <v>50</v>
      </c>
      <c r="B54" s="124" t="s">
        <v>96</v>
      </c>
      <c r="C54" s="128"/>
      <c r="D54" s="128" t="s">
        <v>59</v>
      </c>
      <c r="E54" s="125"/>
      <c r="F54" s="125"/>
      <c r="G54" s="125"/>
      <c r="H54" s="125"/>
    </row>
    <row r="55" spans="1:8" x14ac:dyDescent="0.35">
      <c r="A55" s="124">
        <v>51</v>
      </c>
      <c r="B55" s="124" t="s">
        <v>98</v>
      </c>
      <c r="C55" s="128"/>
      <c r="D55" s="128" t="s">
        <v>15</v>
      </c>
      <c r="E55" s="125"/>
      <c r="F55" s="125"/>
      <c r="G55" s="125"/>
      <c r="H55" s="125"/>
    </row>
    <row r="56" spans="1:8" x14ac:dyDescent="0.35">
      <c r="A56" s="124">
        <v>52</v>
      </c>
      <c r="B56" s="124" t="s">
        <v>98</v>
      </c>
      <c r="C56" s="128"/>
      <c r="D56" s="128" t="s">
        <v>59</v>
      </c>
      <c r="E56" s="125"/>
      <c r="F56" s="125"/>
      <c r="G56" s="125"/>
      <c r="H56" s="125"/>
    </row>
    <row r="57" spans="1:8" x14ac:dyDescent="0.35">
      <c r="A57" s="124">
        <v>53</v>
      </c>
      <c r="B57" s="124" t="s">
        <v>99</v>
      </c>
      <c r="C57" s="128" t="s">
        <v>47</v>
      </c>
      <c r="D57" s="128" t="s">
        <v>15</v>
      </c>
      <c r="E57" s="125">
        <v>9.9499999999999993</v>
      </c>
      <c r="F57" s="125"/>
      <c r="G57" s="125"/>
      <c r="H57" s="125"/>
    </row>
    <row r="58" spans="1:8" x14ac:dyDescent="0.35">
      <c r="A58" s="124">
        <v>54</v>
      </c>
      <c r="B58" s="124" t="s">
        <v>99</v>
      </c>
      <c r="C58" s="128"/>
      <c r="D58" s="128" t="s">
        <v>59</v>
      </c>
      <c r="E58" s="125"/>
      <c r="F58" s="125"/>
      <c r="G58" s="125"/>
      <c r="H58" s="125"/>
    </row>
    <row r="59" spans="1:8" x14ac:dyDescent="0.35">
      <c r="A59" s="124">
        <v>55</v>
      </c>
      <c r="B59" s="124" t="s">
        <v>100</v>
      </c>
      <c r="C59" s="128"/>
      <c r="D59" s="128" t="s">
        <v>15</v>
      </c>
      <c r="E59" s="125">
        <v>7.97</v>
      </c>
      <c r="F59" s="125"/>
      <c r="G59" s="125"/>
      <c r="H59" s="125"/>
    </row>
    <row r="60" spans="1:8" x14ac:dyDescent="0.35">
      <c r="A60" s="124">
        <v>56</v>
      </c>
      <c r="B60" s="124" t="s">
        <v>100</v>
      </c>
      <c r="C60" s="128"/>
      <c r="D60" s="128" t="s">
        <v>59</v>
      </c>
      <c r="E60" s="125"/>
      <c r="F60" s="125"/>
      <c r="G60" s="125"/>
      <c r="H60" s="125"/>
    </row>
    <row r="61" spans="1:8" x14ac:dyDescent="0.35">
      <c r="A61" s="124">
        <v>57</v>
      </c>
      <c r="B61" s="124" t="s">
        <v>101</v>
      </c>
      <c r="C61" s="128"/>
      <c r="D61" s="128" t="s">
        <v>15</v>
      </c>
      <c r="E61" s="125">
        <v>7.95</v>
      </c>
      <c r="F61" s="125"/>
      <c r="G61" s="125"/>
      <c r="H61" s="125"/>
    </row>
    <row r="62" spans="1:8" x14ac:dyDescent="0.35">
      <c r="A62" s="124">
        <v>57</v>
      </c>
      <c r="B62" s="124" t="s">
        <v>101</v>
      </c>
      <c r="C62" s="128"/>
      <c r="D62" s="128" t="s">
        <v>59</v>
      </c>
      <c r="E62" s="125"/>
      <c r="F62" s="125"/>
      <c r="G62" s="125"/>
      <c r="H62" s="125"/>
    </row>
    <row r="63" spans="1:8" x14ac:dyDescent="0.35">
      <c r="A63" s="124">
        <v>58</v>
      </c>
      <c r="B63" s="124" t="s">
        <v>102</v>
      </c>
      <c r="C63" s="128" t="s">
        <v>103</v>
      </c>
      <c r="D63" s="128" t="s">
        <v>59</v>
      </c>
      <c r="E63" s="125"/>
      <c r="F63" s="125"/>
      <c r="G63" s="125">
        <v>6.4</v>
      </c>
      <c r="H63" s="125"/>
    </row>
    <row r="64" spans="1:8" x14ac:dyDescent="0.35">
      <c r="A64" s="124">
        <v>59</v>
      </c>
      <c r="B64" s="124" t="s">
        <v>104</v>
      </c>
      <c r="C64" s="128" t="s">
        <v>103</v>
      </c>
      <c r="D64" s="128" t="s">
        <v>59</v>
      </c>
      <c r="E64" s="125"/>
      <c r="F64" s="125"/>
      <c r="G64" s="125">
        <v>11.1</v>
      </c>
      <c r="H64" s="125"/>
    </row>
    <row r="65" spans="1:8" x14ac:dyDescent="0.35">
      <c r="A65" s="124">
        <v>60</v>
      </c>
      <c r="B65" s="124" t="s">
        <v>105</v>
      </c>
      <c r="C65" s="128" t="s">
        <v>103</v>
      </c>
      <c r="D65" s="128" t="s">
        <v>59</v>
      </c>
      <c r="E65" s="125"/>
      <c r="F65" s="125"/>
      <c r="G65" s="125"/>
      <c r="H65" s="125"/>
    </row>
    <row r="66" spans="1:8" x14ac:dyDescent="0.35">
      <c r="A66" s="124">
        <v>61</v>
      </c>
      <c r="B66" s="124" t="s">
        <v>106</v>
      </c>
      <c r="C66" s="128" t="s">
        <v>103</v>
      </c>
      <c r="D66" s="128" t="s">
        <v>59</v>
      </c>
      <c r="E66" s="125"/>
      <c r="F66" s="125"/>
      <c r="G66" s="125">
        <v>11.1</v>
      </c>
      <c r="H66" s="125"/>
    </row>
    <row r="67" spans="1:8" x14ac:dyDescent="0.35">
      <c r="A67" s="124">
        <v>62</v>
      </c>
      <c r="B67" s="124" t="s">
        <v>107</v>
      </c>
      <c r="C67" s="128" t="s">
        <v>103</v>
      </c>
      <c r="D67" s="128" t="s">
        <v>59</v>
      </c>
      <c r="E67" s="125"/>
      <c r="F67" s="125"/>
      <c r="G67" s="125">
        <v>9.1</v>
      </c>
      <c r="H67" s="125"/>
    </row>
    <row r="68" spans="1:8" x14ac:dyDescent="0.35">
      <c r="A68" s="124">
        <v>63</v>
      </c>
      <c r="B68" s="124" t="s">
        <v>108</v>
      </c>
      <c r="C68" s="128" t="s">
        <v>103</v>
      </c>
      <c r="D68" s="128" t="s">
        <v>59</v>
      </c>
      <c r="E68" s="125"/>
      <c r="F68" s="125"/>
      <c r="G68" s="125"/>
      <c r="H68" s="125"/>
    </row>
    <row r="69" spans="1:8" x14ac:dyDescent="0.35">
      <c r="A69" s="124">
        <v>64</v>
      </c>
      <c r="B69" s="124" t="s">
        <v>109</v>
      </c>
      <c r="C69" s="128" t="s">
        <v>110</v>
      </c>
      <c r="D69" s="128" t="s">
        <v>111</v>
      </c>
      <c r="E69" s="125">
        <v>11.95</v>
      </c>
      <c r="F69" s="125"/>
      <c r="G69" s="125">
        <v>11.99</v>
      </c>
      <c r="H69" s="125"/>
    </row>
    <row r="70" spans="1:8" x14ac:dyDescent="0.35">
      <c r="A70" s="124">
        <v>65</v>
      </c>
      <c r="B70" s="124" t="s">
        <v>112</v>
      </c>
      <c r="C70" s="128" t="s">
        <v>113</v>
      </c>
      <c r="D70" s="128" t="s">
        <v>51</v>
      </c>
      <c r="E70" s="125"/>
      <c r="F70" s="125">
        <v>6.95</v>
      </c>
      <c r="G70" s="125">
        <v>7.1</v>
      </c>
      <c r="H70" s="125">
        <v>6.75</v>
      </c>
    </row>
    <row r="71" spans="1:8" x14ac:dyDescent="0.35">
      <c r="A71" s="124">
        <v>66</v>
      </c>
      <c r="B71" s="124" t="s">
        <v>114</v>
      </c>
      <c r="C71" s="128"/>
      <c r="D71" s="128" t="s">
        <v>15</v>
      </c>
      <c r="E71" s="125"/>
      <c r="F71" s="125">
        <v>2.4</v>
      </c>
      <c r="G71" s="125">
        <v>3.52</v>
      </c>
      <c r="H71" s="125">
        <v>3.3</v>
      </c>
    </row>
    <row r="72" spans="1:8" x14ac:dyDescent="0.35">
      <c r="A72" s="124">
        <v>67</v>
      </c>
      <c r="B72" s="124" t="s">
        <v>115</v>
      </c>
      <c r="C72" s="128"/>
      <c r="D72" s="128" t="s">
        <v>15</v>
      </c>
      <c r="E72" s="125"/>
      <c r="F72" s="125"/>
      <c r="G72" s="125">
        <v>5.28</v>
      </c>
      <c r="H72" s="125">
        <v>3.6</v>
      </c>
    </row>
    <row r="73" spans="1:8" x14ac:dyDescent="0.35">
      <c r="A73" s="124">
        <v>68</v>
      </c>
      <c r="B73" s="124" t="s">
        <v>116</v>
      </c>
      <c r="C73" s="128"/>
      <c r="D73" s="128" t="s">
        <v>15</v>
      </c>
      <c r="E73" s="125"/>
      <c r="F73" s="125"/>
      <c r="G73" s="125"/>
      <c r="H73" s="125">
        <v>18</v>
      </c>
    </row>
    <row r="74" spans="1:8" x14ac:dyDescent="0.35">
      <c r="A74" s="124">
        <v>69</v>
      </c>
      <c r="B74" s="124" t="s">
        <v>116</v>
      </c>
      <c r="C74" s="128"/>
      <c r="D74" s="128" t="s">
        <v>40</v>
      </c>
      <c r="E74" s="125"/>
      <c r="F74" s="125"/>
      <c r="G74" s="125">
        <v>8.35</v>
      </c>
      <c r="H74" s="125">
        <v>7.5</v>
      </c>
    </row>
    <row r="75" spans="1:8" x14ac:dyDescent="0.35">
      <c r="A75" s="124">
        <v>70</v>
      </c>
      <c r="B75" s="124" t="s">
        <v>117</v>
      </c>
      <c r="C75" s="128" t="s">
        <v>118</v>
      </c>
      <c r="D75" s="128" t="s">
        <v>15</v>
      </c>
      <c r="E75" s="125"/>
      <c r="F75" s="125"/>
      <c r="G75" s="125"/>
      <c r="H75" s="125"/>
    </row>
    <row r="76" spans="1:8" x14ac:dyDescent="0.35">
      <c r="A76" s="124">
        <v>71</v>
      </c>
      <c r="B76" s="124" t="s">
        <v>119</v>
      </c>
      <c r="C76" s="128" t="s">
        <v>120</v>
      </c>
      <c r="D76" s="128" t="s">
        <v>81</v>
      </c>
      <c r="E76" s="125"/>
      <c r="F76" s="125"/>
      <c r="G76" s="125"/>
      <c r="H76" s="125">
        <v>20.75</v>
      </c>
    </row>
    <row r="77" spans="1:8" x14ac:dyDescent="0.35">
      <c r="A77" s="124">
        <v>72</v>
      </c>
      <c r="B77" s="124" t="s">
        <v>121</v>
      </c>
      <c r="C77" s="128" t="s">
        <v>122</v>
      </c>
      <c r="D77" s="128" t="s">
        <v>81</v>
      </c>
      <c r="E77" s="125"/>
      <c r="F77" s="125">
        <v>20.25</v>
      </c>
      <c r="G77" s="125">
        <v>22.99</v>
      </c>
      <c r="H77" s="125">
        <v>22</v>
      </c>
    </row>
    <row r="78" spans="1:8" x14ac:dyDescent="0.35">
      <c r="A78" s="124">
        <v>73</v>
      </c>
      <c r="B78" s="124" t="s">
        <v>123</v>
      </c>
      <c r="C78" s="128" t="s">
        <v>124</v>
      </c>
      <c r="D78" s="128" t="s">
        <v>125</v>
      </c>
      <c r="E78" s="125"/>
      <c r="F78" s="125"/>
      <c r="G78" s="125">
        <v>5.05</v>
      </c>
      <c r="H78" s="125">
        <v>5</v>
      </c>
    </row>
    <row r="79" spans="1:8" x14ac:dyDescent="0.35">
      <c r="A79" s="124">
        <v>74</v>
      </c>
      <c r="B79" s="124" t="s">
        <v>123</v>
      </c>
      <c r="C79" s="128" t="s">
        <v>126</v>
      </c>
      <c r="D79" s="128" t="s">
        <v>56</v>
      </c>
      <c r="E79" s="125"/>
      <c r="F79" s="125"/>
      <c r="G79" s="125"/>
      <c r="H79" s="125">
        <v>4.25</v>
      </c>
    </row>
    <row r="80" spans="1:8" x14ac:dyDescent="0.35">
      <c r="A80" s="124">
        <v>75</v>
      </c>
      <c r="B80" s="124" t="s">
        <v>127</v>
      </c>
      <c r="C80" s="128" t="s">
        <v>128</v>
      </c>
      <c r="D80" s="128" t="s">
        <v>129</v>
      </c>
      <c r="E80" s="125"/>
      <c r="F80" s="125"/>
      <c r="G80" s="125"/>
      <c r="H80" s="125"/>
    </row>
    <row r="81" spans="1:8" x14ac:dyDescent="0.35">
      <c r="A81" s="124">
        <v>76</v>
      </c>
      <c r="B81" s="124" t="s">
        <v>127</v>
      </c>
      <c r="C81" s="128" t="s">
        <v>130</v>
      </c>
      <c r="D81" s="128" t="s">
        <v>129</v>
      </c>
      <c r="E81" s="125">
        <v>165.95</v>
      </c>
      <c r="F81" s="125">
        <v>163.75</v>
      </c>
      <c r="G81" s="125">
        <v>160.99</v>
      </c>
      <c r="H81" s="125"/>
    </row>
    <row r="82" spans="1:8" x14ac:dyDescent="0.35">
      <c r="A82" s="124">
        <v>77</v>
      </c>
      <c r="B82" s="124" t="s">
        <v>127</v>
      </c>
      <c r="C82" s="128" t="s">
        <v>131</v>
      </c>
      <c r="D82" s="128" t="s">
        <v>56</v>
      </c>
      <c r="E82" s="125">
        <v>85.95</v>
      </c>
      <c r="F82" s="125">
        <v>84.65</v>
      </c>
      <c r="G82" s="125"/>
      <c r="H82" s="125">
        <v>84.5</v>
      </c>
    </row>
    <row r="83" spans="1:8" x14ac:dyDescent="0.35">
      <c r="A83" s="124">
        <v>78</v>
      </c>
      <c r="B83" s="124" t="s">
        <v>132</v>
      </c>
      <c r="C83" s="128" t="s">
        <v>133</v>
      </c>
      <c r="D83" s="128" t="s">
        <v>134</v>
      </c>
      <c r="E83" s="125">
        <v>23.95</v>
      </c>
      <c r="F83" s="125">
        <v>26.55</v>
      </c>
      <c r="G83" s="125">
        <v>25.5</v>
      </c>
      <c r="H83" s="125">
        <v>26.25</v>
      </c>
    </row>
    <row r="84" spans="1:8" x14ac:dyDescent="0.35">
      <c r="A84" s="124">
        <v>79</v>
      </c>
      <c r="B84" s="124" t="s">
        <v>132</v>
      </c>
      <c r="C84" s="128" t="s">
        <v>135</v>
      </c>
      <c r="D84" s="128" t="s">
        <v>134</v>
      </c>
      <c r="E84" s="125">
        <v>27.95</v>
      </c>
      <c r="F84" s="125">
        <v>28.75</v>
      </c>
      <c r="G84" s="125">
        <v>27.99</v>
      </c>
      <c r="H84" s="125">
        <v>28.25</v>
      </c>
    </row>
    <row r="85" spans="1:8" x14ac:dyDescent="0.35">
      <c r="A85" s="124">
        <v>80</v>
      </c>
      <c r="B85" s="124" t="s">
        <v>136</v>
      </c>
      <c r="C85" s="128" t="s">
        <v>137</v>
      </c>
      <c r="D85" s="128" t="s">
        <v>138</v>
      </c>
      <c r="E85" s="125"/>
      <c r="F85" s="125"/>
      <c r="G85" s="125">
        <v>15.15</v>
      </c>
      <c r="H85" s="125">
        <v>17.25</v>
      </c>
    </row>
    <row r="86" spans="1:8" x14ac:dyDescent="0.35">
      <c r="A86" s="124">
        <v>81</v>
      </c>
      <c r="B86" s="124" t="s">
        <v>139</v>
      </c>
      <c r="C86" s="128" t="s">
        <v>140</v>
      </c>
      <c r="D86" s="128" t="s">
        <v>141</v>
      </c>
      <c r="E86" s="125">
        <v>15.95</v>
      </c>
      <c r="F86" s="125">
        <v>16.149999999999999</v>
      </c>
      <c r="G86" s="125">
        <v>17.2</v>
      </c>
      <c r="H86" s="125"/>
    </row>
    <row r="87" spans="1:8" x14ac:dyDescent="0.35">
      <c r="A87" s="124">
        <v>82</v>
      </c>
      <c r="B87" s="124" t="s">
        <v>142</v>
      </c>
      <c r="C87" s="128" t="s">
        <v>143</v>
      </c>
      <c r="D87" s="128" t="s">
        <v>144</v>
      </c>
      <c r="E87" s="125">
        <v>20.95</v>
      </c>
      <c r="F87" s="125">
        <v>23.4</v>
      </c>
      <c r="G87" s="125"/>
      <c r="H87" s="125">
        <v>24</v>
      </c>
    </row>
    <row r="88" spans="1:8" x14ac:dyDescent="0.35">
      <c r="A88" s="124">
        <v>83</v>
      </c>
      <c r="B88" s="124" t="s">
        <v>145</v>
      </c>
      <c r="C88" s="128" t="s">
        <v>146</v>
      </c>
      <c r="D88" s="128" t="s">
        <v>147</v>
      </c>
      <c r="E88" s="142">
        <v>15.95</v>
      </c>
      <c r="F88" s="125">
        <v>16.600000000000001</v>
      </c>
      <c r="G88" s="125">
        <v>19.7</v>
      </c>
      <c r="H88" s="125">
        <v>18.95</v>
      </c>
    </row>
    <row r="89" spans="1:8" x14ac:dyDescent="0.35">
      <c r="A89" s="124">
        <v>84</v>
      </c>
      <c r="B89" s="124" t="s">
        <v>148</v>
      </c>
      <c r="C89" s="128" t="s">
        <v>149</v>
      </c>
      <c r="D89" s="128" t="s">
        <v>150</v>
      </c>
      <c r="E89" s="125"/>
      <c r="F89" s="125"/>
      <c r="G89" s="125"/>
      <c r="H89" s="125"/>
    </row>
    <row r="90" spans="1:8" x14ac:dyDescent="0.35">
      <c r="A90" s="124">
        <v>85</v>
      </c>
      <c r="B90" s="124" t="s">
        <v>148</v>
      </c>
      <c r="C90" s="128" t="s">
        <v>149</v>
      </c>
      <c r="D90" s="128" t="s">
        <v>129</v>
      </c>
      <c r="E90" s="125">
        <v>36.950000000000003</v>
      </c>
      <c r="F90" s="125"/>
      <c r="G90" s="125">
        <v>41.25</v>
      </c>
      <c r="H90" s="125"/>
    </row>
    <row r="91" spans="1:8" x14ac:dyDescent="0.35">
      <c r="A91" s="124">
        <v>86</v>
      </c>
      <c r="B91" s="124" t="s">
        <v>148</v>
      </c>
      <c r="C91" s="128" t="s">
        <v>149</v>
      </c>
      <c r="D91" s="128" t="s">
        <v>151</v>
      </c>
      <c r="E91" s="125"/>
      <c r="F91" s="125"/>
      <c r="G91" s="125"/>
      <c r="H91" s="125"/>
    </row>
    <row r="92" spans="1:8" x14ac:dyDescent="0.35">
      <c r="A92" s="124">
        <v>87</v>
      </c>
      <c r="B92" s="124" t="s">
        <v>148</v>
      </c>
      <c r="C92" s="128" t="s">
        <v>152</v>
      </c>
      <c r="D92" s="128" t="s">
        <v>150</v>
      </c>
      <c r="E92" s="125"/>
      <c r="F92" s="125"/>
      <c r="G92" s="125"/>
      <c r="H92" s="125"/>
    </row>
    <row r="93" spans="1:8" x14ac:dyDescent="0.35">
      <c r="A93" s="124">
        <v>88</v>
      </c>
      <c r="B93" s="124" t="s">
        <v>148</v>
      </c>
      <c r="C93" s="128" t="s">
        <v>152</v>
      </c>
      <c r="D93" s="128" t="s">
        <v>129</v>
      </c>
      <c r="E93" s="125">
        <v>24.95</v>
      </c>
      <c r="F93" s="125">
        <v>22.85</v>
      </c>
      <c r="G93" s="125">
        <v>22.5</v>
      </c>
      <c r="H93" s="125">
        <v>27.5</v>
      </c>
    </row>
    <row r="94" spans="1:8" x14ac:dyDescent="0.35">
      <c r="A94" s="124">
        <v>89</v>
      </c>
      <c r="B94" s="124" t="s">
        <v>154</v>
      </c>
      <c r="C94" s="128" t="s">
        <v>155</v>
      </c>
      <c r="D94" s="128" t="s">
        <v>156</v>
      </c>
      <c r="E94" s="125">
        <v>10.95</v>
      </c>
      <c r="F94" s="125">
        <v>10.25</v>
      </c>
      <c r="G94" s="125">
        <v>11.75</v>
      </c>
      <c r="H94" s="125">
        <v>11.25</v>
      </c>
    </row>
    <row r="95" spans="1:8" x14ac:dyDescent="0.35">
      <c r="A95" s="124">
        <v>90</v>
      </c>
      <c r="B95" s="124" t="s">
        <v>157</v>
      </c>
      <c r="C95" s="128" t="s">
        <v>155</v>
      </c>
      <c r="D95" s="128" t="s">
        <v>158</v>
      </c>
      <c r="E95" s="125">
        <v>8.9499999999999993</v>
      </c>
      <c r="F95" s="125">
        <v>8.65</v>
      </c>
      <c r="G95" s="125">
        <v>9.5</v>
      </c>
      <c r="H95" s="125">
        <v>9.25</v>
      </c>
    </row>
    <row r="96" spans="1:8" x14ac:dyDescent="0.35">
      <c r="A96" s="124">
        <v>91</v>
      </c>
      <c r="B96" s="124" t="s">
        <v>159</v>
      </c>
      <c r="C96" s="128" t="s">
        <v>155</v>
      </c>
      <c r="D96" s="128" t="s">
        <v>158</v>
      </c>
      <c r="E96" s="125">
        <v>8.9499999999999993</v>
      </c>
      <c r="F96" s="125">
        <v>8.65</v>
      </c>
      <c r="G96" s="125">
        <v>9.5</v>
      </c>
      <c r="H96" s="125">
        <v>9.25</v>
      </c>
    </row>
    <row r="97" spans="1:8" x14ac:dyDescent="0.35">
      <c r="A97" s="124">
        <v>92</v>
      </c>
      <c r="B97" s="124" t="s">
        <v>160</v>
      </c>
      <c r="C97" s="128" t="s">
        <v>161</v>
      </c>
      <c r="D97" s="128" t="s">
        <v>162</v>
      </c>
      <c r="E97" s="125">
        <v>5.5</v>
      </c>
      <c r="F97" s="125">
        <v>5.3</v>
      </c>
      <c r="G97" s="125">
        <v>5.85</v>
      </c>
      <c r="H97" s="125">
        <v>5.5</v>
      </c>
    </row>
    <row r="98" spans="1:8" x14ac:dyDescent="0.35">
      <c r="A98" s="124">
        <v>93</v>
      </c>
      <c r="B98" s="129" t="s">
        <v>163</v>
      </c>
      <c r="C98" s="130" t="s">
        <v>164</v>
      </c>
      <c r="D98" s="130" t="s">
        <v>165</v>
      </c>
      <c r="E98" s="125">
        <v>25.95</v>
      </c>
      <c r="F98" s="125">
        <v>25.1</v>
      </c>
      <c r="G98" s="125">
        <v>22.5</v>
      </c>
      <c r="H98" s="125">
        <v>25.75</v>
      </c>
    </row>
    <row r="99" spans="1:8" x14ac:dyDescent="0.35">
      <c r="A99" s="124">
        <v>94</v>
      </c>
      <c r="B99" s="124" t="s">
        <v>166</v>
      </c>
      <c r="C99" s="128"/>
      <c r="D99" s="128" t="s">
        <v>59</v>
      </c>
      <c r="E99" s="125">
        <v>49.95</v>
      </c>
      <c r="F99" s="125">
        <v>46</v>
      </c>
      <c r="G99" s="125">
        <v>50.99</v>
      </c>
      <c r="H99" s="125">
        <v>51.75</v>
      </c>
    </row>
    <row r="100" spans="1:8" x14ac:dyDescent="0.35">
      <c r="A100" s="124">
        <v>95</v>
      </c>
      <c r="B100" s="124" t="s">
        <v>167</v>
      </c>
      <c r="C100" s="128" t="s">
        <v>168</v>
      </c>
      <c r="D100" s="128" t="s">
        <v>125</v>
      </c>
      <c r="E100" s="125">
        <v>28.95</v>
      </c>
      <c r="F100" s="125">
        <v>29.2</v>
      </c>
      <c r="G100" s="125">
        <v>30.89</v>
      </c>
      <c r="H100" s="125"/>
    </row>
    <row r="101" spans="1:8" x14ac:dyDescent="0.35">
      <c r="A101" s="124">
        <v>96</v>
      </c>
      <c r="B101" s="124" t="s">
        <v>169</v>
      </c>
      <c r="C101" s="128"/>
      <c r="D101" s="128" t="s">
        <v>170</v>
      </c>
      <c r="E101" s="125">
        <v>34.950000000000003</v>
      </c>
      <c r="F101" s="125">
        <v>31.95</v>
      </c>
      <c r="G101" s="125">
        <v>35.99</v>
      </c>
      <c r="H101" s="148"/>
    </row>
    <row r="102" spans="1:8" x14ac:dyDescent="0.35">
      <c r="A102" s="124">
        <v>97</v>
      </c>
      <c r="B102" s="124" t="s">
        <v>171</v>
      </c>
      <c r="C102" s="128" t="s">
        <v>172</v>
      </c>
      <c r="D102" s="128" t="s">
        <v>173</v>
      </c>
      <c r="E102" s="125">
        <v>41.95</v>
      </c>
      <c r="F102" s="125"/>
      <c r="G102" s="125"/>
      <c r="H102" s="125"/>
    </row>
    <row r="103" spans="1:8" x14ac:dyDescent="0.35">
      <c r="A103" s="124">
        <v>98</v>
      </c>
      <c r="B103" s="124" t="s">
        <v>174</v>
      </c>
      <c r="C103" s="128" t="s">
        <v>172</v>
      </c>
      <c r="D103" s="128" t="s">
        <v>175</v>
      </c>
      <c r="E103" s="126">
        <v>28.95</v>
      </c>
      <c r="F103" s="126">
        <v>26.15</v>
      </c>
      <c r="G103" s="126"/>
      <c r="H103" s="126">
        <v>27.5</v>
      </c>
    </row>
    <row r="104" spans="1:8" x14ac:dyDescent="0.35">
      <c r="A104" s="124">
        <v>99</v>
      </c>
      <c r="B104" s="124" t="s">
        <v>174</v>
      </c>
      <c r="C104" s="128" t="s">
        <v>176</v>
      </c>
      <c r="D104" s="128" t="s">
        <v>177</v>
      </c>
      <c r="E104" s="125">
        <v>28.95</v>
      </c>
      <c r="F104" s="125">
        <v>27.65</v>
      </c>
      <c r="G104" s="125">
        <v>27</v>
      </c>
      <c r="H104" s="125"/>
    </row>
    <row r="105" spans="1:8" x14ac:dyDescent="0.35">
      <c r="A105" s="124">
        <v>100</v>
      </c>
      <c r="B105" s="124" t="s">
        <v>178</v>
      </c>
      <c r="C105" s="128" t="s">
        <v>50</v>
      </c>
      <c r="D105" s="128" t="s">
        <v>179</v>
      </c>
      <c r="E105" s="125">
        <v>34.950000000000003</v>
      </c>
      <c r="F105" s="125">
        <v>32.950000000000003</v>
      </c>
      <c r="G105" s="125">
        <v>36.35</v>
      </c>
      <c r="H105" s="125">
        <v>33.75</v>
      </c>
    </row>
    <row r="106" spans="1:8" x14ac:dyDescent="0.35">
      <c r="A106" s="124">
        <v>101</v>
      </c>
      <c r="B106" s="124" t="s">
        <v>178</v>
      </c>
      <c r="C106" s="128" t="s">
        <v>180</v>
      </c>
      <c r="D106" s="128" t="s">
        <v>111</v>
      </c>
      <c r="E106" s="125">
        <v>25.95</v>
      </c>
      <c r="F106" s="125"/>
      <c r="G106" s="125">
        <v>25.99</v>
      </c>
      <c r="H106" s="125">
        <v>26</v>
      </c>
    </row>
    <row r="107" spans="1:8" x14ac:dyDescent="0.35">
      <c r="A107" s="124">
        <v>102</v>
      </c>
      <c r="B107" s="124" t="s">
        <v>181</v>
      </c>
      <c r="C107" s="128" t="s">
        <v>182</v>
      </c>
      <c r="D107" s="128" t="s">
        <v>183</v>
      </c>
      <c r="E107" s="125">
        <v>15.95</v>
      </c>
      <c r="F107" s="125">
        <v>15.95</v>
      </c>
      <c r="G107" s="125"/>
      <c r="H107" s="125">
        <v>14.95</v>
      </c>
    </row>
    <row r="108" spans="1:8" x14ac:dyDescent="0.35">
      <c r="A108" s="124">
        <v>103</v>
      </c>
      <c r="B108" s="124" t="s">
        <v>184</v>
      </c>
      <c r="C108" s="128" t="s">
        <v>185</v>
      </c>
      <c r="D108" s="128" t="s">
        <v>65</v>
      </c>
      <c r="E108" s="125">
        <v>4.5</v>
      </c>
      <c r="F108" s="125">
        <v>4.5</v>
      </c>
      <c r="G108" s="125">
        <v>4.25</v>
      </c>
      <c r="H108" s="125"/>
    </row>
    <row r="109" spans="1:8" x14ac:dyDescent="0.35">
      <c r="A109" s="124">
        <v>104</v>
      </c>
      <c r="B109" s="124" t="s">
        <v>184</v>
      </c>
      <c r="C109" s="128" t="s">
        <v>185</v>
      </c>
      <c r="D109" s="128" t="s">
        <v>51</v>
      </c>
      <c r="E109" s="125">
        <v>11.95</v>
      </c>
      <c r="F109" s="125">
        <v>12.15</v>
      </c>
      <c r="G109" s="125">
        <v>11.99</v>
      </c>
      <c r="H109" s="125">
        <v>12.5</v>
      </c>
    </row>
    <row r="110" spans="1:8" x14ac:dyDescent="0.35">
      <c r="A110" s="124">
        <v>105</v>
      </c>
      <c r="B110" s="124" t="s">
        <v>186</v>
      </c>
      <c r="C110" s="128" t="s">
        <v>185</v>
      </c>
      <c r="D110" s="128" t="s">
        <v>51</v>
      </c>
      <c r="E110" s="125">
        <v>11.95</v>
      </c>
      <c r="F110" s="125">
        <v>11.85</v>
      </c>
      <c r="G110" s="125">
        <v>11.99</v>
      </c>
      <c r="H110" s="125">
        <v>12.5</v>
      </c>
    </row>
    <row r="111" spans="1:8" x14ac:dyDescent="0.35">
      <c r="A111" s="124">
        <v>106</v>
      </c>
      <c r="B111" s="124" t="s">
        <v>187</v>
      </c>
      <c r="C111" s="128" t="s">
        <v>188</v>
      </c>
      <c r="D111" s="128" t="s">
        <v>189</v>
      </c>
      <c r="E111" s="142">
        <v>10.95</v>
      </c>
      <c r="F111" s="125">
        <v>12.85</v>
      </c>
      <c r="G111" s="125"/>
      <c r="H111" s="125">
        <v>11.75</v>
      </c>
    </row>
    <row r="112" spans="1:8" x14ac:dyDescent="0.35">
      <c r="A112" s="124">
        <v>107</v>
      </c>
      <c r="B112" s="124" t="s">
        <v>274</v>
      </c>
      <c r="C112" s="128" t="s">
        <v>190</v>
      </c>
      <c r="D112" s="128" t="s">
        <v>191</v>
      </c>
      <c r="E112" s="125">
        <v>13.95</v>
      </c>
      <c r="F112" s="125">
        <v>14.3</v>
      </c>
      <c r="G112" s="125">
        <v>14.65</v>
      </c>
      <c r="H112" s="125">
        <v>14</v>
      </c>
    </row>
    <row r="113" spans="1:8" x14ac:dyDescent="0.35">
      <c r="A113" s="124">
        <v>108</v>
      </c>
      <c r="B113" s="124" t="s">
        <v>192</v>
      </c>
      <c r="C113" s="128" t="s">
        <v>188</v>
      </c>
      <c r="D113" s="128" t="s">
        <v>189</v>
      </c>
      <c r="E113" s="142">
        <v>10.95</v>
      </c>
      <c r="F113" s="125">
        <v>12.85</v>
      </c>
      <c r="G113" s="125"/>
      <c r="H113" s="125">
        <v>12.25</v>
      </c>
    </row>
    <row r="114" spans="1:8" x14ac:dyDescent="0.35">
      <c r="A114" s="124">
        <v>109</v>
      </c>
      <c r="B114" s="124" t="s">
        <v>193</v>
      </c>
      <c r="C114" s="128" t="s">
        <v>182</v>
      </c>
      <c r="D114" s="128" t="s">
        <v>125</v>
      </c>
      <c r="E114" s="125">
        <v>18.95</v>
      </c>
      <c r="F114" s="125">
        <v>17.600000000000001</v>
      </c>
      <c r="G114" s="125"/>
      <c r="H114" s="125">
        <v>18.75</v>
      </c>
    </row>
    <row r="115" spans="1:8" x14ac:dyDescent="0.35">
      <c r="A115" s="124">
        <v>110</v>
      </c>
      <c r="B115" s="124" t="s">
        <v>194</v>
      </c>
      <c r="C115" s="128" t="s">
        <v>195</v>
      </c>
      <c r="D115" s="128" t="s">
        <v>196</v>
      </c>
      <c r="E115" s="125"/>
      <c r="F115" s="125">
        <v>22.2</v>
      </c>
      <c r="G115" s="125"/>
      <c r="H115" s="125">
        <v>24</v>
      </c>
    </row>
    <row r="116" spans="1:8" x14ac:dyDescent="0.35">
      <c r="A116" s="124">
        <v>111</v>
      </c>
      <c r="B116" s="124" t="s">
        <v>197</v>
      </c>
      <c r="C116" s="128" t="s">
        <v>68</v>
      </c>
      <c r="D116" s="128" t="s">
        <v>196</v>
      </c>
      <c r="E116" s="145"/>
      <c r="F116" s="125"/>
      <c r="G116" s="125">
        <v>27.99</v>
      </c>
      <c r="H116" s="125">
        <v>27</v>
      </c>
    </row>
    <row r="117" spans="1:8" x14ac:dyDescent="0.35">
      <c r="A117" s="124">
        <v>112</v>
      </c>
      <c r="B117" s="124" t="s">
        <v>197</v>
      </c>
      <c r="C117" s="128" t="s">
        <v>80</v>
      </c>
      <c r="D117" s="128" t="s">
        <v>198</v>
      </c>
      <c r="E117" s="125"/>
      <c r="F117" s="125"/>
      <c r="G117" s="125"/>
      <c r="H117" s="142">
        <v>87.5</v>
      </c>
    </row>
    <row r="118" spans="1:8" x14ac:dyDescent="0.35">
      <c r="A118" s="124">
        <v>113</v>
      </c>
      <c r="B118" s="124" t="s">
        <v>199</v>
      </c>
      <c r="C118" s="128" t="s">
        <v>200</v>
      </c>
      <c r="D118" s="128" t="s">
        <v>196</v>
      </c>
      <c r="E118" s="125"/>
      <c r="F118" s="125">
        <v>41</v>
      </c>
      <c r="G118" s="125">
        <v>47.99</v>
      </c>
      <c r="H118" s="125">
        <v>46.25</v>
      </c>
    </row>
    <row r="119" spans="1:8" x14ac:dyDescent="0.35">
      <c r="A119" s="124">
        <v>114</v>
      </c>
      <c r="B119" s="124" t="s">
        <v>201</v>
      </c>
      <c r="C119" s="128" t="s">
        <v>202</v>
      </c>
      <c r="D119" s="128" t="s">
        <v>51</v>
      </c>
      <c r="E119" s="125">
        <v>112.95</v>
      </c>
      <c r="F119" s="125"/>
      <c r="G119" s="125"/>
      <c r="H119" s="125"/>
    </row>
    <row r="120" spans="1:8" x14ac:dyDescent="0.35">
      <c r="A120" s="124">
        <v>115</v>
      </c>
      <c r="B120" s="124" t="s">
        <v>203</v>
      </c>
      <c r="C120" s="128" t="s">
        <v>204</v>
      </c>
      <c r="D120" s="128" t="s">
        <v>205</v>
      </c>
      <c r="E120" s="125">
        <v>12.95</v>
      </c>
      <c r="F120" s="125">
        <v>12.4</v>
      </c>
      <c r="G120" s="125"/>
      <c r="H120" s="125">
        <v>12.95</v>
      </c>
    </row>
    <row r="121" spans="1:8" x14ac:dyDescent="0.35">
      <c r="A121" s="124">
        <v>116</v>
      </c>
      <c r="B121" s="124" t="s">
        <v>203</v>
      </c>
      <c r="C121" s="128" t="s">
        <v>277</v>
      </c>
      <c r="D121" s="128" t="s">
        <v>205</v>
      </c>
      <c r="E121" s="125"/>
      <c r="F121" s="125">
        <v>9.9499999999999993</v>
      </c>
      <c r="G121" s="125">
        <v>9.99</v>
      </c>
      <c r="H121" s="125">
        <v>9.9499999999999993</v>
      </c>
    </row>
    <row r="122" spans="1:8" x14ac:dyDescent="0.35">
      <c r="A122" s="124">
        <v>117</v>
      </c>
      <c r="B122" s="124" t="s">
        <v>203</v>
      </c>
      <c r="C122" s="128" t="s">
        <v>204</v>
      </c>
      <c r="D122" s="128" t="s">
        <v>206</v>
      </c>
      <c r="E122" s="125">
        <v>26.95</v>
      </c>
      <c r="F122" s="125">
        <v>26.8</v>
      </c>
      <c r="G122" s="125">
        <v>27.99</v>
      </c>
      <c r="H122" s="125">
        <v>27.95</v>
      </c>
    </row>
    <row r="123" spans="1:8" x14ac:dyDescent="0.35">
      <c r="A123" s="124">
        <v>118</v>
      </c>
      <c r="B123" s="124" t="s">
        <v>203</v>
      </c>
      <c r="C123" s="128" t="s">
        <v>277</v>
      </c>
      <c r="D123" s="128" t="s">
        <v>206</v>
      </c>
      <c r="E123" s="125"/>
      <c r="F123" s="125"/>
      <c r="G123" s="125">
        <v>21.99</v>
      </c>
      <c r="H123" s="125">
        <v>22</v>
      </c>
    </row>
    <row r="124" spans="1:8" x14ac:dyDescent="0.35">
      <c r="A124" s="124">
        <v>119</v>
      </c>
      <c r="B124" s="124" t="s">
        <v>207</v>
      </c>
      <c r="C124" s="128" t="s">
        <v>204</v>
      </c>
      <c r="D124" s="128" t="s">
        <v>276</v>
      </c>
      <c r="E124" s="125"/>
      <c r="F124" s="125">
        <v>15.95</v>
      </c>
      <c r="G124" s="125"/>
      <c r="H124" s="125"/>
    </row>
    <row r="125" spans="1:8" x14ac:dyDescent="0.35">
      <c r="A125" s="124">
        <v>120</v>
      </c>
      <c r="B125" s="124" t="s">
        <v>207</v>
      </c>
      <c r="C125" s="128" t="s">
        <v>277</v>
      </c>
      <c r="D125" s="128" t="s">
        <v>276</v>
      </c>
      <c r="E125" s="125"/>
      <c r="F125" s="125"/>
      <c r="G125" s="125"/>
      <c r="H125" s="125"/>
    </row>
    <row r="126" spans="1:8" x14ac:dyDescent="0.35">
      <c r="A126" s="124">
        <v>121</v>
      </c>
      <c r="B126" s="124" t="s">
        <v>207</v>
      </c>
      <c r="C126" s="128" t="s">
        <v>204</v>
      </c>
      <c r="D126" s="128" t="s">
        <v>208</v>
      </c>
      <c r="E126" s="125">
        <v>29.95</v>
      </c>
      <c r="F126" s="125">
        <v>28.95</v>
      </c>
      <c r="G126" s="125">
        <v>29.99</v>
      </c>
      <c r="H126" s="125"/>
    </row>
    <row r="127" spans="1:8" x14ac:dyDescent="0.35">
      <c r="A127" s="124">
        <v>122</v>
      </c>
      <c r="B127" s="124" t="s">
        <v>209</v>
      </c>
      <c r="C127" s="128" t="s">
        <v>210</v>
      </c>
      <c r="D127" s="128" t="s">
        <v>15</v>
      </c>
      <c r="E127" s="125"/>
      <c r="F127" s="125"/>
      <c r="G127" s="125">
        <v>34.6</v>
      </c>
      <c r="H127" s="125">
        <v>32.5</v>
      </c>
    </row>
    <row r="128" spans="1:8" x14ac:dyDescent="0.35">
      <c r="A128" s="124">
        <v>123</v>
      </c>
      <c r="B128" s="124" t="s">
        <v>209</v>
      </c>
      <c r="C128" s="128" t="s">
        <v>211</v>
      </c>
      <c r="D128" s="128" t="s">
        <v>212</v>
      </c>
      <c r="E128" s="127"/>
      <c r="F128" s="127">
        <v>12.2</v>
      </c>
      <c r="G128" s="127"/>
      <c r="H128" s="127">
        <v>12</v>
      </c>
    </row>
    <row r="129" spans="1:8" x14ac:dyDescent="0.35">
      <c r="A129" s="124">
        <v>124</v>
      </c>
      <c r="B129" s="124" t="s">
        <v>213</v>
      </c>
      <c r="C129" s="128" t="s">
        <v>214</v>
      </c>
      <c r="D129" s="128" t="s">
        <v>215</v>
      </c>
      <c r="E129" s="125">
        <v>9.5</v>
      </c>
      <c r="F129" s="125">
        <v>9.25</v>
      </c>
      <c r="G129" s="125"/>
      <c r="H129" s="125">
        <v>9.25</v>
      </c>
    </row>
    <row r="130" spans="1:8" x14ac:dyDescent="0.35">
      <c r="A130" s="124">
        <v>125</v>
      </c>
      <c r="B130" s="124" t="s">
        <v>216</v>
      </c>
      <c r="C130" s="128" t="s">
        <v>214</v>
      </c>
      <c r="D130" s="128" t="s">
        <v>215</v>
      </c>
      <c r="E130" s="125">
        <v>9.5</v>
      </c>
      <c r="F130" s="125">
        <v>8.9499999999999993</v>
      </c>
      <c r="G130" s="125"/>
      <c r="H130" s="125">
        <v>8.9499999999999993</v>
      </c>
    </row>
    <row r="131" spans="1:8" x14ac:dyDescent="0.35">
      <c r="A131" s="124">
        <v>126</v>
      </c>
      <c r="B131" s="124" t="s">
        <v>217</v>
      </c>
      <c r="C131" s="128" t="s">
        <v>214</v>
      </c>
      <c r="D131" s="128" t="s">
        <v>215</v>
      </c>
      <c r="E131" s="125"/>
      <c r="F131" s="125">
        <v>9.35</v>
      </c>
      <c r="G131" s="125"/>
      <c r="H131" s="125">
        <v>10</v>
      </c>
    </row>
    <row r="132" spans="1:8" x14ac:dyDescent="0.35">
      <c r="A132" s="124">
        <v>127</v>
      </c>
      <c r="B132" s="124" t="s">
        <v>218</v>
      </c>
      <c r="C132" s="128" t="s">
        <v>214</v>
      </c>
      <c r="D132" s="128" t="s">
        <v>215</v>
      </c>
      <c r="E132" s="125"/>
      <c r="F132" s="125"/>
      <c r="G132" s="125"/>
      <c r="H132" s="125"/>
    </row>
    <row r="133" spans="1:8" x14ac:dyDescent="0.35">
      <c r="A133" s="124">
        <v>128</v>
      </c>
      <c r="B133" s="124" t="s">
        <v>219</v>
      </c>
      <c r="C133" s="128" t="s">
        <v>214</v>
      </c>
      <c r="D133" s="128" t="s">
        <v>215</v>
      </c>
      <c r="E133" s="125">
        <v>10.95</v>
      </c>
      <c r="F133" s="125">
        <v>10.4</v>
      </c>
      <c r="G133" s="125"/>
      <c r="H133" s="125">
        <v>10.5</v>
      </c>
    </row>
    <row r="134" spans="1:8" x14ac:dyDescent="0.35">
      <c r="A134" s="124">
        <v>129</v>
      </c>
      <c r="B134" s="124" t="s">
        <v>220</v>
      </c>
      <c r="C134" s="128" t="s">
        <v>182</v>
      </c>
      <c r="D134" s="128" t="s">
        <v>183</v>
      </c>
      <c r="E134" s="125">
        <v>11.5</v>
      </c>
      <c r="F134" s="125">
        <v>10.6</v>
      </c>
      <c r="G134" s="125">
        <v>13.9</v>
      </c>
      <c r="H134" s="125">
        <v>13.25</v>
      </c>
    </row>
    <row r="135" spans="1:8" x14ac:dyDescent="0.35">
      <c r="A135" s="124">
        <v>130</v>
      </c>
      <c r="B135" s="124" t="s">
        <v>221</v>
      </c>
      <c r="C135" s="128" t="s">
        <v>70</v>
      </c>
      <c r="D135" s="128" t="s">
        <v>183</v>
      </c>
      <c r="E135" s="125">
        <v>11.95</v>
      </c>
      <c r="F135" s="125">
        <v>10.15</v>
      </c>
      <c r="G135" s="125">
        <v>11.65</v>
      </c>
      <c r="H135" s="125">
        <v>10.5</v>
      </c>
    </row>
    <row r="136" spans="1:8" x14ac:dyDescent="0.35">
      <c r="A136" s="124">
        <v>131</v>
      </c>
      <c r="B136" s="124" t="s">
        <v>222</v>
      </c>
      <c r="C136" s="128" t="s">
        <v>70</v>
      </c>
      <c r="D136" s="128" t="s">
        <v>223</v>
      </c>
      <c r="E136" s="125"/>
      <c r="F136" s="125">
        <v>11.95</v>
      </c>
      <c r="G136" s="125">
        <v>12.65</v>
      </c>
      <c r="H136" s="125">
        <v>11.95</v>
      </c>
    </row>
    <row r="137" spans="1:8" x14ac:dyDescent="0.35">
      <c r="A137" s="128">
        <v>132</v>
      </c>
      <c r="B137" s="124" t="s">
        <v>224</v>
      </c>
      <c r="C137" s="128" t="s">
        <v>182</v>
      </c>
      <c r="D137" s="128" t="s">
        <v>225</v>
      </c>
      <c r="E137" s="125">
        <v>15.95</v>
      </c>
      <c r="F137" s="125">
        <v>15.1</v>
      </c>
      <c r="G137" s="125"/>
      <c r="H137" s="125"/>
    </row>
    <row r="138" spans="1:8" x14ac:dyDescent="0.35">
      <c r="A138" s="128">
        <v>133</v>
      </c>
      <c r="B138" s="124" t="s">
        <v>226</v>
      </c>
      <c r="C138" s="128"/>
      <c r="D138" s="128" t="s">
        <v>15</v>
      </c>
      <c r="E138" s="125">
        <v>21.79</v>
      </c>
      <c r="F138" s="125"/>
      <c r="G138" s="125"/>
      <c r="H138" s="125">
        <v>23.18</v>
      </c>
    </row>
    <row r="139" spans="1:8" x14ac:dyDescent="0.35">
      <c r="A139" s="128">
        <v>134</v>
      </c>
      <c r="B139" s="124" t="s">
        <v>227</v>
      </c>
      <c r="C139" s="128"/>
      <c r="D139" s="128" t="s">
        <v>15</v>
      </c>
      <c r="E139" s="125"/>
      <c r="F139" s="125"/>
      <c r="G139" s="125"/>
      <c r="H139" s="125"/>
    </row>
    <row r="140" spans="1:8" x14ac:dyDescent="0.35">
      <c r="A140" s="89">
        <v>135</v>
      </c>
      <c r="B140" s="124" t="s">
        <v>228</v>
      </c>
      <c r="C140" s="128"/>
      <c r="D140" s="128" t="s">
        <v>15</v>
      </c>
      <c r="E140" s="125">
        <v>20.43</v>
      </c>
      <c r="F140" s="125"/>
      <c r="G140" s="125"/>
      <c r="H140" s="125"/>
    </row>
    <row r="141" spans="1:8" x14ac:dyDescent="0.35">
      <c r="A141" s="128">
        <v>136</v>
      </c>
      <c r="B141" s="124" t="s">
        <v>229</v>
      </c>
      <c r="C141" s="128"/>
      <c r="D141" s="128" t="s">
        <v>15</v>
      </c>
      <c r="E141" s="125">
        <v>23.61</v>
      </c>
      <c r="F141" s="125"/>
      <c r="G141" s="125"/>
      <c r="H141" s="125">
        <v>24.43</v>
      </c>
    </row>
  </sheetData>
  <autoFilter ref="B2:B142"/>
  <sortState ref="A6:H141">
    <sortCondition ref="A6"/>
  </sortState>
  <mergeCells count="6">
    <mergeCell ref="A2:B2"/>
    <mergeCell ref="A1:B1"/>
    <mergeCell ref="E4:F4"/>
    <mergeCell ref="G4:H4"/>
    <mergeCell ref="A3:H3"/>
    <mergeCell ref="G2:H2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P198"/>
  <sheetViews>
    <sheetView zoomScaleNormal="100" workbookViewId="0">
      <pane xSplit="4" ySplit="5" topLeftCell="H6" activePane="bottomRight" state="frozen"/>
      <selection pane="topRight" activeCell="E1" sqref="E1"/>
      <selection pane="bottomLeft" activeCell="A6" sqref="A6"/>
      <selection pane="bottomRight" activeCell="P6" sqref="P6"/>
    </sheetView>
  </sheetViews>
  <sheetFormatPr defaultRowHeight="14.5" x14ac:dyDescent="0.35"/>
  <cols>
    <col min="1" max="1" width="4.54296875" customWidth="1"/>
    <col min="2" max="2" width="31.1796875" customWidth="1"/>
    <col min="3" max="3" width="23" customWidth="1"/>
    <col min="4" max="4" width="9.1796875" customWidth="1"/>
    <col min="5" max="5" width="14.453125" style="3" customWidth="1"/>
    <col min="6" max="6" width="9.1796875" style="3"/>
    <col min="7" max="7" width="9.81640625" style="3" customWidth="1"/>
    <col min="8" max="8" width="10.26953125" style="3" customWidth="1"/>
    <col min="9" max="9" width="12.1796875" style="3" customWidth="1"/>
    <col min="10" max="10" width="12.7265625" style="3" customWidth="1"/>
    <col min="11" max="12" width="9.1796875" style="3"/>
    <col min="13" max="14" width="9.1796875" style="36" customWidth="1"/>
    <col min="15" max="15" width="11.26953125" style="60" customWidth="1"/>
  </cols>
  <sheetData>
    <row r="1" spans="1:16" s="58" customFormat="1" x14ac:dyDescent="0.35">
      <c r="A1" s="151" t="s">
        <v>287</v>
      </c>
      <c r="B1" s="151"/>
      <c r="E1" s="59"/>
      <c r="F1" s="59"/>
      <c r="G1" s="59"/>
      <c r="H1" s="59"/>
      <c r="I1" s="59"/>
      <c r="J1" s="59"/>
      <c r="K1" s="59"/>
      <c r="L1" s="59"/>
      <c r="M1" s="60"/>
      <c r="N1" s="60"/>
      <c r="O1" s="60"/>
    </row>
    <row r="2" spans="1:16" s="50" customFormat="1" ht="15" customHeight="1" x14ac:dyDescent="0.35">
      <c r="B2" s="57" t="s">
        <v>289</v>
      </c>
      <c r="E2" s="88"/>
      <c r="F2" s="88"/>
      <c r="G2" s="88"/>
      <c r="H2" s="88"/>
      <c r="I2" s="88"/>
      <c r="J2" s="88"/>
      <c r="K2" s="88"/>
      <c r="L2" s="88"/>
      <c r="M2" s="159" t="s">
        <v>288</v>
      </c>
      <c r="N2" s="159"/>
      <c r="O2" s="137"/>
    </row>
    <row r="3" spans="1:16" x14ac:dyDescent="0.35">
      <c r="A3" s="160" t="s">
        <v>230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39"/>
      <c r="P3" s="58"/>
    </row>
    <row r="4" spans="1:16" ht="19.5" customHeight="1" x14ac:dyDescent="0.35">
      <c r="A4" s="2"/>
      <c r="B4" s="2"/>
      <c r="C4" s="2"/>
      <c r="D4" s="2"/>
      <c r="E4" s="154" t="s">
        <v>231</v>
      </c>
      <c r="F4" s="154"/>
      <c r="G4" s="162" t="s">
        <v>232</v>
      </c>
      <c r="H4" s="163"/>
      <c r="I4" s="162" t="s">
        <v>233</v>
      </c>
      <c r="J4" s="163"/>
      <c r="K4" s="154" t="s">
        <v>234</v>
      </c>
      <c r="L4" s="154"/>
      <c r="M4" s="164" t="s">
        <v>235</v>
      </c>
      <c r="N4" s="165"/>
      <c r="O4" s="140" t="s">
        <v>299</v>
      </c>
    </row>
    <row r="5" spans="1:16" ht="48" customHeight="1" x14ac:dyDescent="0.35">
      <c r="A5" s="61" t="s">
        <v>5</v>
      </c>
      <c r="B5" s="61" t="s">
        <v>6</v>
      </c>
      <c r="C5" s="61" t="s">
        <v>7</v>
      </c>
      <c r="D5" s="61" t="s">
        <v>8</v>
      </c>
      <c r="E5" s="62" t="s">
        <v>237</v>
      </c>
      <c r="F5" s="62" t="s">
        <v>238</v>
      </c>
      <c r="G5" s="64" t="s">
        <v>240</v>
      </c>
      <c r="H5" s="64" t="s">
        <v>239</v>
      </c>
      <c r="I5" s="64" t="s">
        <v>9</v>
      </c>
      <c r="J5" s="64" t="s">
        <v>241</v>
      </c>
      <c r="K5" s="62" t="s">
        <v>242</v>
      </c>
      <c r="L5" s="62" t="s">
        <v>243</v>
      </c>
      <c r="M5" s="63" t="s">
        <v>244</v>
      </c>
      <c r="N5" s="63" t="s">
        <v>245</v>
      </c>
      <c r="O5" s="63" t="s">
        <v>300</v>
      </c>
    </row>
    <row r="6" spans="1:16" x14ac:dyDescent="0.35">
      <c r="A6" s="85">
        <v>1</v>
      </c>
      <c r="B6" s="112" t="s">
        <v>13</v>
      </c>
      <c r="C6" s="112" t="s">
        <v>14</v>
      </c>
      <c r="D6" s="112" t="s">
        <v>15</v>
      </c>
      <c r="E6" s="125"/>
      <c r="F6" s="125"/>
      <c r="G6" s="125">
        <v>37.5</v>
      </c>
      <c r="H6" s="125"/>
      <c r="I6" s="28"/>
      <c r="J6" s="28"/>
      <c r="K6" s="125"/>
      <c r="L6" s="125"/>
      <c r="M6" s="125"/>
      <c r="N6" s="125"/>
      <c r="O6" s="125"/>
    </row>
    <row r="7" spans="1:16" ht="14.5" customHeight="1" x14ac:dyDescent="0.35">
      <c r="A7" s="85">
        <v>2</v>
      </c>
      <c r="B7" s="112" t="s">
        <v>13</v>
      </c>
      <c r="C7" s="112" t="s">
        <v>16</v>
      </c>
      <c r="D7" s="112" t="s">
        <v>15</v>
      </c>
      <c r="E7" s="125">
        <v>20.2</v>
      </c>
      <c r="F7" s="125"/>
      <c r="G7" s="125"/>
      <c r="H7" s="125"/>
      <c r="I7" s="28">
        <v>18.95</v>
      </c>
      <c r="J7" s="28"/>
      <c r="K7" s="125"/>
      <c r="L7" s="125"/>
      <c r="M7" s="125"/>
      <c r="N7" s="125"/>
      <c r="O7" s="125"/>
    </row>
    <row r="8" spans="1:16" ht="14.5" customHeight="1" x14ac:dyDescent="0.35">
      <c r="A8" s="85">
        <v>3</v>
      </c>
      <c r="B8" s="112" t="s">
        <v>17</v>
      </c>
      <c r="C8" s="113" t="s">
        <v>18</v>
      </c>
      <c r="D8" s="113" t="s">
        <v>19</v>
      </c>
      <c r="E8" s="125"/>
      <c r="F8" s="125"/>
      <c r="G8" s="125"/>
      <c r="H8" s="125">
        <v>32</v>
      </c>
      <c r="I8" s="28"/>
      <c r="J8" s="125"/>
      <c r="K8" s="125">
        <v>24.99</v>
      </c>
      <c r="L8" s="125"/>
      <c r="M8" s="125"/>
      <c r="N8" s="125"/>
      <c r="O8" s="125">
        <v>28</v>
      </c>
    </row>
    <row r="9" spans="1:16" ht="14.5" customHeight="1" x14ac:dyDescent="0.35">
      <c r="A9" s="85">
        <v>4</v>
      </c>
      <c r="B9" s="112" t="s">
        <v>20</v>
      </c>
      <c r="C9" s="113" t="s">
        <v>18</v>
      </c>
      <c r="D9" s="113" t="s">
        <v>19</v>
      </c>
      <c r="E9" s="125"/>
      <c r="F9" s="125"/>
      <c r="G9" s="125"/>
      <c r="H9" s="125">
        <v>28</v>
      </c>
      <c r="I9" s="28"/>
      <c r="J9" s="125"/>
      <c r="K9" s="125">
        <v>25.99</v>
      </c>
      <c r="L9" s="125"/>
      <c r="M9" s="125"/>
      <c r="N9" s="125">
        <v>26.5</v>
      </c>
      <c r="O9" s="125">
        <v>26</v>
      </c>
    </row>
    <row r="10" spans="1:16" ht="14.5" customHeight="1" x14ac:dyDescent="0.35">
      <c r="A10" s="85">
        <v>5</v>
      </c>
      <c r="B10" s="112" t="s">
        <v>21</v>
      </c>
      <c r="C10" s="113" t="s">
        <v>18</v>
      </c>
      <c r="D10" s="113" t="s">
        <v>19</v>
      </c>
      <c r="E10" s="125"/>
      <c r="F10" s="125"/>
      <c r="G10" s="125"/>
      <c r="H10" s="125">
        <v>19</v>
      </c>
      <c r="I10" s="28"/>
      <c r="J10" s="125"/>
      <c r="K10" s="125">
        <v>16.989999999999998</v>
      </c>
      <c r="L10" s="125"/>
      <c r="M10" s="125"/>
      <c r="N10" s="125">
        <v>20</v>
      </c>
      <c r="O10" s="125">
        <v>19.5</v>
      </c>
    </row>
    <row r="11" spans="1:16" ht="14.5" customHeight="1" x14ac:dyDescent="0.35">
      <c r="A11" s="85">
        <v>6</v>
      </c>
      <c r="B11" s="112" t="s">
        <v>22</v>
      </c>
      <c r="C11" s="113" t="s">
        <v>18</v>
      </c>
      <c r="D11" s="113" t="s">
        <v>19</v>
      </c>
      <c r="E11" s="125"/>
      <c r="F11" s="125"/>
      <c r="G11" s="125"/>
      <c r="H11" s="125">
        <v>34</v>
      </c>
      <c r="I11" s="28"/>
      <c r="J11" s="125"/>
      <c r="K11" s="125">
        <v>25.99</v>
      </c>
      <c r="L11" s="125">
        <v>27.99</v>
      </c>
      <c r="M11" s="125"/>
      <c r="N11" s="125">
        <v>30</v>
      </c>
      <c r="O11" s="125">
        <v>28</v>
      </c>
    </row>
    <row r="12" spans="1:16" x14ac:dyDescent="0.35">
      <c r="A12" s="85">
        <v>7</v>
      </c>
      <c r="B12" s="112" t="s">
        <v>23</v>
      </c>
      <c r="C12" s="113" t="s">
        <v>18</v>
      </c>
      <c r="D12" s="113" t="s">
        <v>19</v>
      </c>
      <c r="E12" s="125"/>
      <c r="F12" s="125"/>
      <c r="G12" s="125"/>
      <c r="H12" s="125">
        <v>50</v>
      </c>
      <c r="I12" s="28"/>
      <c r="J12" s="28"/>
      <c r="K12" s="125"/>
      <c r="L12" s="125"/>
      <c r="M12" s="125"/>
      <c r="N12" s="125"/>
      <c r="O12" s="125"/>
    </row>
    <row r="13" spans="1:16" x14ac:dyDescent="0.35">
      <c r="A13" s="85">
        <v>8</v>
      </c>
      <c r="B13" s="112" t="s">
        <v>24</v>
      </c>
      <c r="C13" s="113"/>
      <c r="D13" s="113" t="s">
        <v>15</v>
      </c>
      <c r="E13" s="125">
        <v>27.54</v>
      </c>
      <c r="F13" s="125">
        <v>26.79</v>
      </c>
      <c r="G13" s="125">
        <v>18.14</v>
      </c>
      <c r="H13" s="125">
        <v>21.36</v>
      </c>
      <c r="I13" s="28">
        <v>19.95</v>
      </c>
      <c r="J13" s="28">
        <v>25.45</v>
      </c>
      <c r="K13" s="125">
        <v>14.01</v>
      </c>
      <c r="L13" s="125">
        <v>20.45</v>
      </c>
      <c r="M13" s="125"/>
      <c r="N13" s="125"/>
      <c r="O13" s="125">
        <v>25</v>
      </c>
    </row>
    <row r="14" spans="1:16" x14ac:dyDescent="0.35">
      <c r="A14" s="85">
        <v>9</v>
      </c>
      <c r="B14" s="112" t="s">
        <v>25</v>
      </c>
      <c r="C14" s="113"/>
      <c r="D14" s="113" t="s">
        <v>15</v>
      </c>
      <c r="E14" s="125">
        <v>39.46</v>
      </c>
      <c r="F14" s="125">
        <v>41.6</v>
      </c>
      <c r="G14" s="125">
        <v>39.94</v>
      </c>
      <c r="H14" s="125"/>
      <c r="I14" s="28">
        <v>32.950000000000003</v>
      </c>
      <c r="J14" s="28">
        <v>41.59</v>
      </c>
      <c r="K14" s="125">
        <v>34.99</v>
      </c>
      <c r="L14" s="125"/>
      <c r="M14" s="125"/>
      <c r="N14" s="125"/>
      <c r="O14" s="125">
        <v>25</v>
      </c>
    </row>
    <row r="15" spans="1:16" x14ac:dyDescent="0.35">
      <c r="A15" s="85">
        <v>10</v>
      </c>
      <c r="B15" s="112" t="s">
        <v>26</v>
      </c>
      <c r="C15" s="113"/>
      <c r="D15" s="113" t="s">
        <v>15</v>
      </c>
      <c r="E15" s="125">
        <v>32.21</v>
      </c>
      <c r="F15" s="125">
        <v>26.6</v>
      </c>
      <c r="G15" s="125">
        <v>32.21</v>
      </c>
      <c r="H15" s="125"/>
      <c r="I15" s="28">
        <v>28.95</v>
      </c>
      <c r="J15" s="28">
        <v>27.61</v>
      </c>
      <c r="K15" s="125">
        <v>26</v>
      </c>
      <c r="L15" s="125"/>
      <c r="M15" s="125">
        <v>34.090000000000003</v>
      </c>
      <c r="N15" s="125">
        <v>27.5</v>
      </c>
      <c r="O15" s="125">
        <v>26</v>
      </c>
    </row>
    <row r="16" spans="1:16" x14ac:dyDescent="0.35">
      <c r="A16" s="85">
        <v>11</v>
      </c>
      <c r="B16" s="112" t="s">
        <v>27</v>
      </c>
      <c r="C16" s="113" t="s">
        <v>28</v>
      </c>
      <c r="D16" s="113" t="s">
        <v>29</v>
      </c>
      <c r="E16" s="125">
        <v>16.350000000000001</v>
      </c>
      <c r="F16" s="125">
        <v>15</v>
      </c>
      <c r="G16" s="125">
        <v>16.350000000000001</v>
      </c>
      <c r="H16" s="125">
        <v>14.5</v>
      </c>
      <c r="I16" s="150">
        <v>12.95</v>
      </c>
      <c r="J16" s="28">
        <v>15</v>
      </c>
      <c r="K16" s="125">
        <v>17.989999999999998</v>
      </c>
      <c r="L16" s="125">
        <v>16.350000000000001</v>
      </c>
      <c r="M16" s="125">
        <v>16</v>
      </c>
      <c r="N16" s="125">
        <v>15.5</v>
      </c>
      <c r="O16" s="125"/>
    </row>
    <row r="17" spans="1:15" x14ac:dyDescent="0.35">
      <c r="A17" s="85">
        <v>12</v>
      </c>
      <c r="B17" s="112" t="s">
        <v>306</v>
      </c>
      <c r="C17" s="113" t="s">
        <v>31</v>
      </c>
      <c r="D17" s="113" t="s">
        <v>15</v>
      </c>
      <c r="E17" s="125">
        <v>31.3</v>
      </c>
      <c r="F17" s="125">
        <v>34.549999999999997</v>
      </c>
      <c r="G17" s="125">
        <v>31.3</v>
      </c>
      <c r="H17" s="125">
        <v>45.45</v>
      </c>
      <c r="I17" s="28">
        <v>29.95</v>
      </c>
      <c r="J17" s="28">
        <v>34.549999999999997</v>
      </c>
      <c r="K17" s="125"/>
      <c r="L17" s="125">
        <v>31.3</v>
      </c>
      <c r="M17" s="125">
        <v>30.95</v>
      </c>
      <c r="N17" s="125">
        <v>29.2</v>
      </c>
      <c r="O17" s="125"/>
    </row>
    <row r="18" spans="1:15" x14ac:dyDescent="0.35">
      <c r="A18" s="85">
        <v>13</v>
      </c>
      <c r="B18" s="112" t="s">
        <v>307</v>
      </c>
      <c r="C18" s="113" t="s">
        <v>32</v>
      </c>
      <c r="D18" s="113" t="s">
        <v>15</v>
      </c>
      <c r="E18" s="125"/>
      <c r="F18" s="125"/>
      <c r="G18" s="125"/>
      <c r="H18" s="125"/>
      <c r="I18" s="28"/>
      <c r="J18" s="28"/>
      <c r="K18" s="125">
        <v>39.99</v>
      </c>
      <c r="L18" s="125"/>
      <c r="M18" s="125"/>
      <c r="N18" s="125"/>
      <c r="O18" s="125"/>
    </row>
    <row r="19" spans="1:15" x14ac:dyDescent="0.35">
      <c r="A19" s="85">
        <v>14</v>
      </c>
      <c r="B19" s="112" t="s">
        <v>304</v>
      </c>
      <c r="C19" s="113" t="s">
        <v>31</v>
      </c>
      <c r="D19" s="113" t="s">
        <v>15</v>
      </c>
      <c r="E19" s="125">
        <v>45.88</v>
      </c>
      <c r="F19" s="125"/>
      <c r="G19" s="125"/>
      <c r="H19" s="125"/>
      <c r="I19" s="28"/>
      <c r="J19" s="28"/>
      <c r="K19" s="125"/>
      <c r="L19" s="125"/>
      <c r="M19" s="125"/>
      <c r="N19" s="125"/>
      <c r="O19" s="125">
        <v>26</v>
      </c>
    </row>
    <row r="20" spans="1:15" x14ac:dyDescent="0.35">
      <c r="A20" s="85">
        <v>15</v>
      </c>
      <c r="B20" s="112" t="s">
        <v>305</v>
      </c>
      <c r="C20" s="113" t="s">
        <v>32</v>
      </c>
      <c r="D20" s="113" t="s">
        <v>15</v>
      </c>
      <c r="E20" s="125">
        <v>36.4</v>
      </c>
      <c r="F20" s="125"/>
      <c r="G20" s="125">
        <v>33.35</v>
      </c>
      <c r="H20" s="125">
        <v>32</v>
      </c>
      <c r="I20" s="28">
        <v>37.950000000000003</v>
      </c>
      <c r="J20" s="28"/>
      <c r="K20" s="125">
        <v>35.99</v>
      </c>
      <c r="L20" s="125">
        <v>36.4</v>
      </c>
      <c r="M20" s="125"/>
      <c r="N20" s="125"/>
      <c r="O20" s="125"/>
    </row>
    <row r="21" spans="1:15" x14ac:dyDescent="0.35">
      <c r="A21" s="85">
        <v>16</v>
      </c>
      <c r="B21" s="112" t="s">
        <v>34</v>
      </c>
      <c r="C21" s="113"/>
      <c r="D21" s="113" t="s">
        <v>15</v>
      </c>
      <c r="E21" s="125">
        <v>22.88</v>
      </c>
      <c r="F21" s="125">
        <v>29.09</v>
      </c>
      <c r="G21" s="125">
        <v>22.93</v>
      </c>
      <c r="H21" s="125"/>
      <c r="I21" s="28">
        <v>22.95</v>
      </c>
      <c r="J21" s="28">
        <v>29.09</v>
      </c>
      <c r="K21" s="125">
        <v>26.04</v>
      </c>
      <c r="L21" s="125">
        <v>29.48</v>
      </c>
      <c r="M21" s="125">
        <v>25</v>
      </c>
      <c r="N21" s="125">
        <v>28.63</v>
      </c>
      <c r="O21" s="125">
        <v>26</v>
      </c>
    </row>
    <row r="22" spans="1:15" x14ac:dyDescent="0.35">
      <c r="A22" s="85">
        <v>17</v>
      </c>
      <c r="B22" s="112" t="s">
        <v>35</v>
      </c>
      <c r="C22" s="113" t="s">
        <v>36</v>
      </c>
      <c r="D22" s="113" t="s">
        <v>15</v>
      </c>
      <c r="E22" s="125">
        <v>59.6</v>
      </c>
      <c r="F22" s="125"/>
      <c r="G22" s="125">
        <v>56.99</v>
      </c>
      <c r="H22" s="125"/>
      <c r="I22" s="28">
        <v>55.95</v>
      </c>
      <c r="J22" s="28">
        <v>56</v>
      </c>
      <c r="K22" s="125">
        <v>63.99</v>
      </c>
      <c r="L22" s="125">
        <v>59.6</v>
      </c>
      <c r="M22" s="125"/>
      <c r="N22" s="125">
        <v>57</v>
      </c>
      <c r="O22" s="125"/>
    </row>
    <row r="23" spans="1:15" x14ac:dyDescent="0.35">
      <c r="A23" s="85">
        <v>18</v>
      </c>
      <c r="B23" s="112" t="s">
        <v>37</v>
      </c>
      <c r="C23" s="113"/>
      <c r="D23" s="113" t="s">
        <v>15</v>
      </c>
      <c r="E23" s="125">
        <v>27.78</v>
      </c>
      <c r="F23" s="125">
        <v>31.79</v>
      </c>
      <c r="G23" s="125">
        <v>27.84</v>
      </c>
      <c r="H23" s="125">
        <v>27.72</v>
      </c>
      <c r="I23" s="28">
        <v>26.95</v>
      </c>
      <c r="J23" s="28">
        <v>31.8</v>
      </c>
      <c r="K23" s="125">
        <v>28.99</v>
      </c>
      <c r="L23" s="125">
        <v>27.78</v>
      </c>
      <c r="M23" s="125">
        <v>27.27</v>
      </c>
      <c r="N23" s="125">
        <v>32.270000000000003</v>
      </c>
      <c r="O23" s="125"/>
    </row>
    <row r="24" spans="1:15" x14ac:dyDescent="0.35">
      <c r="A24" s="85">
        <v>19</v>
      </c>
      <c r="B24" s="112" t="s">
        <v>38</v>
      </c>
      <c r="C24" s="113" t="s">
        <v>39</v>
      </c>
      <c r="D24" s="113" t="s">
        <v>40</v>
      </c>
      <c r="E24" s="125">
        <v>15.45</v>
      </c>
      <c r="F24" s="125">
        <v>16.25</v>
      </c>
      <c r="G24" s="125">
        <v>15.45</v>
      </c>
      <c r="H24" s="125">
        <v>14.5</v>
      </c>
      <c r="I24" s="28">
        <v>13.95</v>
      </c>
      <c r="J24" s="28">
        <v>16.25</v>
      </c>
      <c r="K24" s="125">
        <v>18.489999999999998</v>
      </c>
      <c r="L24" s="125">
        <v>17.89</v>
      </c>
      <c r="M24" s="125">
        <v>17</v>
      </c>
      <c r="N24" s="125">
        <v>16.5</v>
      </c>
      <c r="O24" s="125">
        <v>16.25</v>
      </c>
    </row>
    <row r="25" spans="1:15" x14ac:dyDescent="0.35">
      <c r="A25" s="85">
        <v>20</v>
      </c>
      <c r="B25" s="112" t="s">
        <v>38</v>
      </c>
      <c r="C25" s="113" t="s">
        <v>41</v>
      </c>
      <c r="D25" s="113" t="s">
        <v>40</v>
      </c>
      <c r="E25" s="125">
        <v>10.4</v>
      </c>
      <c r="F25" s="125">
        <v>9.75</v>
      </c>
      <c r="G25" s="125"/>
      <c r="H25" s="125">
        <v>8.9499999999999993</v>
      </c>
      <c r="I25" s="28">
        <v>9.5</v>
      </c>
      <c r="J25" s="28"/>
      <c r="K25" s="125">
        <v>10.99</v>
      </c>
      <c r="L25" s="125">
        <v>10.4</v>
      </c>
      <c r="M25" s="125">
        <v>10.5</v>
      </c>
      <c r="N25" s="125">
        <v>10.5</v>
      </c>
      <c r="O25" s="125">
        <v>8.5</v>
      </c>
    </row>
    <row r="26" spans="1:15" x14ac:dyDescent="0.35">
      <c r="A26" s="85">
        <v>21</v>
      </c>
      <c r="B26" s="112" t="s">
        <v>42</v>
      </c>
      <c r="C26" s="113" t="s">
        <v>43</v>
      </c>
      <c r="D26" s="113" t="s">
        <v>40</v>
      </c>
      <c r="E26" s="125">
        <v>12.5</v>
      </c>
      <c r="F26" s="125">
        <v>12.75</v>
      </c>
      <c r="G26" s="125">
        <v>12.5</v>
      </c>
      <c r="H26" s="125">
        <v>11</v>
      </c>
      <c r="I26" s="28">
        <v>11.25</v>
      </c>
      <c r="J26" s="28">
        <v>12.75</v>
      </c>
      <c r="K26" s="125">
        <v>14.49</v>
      </c>
      <c r="L26" s="125">
        <v>13.99</v>
      </c>
      <c r="M26" s="125">
        <v>13.5</v>
      </c>
      <c r="N26" s="125">
        <v>12.85</v>
      </c>
      <c r="O26" s="125">
        <v>13.25</v>
      </c>
    </row>
    <row r="27" spans="1:15" x14ac:dyDescent="0.35">
      <c r="A27" s="85">
        <v>22</v>
      </c>
      <c r="B27" s="112" t="s">
        <v>42</v>
      </c>
      <c r="C27" s="113" t="s">
        <v>44</v>
      </c>
      <c r="D27" s="113" t="s">
        <v>45</v>
      </c>
      <c r="E27" s="125">
        <v>32.49</v>
      </c>
      <c r="F27" s="125">
        <v>35.25</v>
      </c>
      <c r="G27" s="125">
        <v>32.49</v>
      </c>
      <c r="H27" s="125">
        <v>31</v>
      </c>
      <c r="I27" s="28">
        <v>30.95</v>
      </c>
      <c r="J27" s="28">
        <v>35.25</v>
      </c>
      <c r="K27" s="125">
        <v>38.99</v>
      </c>
      <c r="L27" s="125">
        <v>37.79</v>
      </c>
      <c r="M27" s="125">
        <v>36</v>
      </c>
      <c r="N27" s="125">
        <v>35.65</v>
      </c>
      <c r="O27" s="125">
        <v>31.5</v>
      </c>
    </row>
    <row r="28" spans="1:15" x14ac:dyDescent="0.35">
      <c r="A28" s="85">
        <v>23</v>
      </c>
      <c r="B28" s="112" t="s">
        <v>46</v>
      </c>
      <c r="C28" s="113" t="s">
        <v>47</v>
      </c>
      <c r="D28" s="113" t="s">
        <v>48</v>
      </c>
      <c r="E28" s="125">
        <v>25.99</v>
      </c>
      <c r="F28" s="125">
        <v>24.75</v>
      </c>
      <c r="G28" s="125">
        <v>26.49</v>
      </c>
      <c r="H28" s="125">
        <v>23</v>
      </c>
      <c r="I28" s="28">
        <v>23.95</v>
      </c>
      <c r="J28" s="28">
        <v>24.75</v>
      </c>
      <c r="K28" s="125">
        <v>23.99</v>
      </c>
      <c r="L28" s="125">
        <v>25.99</v>
      </c>
      <c r="M28" s="125">
        <v>22</v>
      </c>
      <c r="N28" s="142">
        <v>19.95</v>
      </c>
      <c r="O28" s="125">
        <v>27</v>
      </c>
    </row>
    <row r="29" spans="1:15" x14ac:dyDescent="0.35">
      <c r="A29" s="85">
        <v>24</v>
      </c>
      <c r="B29" s="112" t="s">
        <v>49</v>
      </c>
      <c r="C29" s="113" t="s">
        <v>50</v>
      </c>
      <c r="D29" s="113" t="s">
        <v>51</v>
      </c>
      <c r="E29" s="125">
        <v>16</v>
      </c>
      <c r="F29" s="125">
        <v>16.5</v>
      </c>
      <c r="G29" s="125">
        <v>16.75</v>
      </c>
      <c r="H29" s="125">
        <v>15</v>
      </c>
      <c r="I29" s="28">
        <v>15.25</v>
      </c>
      <c r="J29" s="28">
        <v>16.5</v>
      </c>
      <c r="K29" s="125">
        <v>16.989999999999998</v>
      </c>
      <c r="L29" s="125">
        <v>16.75</v>
      </c>
      <c r="M29" s="125">
        <v>17.5</v>
      </c>
      <c r="N29" s="125">
        <v>14.5</v>
      </c>
      <c r="O29" s="125"/>
    </row>
    <row r="30" spans="1:15" x14ac:dyDescent="0.35">
      <c r="A30" s="85">
        <v>25</v>
      </c>
      <c r="B30" s="112" t="s">
        <v>52</v>
      </c>
      <c r="C30" s="113" t="s">
        <v>53</v>
      </c>
      <c r="D30" s="113" t="s">
        <v>51</v>
      </c>
      <c r="E30" s="125">
        <v>16.75</v>
      </c>
      <c r="F30" s="125">
        <v>16.5</v>
      </c>
      <c r="G30" s="125">
        <v>16.75</v>
      </c>
      <c r="H30" s="125"/>
      <c r="I30" s="28">
        <v>15.5</v>
      </c>
      <c r="J30" s="28">
        <v>16.5</v>
      </c>
      <c r="K30" s="125">
        <v>16.989999999999998</v>
      </c>
      <c r="L30" s="125">
        <v>16.75</v>
      </c>
      <c r="M30" s="125">
        <v>17.5</v>
      </c>
      <c r="N30" s="125">
        <v>15.5</v>
      </c>
      <c r="O30" s="125">
        <v>15.75</v>
      </c>
    </row>
    <row r="31" spans="1:15" x14ac:dyDescent="0.35">
      <c r="A31" s="85">
        <v>26</v>
      </c>
      <c r="B31" s="112" t="s">
        <v>54</v>
      </c>
      <c r="C31" s="113" t="s">
        <v>55</v>
      </c>
      <c r="D31" s="113" t="s">
        <v>56</v>
      </c>
      <c r="E31" s="125">
        <v>52.99</v>
      </c>
      <c r="F31" s="125">
        <v>54.25</v>
      </c>
      <c r="G31" s="125">
        <v>52.99</v>
      </c>
      <c r="H31" s="125">
        <v>52.95</v>
      </c>
      <c r="I31" s="150">
        <v>47.95</v>
      </c>
      <c r="J31" s="28">
        <v>54.25</v>
      </c>
      <c r="K31" s="125">
        <v>52.99</v>
      </c>
      <c r="L31" s="125"/>
      <c r="M31" s="142">
        <v>47.95</v>
      </c>
      <c r="N31" s="142">
        <v>47.95</v>
      </c>
      <c r="O31" s="125">
        <v>59.5</v>
      </c>
    </row>
    <row r="32" spans="1:15" x14ac:dyDescent="0.35">
      <c r="A32" s="85">
        <v>27</v>
      </c>
      <c r="B32" s="112" t="s">
        <v>54</v>
      </c>
      <c r="C32" s="113" t="s">
        <v>55</v>
      </c>
      <c r="D32" s="113" t="s">
        <v>57</v>
      </c>
      <c r="E32" s="125">
        <v>16.7</v>
      </c>
      <c r="F32" s="125"/>
      <c r="G32" s="125">
        <v>16.5</v>
      </c>
      <c r="H32" s="125">
        <v>16.5</v>
      </c>
      <c r="I32" s="28">
        <v>16.5</v>
      </c>
      <c r="J32" s="28"/>
      <c r="K32" s="125">
        <v>16.5</v>
      </c>
      <c r="L32" s="125">
        <v>16.5</v>
      </c>
      <c r="M32" s="125">
        <v>16.5</v>
      </c>
      <c r="N32" s="125"/>
      <c r="O32" s="125"/>
    </row>
    <row r="33" spans="1:15" x14ac:dyDescent="0.35">
      <c r="A33" s="85">
        <v>28</v>
      </c>
      <c r="B33" s="112" t="s">
        <v>58</v>
      </c>
      <c r="C33" s="113" t="s">
        <v>55</v>
      </c>
      <c r="D33" s="113" t="s">
        <v>56</v>
      </c>
      <c r="E33" s="125">
        <v>57.99</v>
      </c>
      <c r="F33" s="125">
        <v>59.5</v>
      </c>
      <c r="G33" s="125">
        <v>57.95</v>
      </c>
      <c r="H33" s="125">
        <v>57.95</v>
      </c>
      <c r="I33" s="150">
        <v>52.95</v>
      </c>
      <c r="J33" s="28">
        <v>59.5</v>
      </c>
      <c r="K33" s="125">
        <v>57.99</v>
      </c>
      <c r="L33" s="125">
        <v>57.99</v>
      </c>
      <c r="M33" s="125">
        <v>57.95</v>
      </c>
      <c r="N33" s="125">
        <v>57.95</v>
      </c>
      <c r="O33" s="125"/>
    </row>
    <row r="34" spans="1:15" x14ac:dyDescent="0.35">
      <c r="A34" s="85">
        <v>29</v>
      </c>
      <c r="B34" s="112" t="s">
        <v>58</v>
      </c>
      <c r="C34" s="113" t="s">
        <v>55</v>
      </c>
      <c r="D34" s="113" t="s">
        <v>59</v>
      </c>
      <c r="E34" s="125"/>
      <c r="F34" s="125"/>
      <c r="G34" s="125"/>
      <c r="H34" s="125">
        <v>30.95</v>
      </c>
      <c r="I34" s="28">
        <v>30.95</v>
      </c>
      <c r="J34" s="28">
        <v>31.75</v>
      </c>
      <c r="K34" s="125">
        <v>30.99</v>
      </c>
      <c r="L34" s="125">
        <v>30.99</v>
      </c>
      <c r="M34" s="125">
        <v>30.95</v>
      </c>
      <c r="N34" s="125">
        <v>30.95</v>
      </c>
      <c r="O34" s="125">
        <v>30.95</v>
      </c>
    </row>
    <row r="35" spans="1:15" x14ac:dyDescent="0.35">
      <c r="A35" s="85">
        <v>30</v>
      </c>
      <c r="B35" s="112" t="s">
        <v>60</v>
      </c>
      <c r="C35" s="113" t="s">
        <v>61</v>
      </c>
      <c r="D35" s="113" t="s">
        <v>62</v>
      </c>
      <c r="E35" s="125">
        <v>11.75</v>
      </c>
      <c r="F35" s="125">
        <v>11.5</v>
      </c>
      <c r="G35" s="125">
        <v>11.75</v>
      </c>
      <c r="H35" s="125">
        <v>11.25</v>
      </c>
      <c r="I35" s="28">
        <v>10.95</v>
      </c>
      <c r="J35" s="28">
        <v>11.5</v>
      </c>
      <c r="K35" s="125">
        <v>11.99</v>
      </c>
      <c r="L35" s="125">
        <v>11.75</v>
      </c>
      <c r="M35" s="125">
        <v>11</v>
      </c>
      <c r="N35" s="125">
        <v>11</v>
      </c>
      <c r="O35" s="125">
        <v>10.95</v>
      </c>
    </row>
    <row r="36" spans="1:15" x14ac:dyDescent="0.35">
      <c r="A36" s="85">
        <v>31</v>
      </c>
      <c r="B36" s="112" t="s">
        <v>63</v>
      </c>
      <c r="C36" s="113" t="s">
        <v>64</v>
      </c>
      <c r="D36" s="113" t="s">
        <v>65</v>
      </c>
      <c r="E36" s="125">
        <v>6.99</v>
      </c>
      <c r="F36" s="125">
        <v>7</v>
      </c>
      <c r="G36" s="125">
        <v>6.99</v>
      </c>
      <c r="H36" s="125">
        <v>6.25</v>
      </c>
      <c r="I36" s="150">
        <v>5.95</v>
      </c>
      <c r="J36" s="28">
        <v>6</v>
      </c>
      <c r="K36" s="125">
        <v>6.99</v>
      </c>
      <c r="L36" s="125">
        <v>6.99</v>
      </c>
      <c r="M36" s="125">
        <v>7.5</v>
      </c>
      <c r="N36" s="125"/>
      <c r="O36" s="125">
        <v>6.85</v>
      </c>
    </row>
    <row r="37" spans="1:15" x14ac:dyDescent="0.35">
      <c r="A37" s="85">
        <v>32</v>
      </c>
      <c r="B37" s="112" t="s">
        <v>66</v>
      </c>
      <c r="C37" s="113" t="s">
        <v>50</v>
      </c>
      <c r="D37" s="113" t="s">
        <v>67</v>
      </c>
      <c r="E37" s="125">
        <v>12.5</v>
      </c>
      <c r="F37" s="125">
        <v>12.95</v>
      </c>
      <c r="G37" s="125">
        <v>12.5</v>
      </c>
      <c r="H37" s="125"/>
      <c r="I37" s="150">
        <v>9.9499999999999993</v>
      </c>
      <c r="J37" s="28">
        <v>12.95</v>
      </c>
      <c r="K37" s="125">
        <v>12.99</v>
      </c>
      <c r="L37" s="125">
        <v>12.5</v>
      </c>
      <c r="M37" s="125">
        <v>12.5</v>
      </c>
      <c r="N37" s="125"/>
      <c r="O37" s="125"/>
    </row>
    <row r="38" spans="1:15" x14ac:dyDescent="0.35">
      <c r="A38" s="85">
        <v>33</v>
      </c>
      <c r="B38" s="112" t="s">
        <v>66</v>
      </c>
      <c r="C38" s="113" t="s">
        <v>68</v>
      </c>
      <c r="D38" s="113" t="s">
        <v>67</v>
      </c>
      <c r="E38" s="125">
        <v>11.65</v>
      </c>
      <c r="F38" s="125">
        <v>11</v>
      </c>
      <c r="G38" s="125">
        <v>11.65</v>
      </c>
      <c r="H38" s="125"/>
      <c r="I38" s="28">
        <v>10.95</v>
      </c>
      <c r="J38" s="28">
        <v>11</v>
      </c>
      <c r="K38" s="125">
        <v>11.99</v>
      </c>
      <c r="L38" s="125">
        <v>11.65</v>
      </c>
      <c r="M38" s="125"/>
      <c r="N38" s="125">
        <v>9</v>
      </c>
      <c r="O38" s="125"/>
    </row>
    <row r="39" spans="1:15" x14ac:dyDescent="0.35">
      <c r="A39" s="85">
        <v>35</v>
      </c>
      <c r="B39" s="112" t="s">
        <v>69</v>
      </c>
      <c r="C39" s="113" t="s">
        <v>70</v>
      </c>
      <c r="D39" s="113" t="s">
        <v>59</v>
      </c>
      <c r="E39" s="125">
        <v>7.25</v>
      </c>
      <c r="F39" s="125">
        <v>7.5</v>
      </c>
      <c r="G39" s="125"/>
      <c r="H39" s="125">
        <v>5.75</v>
      </c>
      <c r="I39" s="28">
        <v>5.99</v>
      </c>
      <c r="J39" s="28">
        <v>7.5</v>
      </c>
      <c r="K39" s="125">
        <v>7.49</v>
      </c>
      <c r="L39" s="125">
        <v>7.25</v>
      </c>
      <c r="M39" s="125">
        <v>7</v>
      </c>
      <c r="N39" s="125">
        <v>7</v>
      </c>
      <c r="O39" s="125">
        <v>7</v>
      </c>
    </row>
    <row r="40" spans="1:15" x14ac:dyDescent="0.35">
      <c r="A40" s="85">
        <v>36</v>
      </c>
      <c r="B40" s="112" t="s">
        <v>71</v>
      </c>
      <c r="C40" s="113" t="s">
        <v>70</v>
      </c>
      <c r="D40" s="113" t="s">
        <v>59</v>
      </c>
      <c r="E40" s="125">
        <v>7.1</v>
      </c>
      <c r="F40" s="125"/>
      <c r="G40" s="125">
        <v>7.1</v>
      </c>
      <c r="H40" s="125"/>
      <c r="I40" s="28"/>
      <c r="J40" s="28">
        <v>8</v>
      </c>
      <c r="K40" s="125">
        <v>8.49</v>
      </c>
      <c r="L40" s="125">
        <v>7.1</v>
      </c>
      <c r="M40" s="125">
        <v>8</v>
      </c>
      <c r="N40" s="125">
        <v>8</v>
      </c>
      <c r="O40" s="125"/>
    </row>
    <row r="41" spans="1:15" x14ac:dyDescent="0.35">
      <c r="A41" s="85">
        <v>37</v>
      </c>
      <c r="B41" s="112" t="s">
        <v>72</v>
      </c>
      <c r="C41" s="113" t="s">
        <v>73</v>
      </c>
      <c r="D41" s="113" t="s">
        <v>15</v>
      </c>
      <c r="E41" s="125"/>
      <c r="F41" s="125">
        <v>10.75</v>
      </c>
      <c r="G41" s="125">
        <v>10.5</v>
      </c>
      <c r="H41" s="125">
        <v>9.9499999999999993</v>
      </c>
      <c r="I41" s="28">
        <v>10.55</v>
      </c>
      <c r="J41" s="28"/>
      <c r="K41" s="125">
        <v>10.99</v>
      </c>
      <c r="L41" s="125">
        <v>10.5</v>
      </c>
      <c r="M41" s="125">
        <v>13.5</v>
      </c>
      <c r="N41" s="125">
        <v>10.3</v>
      </c>
      <c r="O41" s="125">
        <v>12.5</v>
      </c>
    </row>
    <row r="42" spans="1:15" x14ac:dyDescent="0.35">
      <c r="A42" s="85">
        <v>38</v>
      </c>
      <c r="B42" s="112" t="s">
        <v>74</v>
      </c>
      <c r="C42" s="113" t="s">
        <v>75</v>
      </c>
      <c r="D42" s="113" t="s">
        <v>76</v>
      </c>
      <c r="E42" s="125">
        <v>19.75</v>
      </c>
      <c r="F42" s="125">
        <v>19.75</v>
      </c>
      <c r="G42" s="125">
        <v>19.75</v>
      </c>
      <c r="H42" s="125">
        <v>19.5</v>
      </c>
      <c r="I42" s="28">
        <v>19.95</v>
      </c>
      <c r="J42" s="28">
        <v>19.75</v>
      </c>
      <c r="K42" s="125">
        <v>19.95</v>
      </c>
      <c r="L42" s="125">
        <v>19.75</v>
      </c>
      <c r="M42" s="125">
        <v>20</v>
      </c>
      <c r="N42" s="125">
        <v>19.5</v>
      </c>
      <c r="O42" s="125">
        <v>21</v>
      </c>
    </row>
    <row r="43" spans="1:15" x14ac:dyDescent="0.35">
      <c r="A43" s="85">
        <v>39</v>
      </c>
      <c r="B43" s="112" t="s">
        <v>77</v>
      </c>
      <c r="C43" s="113" t="s">
        <v>75</v>
      </c>
      <c r="D43" s="113" t="s">
        <v>78</v>
      </c>
      <c r="E43" s="125">
        <v>97.5</v>
      </c>
      <c r="F43" s="125">
        <v>97.75</v>
      </c>
      <c r="G43" s="125">
        <v>97.5</v>
      </c>
      <c r="H43" s="125">
        <v>94</v>
      </c>
      <c r="I43" s="28">
        <v>99.95</v>
      </c>
      <c r="J43" s="28">
        <v>97.75</v>
      </c>
      <c r="K43" s="125">
        <v>97.99</v>
      </c>
      <c r="L43" s="125">
        <v>97.5</v>
      </c>
      <c r="M43" s="125">
        <v>94</v>
      </c>
      <c r="N43" s="125">
        <v>96</v>
      </c>
      <c r="O43" s="125">
        <v>100</v>
      </c>
    </row>
    <row r="44" spans="1:15" x14ac:dyDescent="0.35">
      <c r="A44" s="85">
        <v>40</v>
      </c>
      <c r="B44" s="112" t="s">
        <v>79</v>
      </c>
      <c r="C44" s="113" t="s">
        <v>80</v>
      </c>
      <c r="D44" s="113" t="s">
        <v>81</v>
      </c>
      <c r="E44" s="125">
        <v>26.75</v>
      </c>
      <c r="F44" s="142">
        <v>21.5</v>
      </c>
      <c r="G44" s="125"/>
      <c r="H44" s="125"/>
      <c r="I44" s="28">
        <v>25.95</v>
      </c>
      <c r="J44" s="28">
        <v>22.95</v>
      </c>
      <c r="K44" s="142">
        <v>21.99</v>
      </c>
      <c r="L44" s="125"/>
      <c r="M44" s="125">
        <v>24</v>
      </c>
      <c r="N44" s="125">
        <v>25.25</v>
      </c>
      <c r="O44" s="125"/>
    </row>
    <row r="45" spans="1:15" x14ac:dyDescent="0.35">
      <c r="A45" s="85">
        <v>41</v>
      </c>
      <c r="B45" s="112" t="s">
        <v>79</v>
      </c>
      <c r="C45" s="113" t="s">
        <v>286</v>
      </c>
      <c r="D45" s="113" t="s">
        <v>76</v>
      </c>
      <c r="E45" s="125"/>
      <c r="F45" s="125">
        <v>26.75</v>
      </c>
      <c r="G45" s="125">
        <v>28.05</v>
      </c>
      <c r="H45" s="125"/>
      <c r="I45" s="28"/>
      <c r="J45" s="28">
        <v>26.75</v>
      </c>
      <c r="K45" s="125">
        <v>27.99</v>
      </c>
      <c r="L45" s="125">
        <v>28.05</v>
      </c>
      <c r="M45" s="125">
        <v>26</v>
      </c>
      <c r="N45" s="125">
        <v>27.5</v>
      </c>
      <c r="O45" s="125"/>
    </row>
    <row r="46" spans="1:15" x14ac:dyDescent="0.35">
      <c r="A46" s="85">
        <v>42</v>
      </c>
      <c r="B46" s="112" t="s">
        <v>79</v>
      </c>
      <c r="C46" s="113" t="s">
        <v>286</v>
      </c>
      <c r="D46" s="113" t="s">
        <v>83</v>
      </c>
      <c r="E46" s="125"/>
      <c r="F46" s="125">
        <v>13.5</v>
      </c>
      <c r="G46" s="125">
        <v>14.4</v>
      </c>
      <c r="H46" s="125"/>
      <c r="I46" s="28">
        <v>13</v>
      </c>
      <c r="J46" s="28">
        <v>13.5</v>
      </c>
      <c r="K46" s="125"/>
      <c r="L46" s="125">
        <v>14.4</v>
      </c>
      <c r="M46" s="125"/>
      <c r="N46" s="125">
        <v>13.75</v>
      </c>
      <c r="O46" s="125"/>
    </row>
    <row r="47" spans="1:15" x14ac:dyDescent="0.35">
      <c r="A47" s="85">
        <v>43</v>
      </c>
      <c r="B47" s="112" t="s">
        <v>84</v>
      </c>
      <c r="C47" s="113" t="s">
        <v>85</v>
      </c>
      <c r="D47" s="113" t="s">
        <v>86</v>
      </c>
      <c r="E47" s="125">
        <v>6.05</v>
      </c>
      <c r="F47" s="125"/>
      <c r="G47" s="125"/>
      <c r="H47" s="125"/>
      <c r="I47" s="28">
        <v>5.5</v>
      </c>
      <c r="J47" s="28"/>
      <c r="K47" s="125">
        <v>5.75</v>
      </c>
      <c r="L47" s="125">
        <v>6.05</v>
      </c>
      <c r="M47" s="125">
        <v>7</v>
      </c>
      <c r="N47" s="125">
        <v>5.5</v>
      </c>
      <c r="O47" s="125"/>
    </row>
    <row r="48" spans="1:15" x14ac:dyDescent="0.35">
      <c r="A48" s="85">
        <v>44</v>
      </c>
      <c r="B48" s="112" t="s">
        <v>87</v>
      </c>
      <c r="C48" s="113" t="s">
        <v>88</v>
      </c>
      <c r="D48" s="113" t="s">
        <v>89</v>
      </c>
      <c r="E48" s="125"/>
      <c r="F48" s="125">
        <v>8.9499999999999993</v>
      </c>
      <c r="G48" s="125">
        <v>10.25</v>
      </c>
      <c r="H48" s="125">
        <v>7.75</v>
      </c>
      <c r="I48" s="28">
        <v>8.5</v>
      </c>
      <c r="J48" s="28"/>
      <c r="K48" s="125">
        <v>9.99</v>
      </c>
      <c r="L48" s="125">
        <v>10.25</v>
      </c>
      <c r="M48" s="125"/>
      <c r="N48" s="125">
        <v>9.5</v>
      </c>
      <c r="O48" s="125"/>
    </row>
    <row r="49" spans="1:15" x14ac:dyDescent="0.35">
      <c r="A49" s="85">
        <v>45</v>
      </c>
      <c r="B49" s="112" t="s">
        <v>90</v>
      </c>
      <c r="C49" s="113" t="s">
        <v>91</v>
      </c>
      <c r="D49" s="113" t="s">
        <v>15</v>
      </c>
      <c r="E49" s="125">
        <v>8.1</v>
      </c>
      <c r="F49" s="125">
        <v>9</v>
      </c>
      <c r="G49" s="125">
        <v>8.1</v>
      </c>
      <c r="H49" s="125"/>
      <c r="I49" s="28"/>
      <c r="J49" s="28">
        <v>9</v>
      </c>
      <c r="K49" s="125">
        <v>7.99</v>
      </c>
      <c r="L49" s="125">
        <v>8.1</v>
      </c>
      <c r="M49" s="125">
        <v>8</v>
      </c>
      <c r="N49" s="125">
        <v>7.5</v>
      </c>
      <c r="O49" s="125">
        <v>10</v>
      </c>
    </row>
    <row r="50" spans="1:15" x14ac:dyDescent="0.35">
      <c r="A50" s="85">
        <v>46</v>
      </c>
      <c r="B50" s="112" t="s">
        <v>92</v>
      </c>
      <c r="C50" s="113" t="s">
        <v>93</v>
      </c>
      <c r="D50" s="113" t="s">
        <v>94</v>
      </c>
      <c r="E50" s="125">
        <v>14.5</v>
      </c>
      <c r="F50" s="125">
        <v>14.5</v>
      </c>
      <c r="G50" s="125">
        <v>14.5</v>
      </c>
      <c r="H50" s="125">
        <v>14.5</v>
      </c>
      <c r="I50" s="28">
        <v>14.5</v>
      </c>
      <c r="J50" s="28">
        <v>14.5</v>
      </c>
      <c r="K50" s="125">
        <v>14.49</v>
      </c>
      <c r="L50" s="125">
        <v>14.5</v>
      </c>
      <c r="M50" s="125">
        <v>14.5</v>
      </c>
      <c r="N50" s="125">
        <v>14.5</v>
      </c>
      <c r="O50" s="125">
        <v>14.5</v>
      </c>
    </row>
    <row r="51" spans="1:15" x14ac:dyDescent="0.35">
      <c r="A51" s="85">
        <v>47</v>
      </c>
      <c r="B51" s="112" t="s">
        <v>95</v>
      </c>
      <c r="C51" s="113"/>
      <c r="D51" s="113" t="s">
        <v>15</v>
      </c>
      <c r="E51" s="125"/>
      <c r="F51" s="125"/>
      <c r="G51" s="125"/>
      <c r="H51" s="125">
        <v>5</v>
      </c>
      <c r="I51" s="28">
        <v>4.5</v>
      </c>
      <c r="J51" s="28"/>
      <c r="K51" s="125"/>
      <c r="L51" s="125"/>
      <c r="M51" s="125">
        <v>6</v>
      </c>
      <c r="N51" s="125">
        <v>4.8899999999999997</v>
      </c>
      <c r="O51" s="125">
        <v>6</v>
      </c>
    </row>
    <row r="52" spans="1:15" x14ac:dyDescent="0.35">
      <c r="A52" s="85">
        <v>48</v>
      </c>
      <c r="B52" s="112" t="s">
        <v>95</v>
      </c>
      <c r="C52" s="113"/>
      <c r="D52" s="113" t="s">
        <v>59</v>
      </c>
      <c r="E52" s="125"/>
      <c r="F52" s="125"/>
      <c r="G52" s="125">
        <v>5.95</v>
      </c>
      <c r="H52" s="125"/>
      <c r="I52" s="28"/>
      <c r="J52" s="28"/>
      <c r="K52" s="125">
        <v>5.49</v>
      </c>
      <c r="L52" s="125">
        <v>5.95</v>
      </c>
      <c r="M52" s="125"/>
      <c r="N52" s="125"/>
      <c r="O52" s="125"/>
    </row>
    <row r="53" spans="1:15" x14ac:dyDescent="0.35">
      <c r="A53" s="85">
        <v>49</v>
      </c>
      <c r="B53" s="112" t="s">
        <v>96</v>
      </c>
      <c r="C53" s="113" t="s">
        <v>97</v>
      </c>
      <c r="D53" s="113" t="s">
        <v>15</v>
      </c>
      <c r="E53" s="125"/>
      <c r="F53" s="125"/>
      <c r="G53" s="125"/>
      <c r="H53" s="125">
        <v>8</v>
      </c>
      <c r="I53" s="28">
        <v>7.95</v>
      </c>
      <c r="J53" s="28"/>
      <c r="K53" s="125"/>
      <c r="L53" s="125"/>
      <c r="M53" s="125">
        <v>12</v>
      </c>
      <c r="N53" s="125">
        <v>8.18</v>
      </c>
      <c r="O53" s="125">
        <v>10.5</v>
      </c>
    </row>
    <row r="54" spans="1:15" x14ac:dyDescent="0.35">
      <c r="A54" s="85">
        <v>50</v>
      </c>
      <c r="B54" s="112" t="s">
        <v>96</v>
      </c>
      <c r="C54" s="113"/>
      <c r="D54" s="113" t="s">
        <v>59</v>
      </c>
      <c r="E54" s="125"/>
      <c r="F54" s="125"/>
      <c r="G54" s="125"/>
      <c r="H54" s="125"/>
      <c r="I54" s="28"/>
      <c r="J54" s="28"/>
      <c r="K54" s="125">
        <v>9.99</v>
      </c>
      <c r="L54" s="125">
        <v>12.1</v>
      </c>
      <c r="M54" s="125"/>
      <c r="N54" s="125"/>
      <c r="O54" s="125"/>
    </row>
    <row r="55" spans="1:15" x14ac:dyDescent="0.35">
      <c r="A55" s="85">
        <v>51</v>
      </c>
      <c r="B55" s="112" t="s">
        <v>98</v>
      </c>
      <c r="C55" s="113"/>
      <c r="D55" s="113" t="s">
        <v>15</v>
      </c>
      <c r="E55" s="125"/>
      <c r="F55" s="125"/>
      <c r="G55" s="125"/>
      <c r="H55" s="125">
        <v>9</v>
      </c>
      <c r="I55" s="28">
        <v>9.9499999999999993</v>
      </c>
      <c r="J55" s="28"/>
      <c r="K55" s="125"/>
      <c r="L55" s="125"/>
      <c r="M55" s="125">
        <v>10</v>
      </c>
      <c r="N55" s="125">
        <v>9.1999999999999993</v>
      </c>
      <c r="O55" s="125">
        <v>11.5</v>
      </c>
    </row>
    <row r="56" spans="1:15" x14ac:dyDescent="0.35">
      <c r="A56" s="85">
        <v>52</v>
      </c>
      <c r="B56" s="112" t="s">
        <v>98</v>
      </c>
      <c r="C56" s="113"/>
      <c r="D56" s="113" t="s">
        <v>59</v>
      </c>
      <c r="E56" s="125"/>
      <c r="F56" s="125"/>
      <c r="G56" s="125">
        <v>10.1</v>
      </c>
      <c r="H56" s="125"/>
      <c r="I56" s="28"/>
      <c r="J56" s="28"/>
      <c r="K56" s="125">
        <v>9.99</v>
      </c>
      <c r="L56" s="125">
        <v>10.1</v>
      </c>
      <c r="M56" s="125"/>
      <c r="N56" s="125"/>
      <c r="O56" s="125"/>
    </row>
    <row r="57" spans="1:15" x14ac:dyDescent="0.35">
      <c r="A57" s="85">
        <v>53</v>
      </c>
      <c r="B57" s="112" t="s">
        <v>99</v>
      </c>
      <c r="C57" s="113" t="s">
        <v>47</v>
      </c>
      <c r="D57" s="113" t="s">
        <v>15</v>
      </c>
      <c r="E57" s="125"/>
      <c r="F57" s="125"/>
      <c r="G57" s="125"/>
      <c r="H57" s="125"/>
      <c r="I57" s="28">
        <v>9.5</v>
      </c>
      <c r="J57" s="28"/>
      <c r="K57" s="125"/>
      <c r="L57" s="125"/>
      <c r="M57" s="125">
        <v>12</v>
      </c>
      <c r="N57" s="125">
        <v>9.43</v>
      </c>
      <c r="O57" s="125">
        <v>10</v>
      </c>
    </row>
    <row r="58" spans="1:15" x14ac:dyDescent="0.35">
      <c r="A58" s="85">
        <v>54</v>
      </c>
      <c r="B58" s="112" t="s">
        <v>99</v>
      </c>
      <c r="C58" s="113"/>
      <c r="D58" s="113" t="s">
        <v>59</v>
      </c>
      <c r="E58" s="125"/>
      <c r="F58" s="125"/>
      <c r="G58" s="125">
        <v>11.45</v>
      </c>
      <c r="H58" s="125"/>
      <c r="I58" s="28"/>
      <c r="J58" s="28"/>
      <c r="K58" s="125">
        <v>9.49</v>
      </c>
      <c r="L58" s="125">
        <v>11.45</v>
      </c>
      <c r="M58" s="125"/>
      <c r="N58" s="125"/>
      <c r="O58" s="125"/>
    </row>
    <row r="59" spans="1:15" x14ac:dyDescent="0.35">
      <c r="A59" s="85">
        <v>55</v>
      </c>
      <c r="B59" s="112" t="s">
        <v>100</v>
      </c>
      <c r="C59" s="113"/>
      <c r="D59" s="113" t="s">
        <v>15</v>
      </c>
      <c r="E59" s="125"/>
      <c r="F59" s="125"/>
      <c r="G59" s="125"/>
      <c r="H59" s="125">
        <v>7.5</v>
      </c>
      <c r="I59" s="28">
        <v>6.95</v>
      </c>
      <c r="J59" s="28"/>
      <c r="K59" s="125">
        <v>9.99</v>
      </c>
      <c r="L59" s="125">
        <v>9.6</v>
      </c>
      <c r="M59" s="125">
        <v>10</v>
      </c>
      <c r="N59" s="125">
        <v>8.18</v>
      </c>
      <c r="O59" s="125">
        <v>10.5</v>
      </c>
    </row>
    <row r="60" spans="1:15" x14ac:dyDescent="0.35">
      <c r="A60" s="85">
        <v>56</v>
      </c>
      <c r="B60" s="112" t="s">
        <v>100</v>
      </c>
      <c r="C60" s="113"/>
      <c r="D60" s="113" t="s">
        <v>59</v>
      </c>
      <c r="E60" s="125"/>
      <c r="F60" s="125"/>
      <c r="G60" s="125">
        <v>9.6</v>
      </c>
      <c r="H60" s="125"/>
      <c r="I60" s="28"/>
      <c r="J60" s="28"/>
      <c r="K60" s="125"/>
      <c r="L60" s="125"/>
      <c r="M60" s="125"/>
      <c r="N60" s="125"/>
      <c r="O60" s="125"/>
    </row>
    <row r="61" spans="1:15" x14ac:dyDescent="0.35">
      <c r="A61" s="85">
        <v>57</v>
      </c>
      <c r="B61" s="112" t="s">
        <v>101</v>
      </c>
      <c r="C61" s="113"/>
      <c r="D61" s="113" t="s">
        <v>15</v>
      </c>
      <c r="E61" s="125"/>
      <c r="F61" s="125"/>
      <c r="G61" s="125"/>
      <c r="H61" s="125">
        <v>7</v>
      </c>
      <c r="I61" s="28">
        <v>7.95</v>
      </c>
      <c r="J61" s="28"/>
      <c r="K61" s="125"/>
      <c r="L61" s="125"/>
      <c r="M61" s="125">
        <v>8</v>
      </c>
      <c r="N61" s="125">
        <v>7.84</v>
      </c>
      <c r="O61" s="125">
        <v>7.9</v>
      </c>
    </row>
    <row r="62" spans="1:15" x14ac:dyDescent="0.35">
      <c r="A62" s="85">
        <v>57</v>
      </c>
      <c r="B62" s="112" t="s">
        <v>101</v>
      </c>
      <c r="C62" s="113"/>
      <c r="D62" s="113" t="s">
        <v>59</v>
      </c>
      <c r="E62" s="125"/>
      <c r="F62" s="125"/>
      <c r="G62" s="125"/>
      <c r="H62" s="125"/>
      <c r="I62" s="28"/>
      <c r="J62" s="28"/>
      <c r="K62" s="125">
        <v>7.99</v>
      </c>
      <c r="L62" s="125">
        <v>7.35</v>
      </c>
      <c r="M62" s="125"/>
      <c r="N62" s="125"/>
      <c r="O62" s="125"/>
    </row>
    <row r="63" spans="1:15" x14ac:dyDescent="0.35">
      <c r="A63" s="85">
        <v>58</v>
      </c>
      <c r="B63" s="112" t="s">
        <v>102</v>
      </c>
      <c r="C63" s="113" t="s">
        <v>103</v>
      </c>
      <c r="D63" s="113" t="s">
        <v>59</v>
      </c>
      <c r="E63" s="125">
        <v>6.4</v>
      </c>
      <c r="F63" s="125">
        <v>7.25</v>
      </c>
      <c r="G63" s="125">
        <v>6.4</v>
      </c>
      <c r="H63" s="125"/>
      <c r="I63" s="28">
        <v>5.75</v>
      </c>
      <c r="J63" s="28"/>
      <c r="K63" s="125"/>
      <c r="L63" s="125">
        <v>6.4</v>
      </c>
      <c r="M63" s="125"/>
      <c r="N63" s="125">
        <v>5.75</v>
      </c>
      <c r="O63" s="125"/>
    </row>
    <row r="64" spans="1:15" x14ac:dyDescent="0.35">
      <c r="A64" s="85">
        <v>59</v>
      </c>
      <c r="B64" s="112" t="s">
        <v>104</v>
      </c>
      <c r="C64" s="113" t="s">
        <v>103</v>
      </c>
      <c r="D64" s="113" t="s">
        <v>59</v>
      </c>
      <c r="E64" s="125">
        <v>11.1</v>
      </c>
      <c r="F64" s="125">
        <v>12</v>
      </c>
      <c r="G64" s="125"/>
      <c r="H64" s="125"/>
      <c r="I64" s="28">
        <v>11.95</v>
      </c>
      <c r="J64" s="28">
        <v>12</v>
      </c>
      <c r="K64" s="125"/>
      <c r="L64" s="125">
        <v>11.1</v>
      </c>
      <c r="M64" s="125"/>
      <c r="N64" s="125">
        <v>11</v>
      </c>
      <c r="O64" s="125"/>
    </row>
    <row r="65" spans="1:15" x14ac:dyDescent="0.35">
      <c r="A65" s="85">
        <v>60</v>
      </c>
      <c r="B65" s="112" t="s">
        <v>105</v>
      </c>
      <c r="C65" s="113" t="s">
        <v>103</v>
      </c>
      <c r="D65" s="113" t="s">
        <v>59</v>
      </c>
      <c r="E65" s="125"/>
      <c r="F65" s="125"/>
      <c r="G65" s="125">
        <v>11.1</v>
      </c>
      <c r="H65" s="125"/>
      <c r="I65" s="28">
        <v>9.99</v>
      </c>
      <c r="J65" s="28"/>
      <c r="K65" s="125"/>
      <c r="L65" s="125">
        <v>11.1</v>
      </c>
      <c r="M65" s="125"/>
      <c r="N65" s="125"/>
      <c r="O65" s="125"/>
    </row>
    <row r="66" spans="1:15" x14ac:dyDescent="0.35">
      <c r="A66" s="85">
        <v>61</v>
      </c>
      <c r="B66" s="112" t="s">
        <v>106</v>
      </c>
      <c r="C66" s="113" t="s">
        <v>103</v>
      </c>
      <c r="D66" s="113" t="s">
        <v>59</v>
      </c>
      <c r="E66" s="125"/>
      <c r="F66" s="125"/>
      <c r="G66" s="125"/>
      <c r="H66" s="125"/>
      <c r="I66" s="28">
        <v>9.9499999999999993</v>
      </c>
      <c r="J66" s="28"/>
      <c r="K66" s="125"/>
      <c r="L66" s="125"/>
      <c r="M66" s="125"/>
      <c r="N66" s="125"/>
      <c r="O66" s="125"/>
    </row>
    <row r="67" spans="1:15" x14ac:dyDescent="0.35">
      <c r="A67" s="85">
        <v>62</v>
      </c>
      <c r="B67" s="112" t="s">
        <v>107</v>
      </c>
      <c r="C67" s="113" t="s">
        <v>103</v>
      </c>
      <c r="D67" s="113" t="s">
        <v>59</v>
      </c>
      <c r="E67" s="125">
        <v>9.1</v>
      </c>
      <c r="F67" s="125"/>
      <c r="G67" s="125">
        <v>9.99</v>
      </c>
      <c r="H67" s="125"/>
      <c r="I67" s="28">
        <v>8.9499999999999993</v>
      </c>
      <c r="J67" s="28"/>
      <c r="K67" s="125"/>
      <c r="L67" s="125">
        <v>9.1</v>
      </c>
      <c r="M67" s="125"/>
      <c r="N67" s="125">
        <v>8</v>
      </c>
      <c r="O67" s="125"/>
    </row>
    <row r="68" spans="1:15" x14ac:dyDescent="0.35">
      <c r="A68" s="85">
        <v>63</v>
      </c>
      <c r="B68" s="112" t="s">
        <v>108</v>
      </c>
      <c r="C68" s="113" t="s">
        <v>103</v>
      </c>
      <c r="D68" s="113" t="s">
        <v>59</v>
      </c>
      <c r="E68" s="125">
        <v>9.6</v>
      </c>
      <c r="F68" s="125">
        <v>9.5</v>
      </c>
      <c r="G68" s="125"/>
      <c r="H68" s="125"/>
      <c r="I68" s="28">
        <v>8.9499999999999993</v>
      </c>
      <c r="J68" s="28"/>
      <c r="K68" s="125"/>
      <c r="L68" s="125">
        <v>9.6</v>
      </c>
      <c r="M68" s="125"/>
      <c r="N68" s="125">
        <v>10</v>
      </c>
      <c r="O68" s="125"/>
    </row>
    <row r="69" spans="1:15" x14ac:dyDescent="0.35">
      <c r="A69" s="85">
        <v>64</v>
      </c>
      <c r="B69" s="112" t="s">
        <v>109</v>
      </c>
      <c r="C69" s="113" t="s">
        <v>110</v>
      </c>
      <c r="D69" s="113" t="s">
        <v>111</v>
      </c>
      <c r="E69" s="125">
        <v>11.99</v>
      </c>
      <c r="F69" s="125">
        <v>12</v>
      </c>
      <c r="G69" s="125">
        <v>12.15</v>
      </c>
      <c r="H69" s="125">
        <v>11.5</v>
      </c>
      <c r="I69" s="28"/>
      <c r="J69" s="28">
        <v>12</v>
      </c>
      <c r="K69" s="125">
        <v>11.99</v>
      </c>
      <c r="L69" s="125">
        <v>11.99</v>
      </c>
      <c r="M69" s="125">
        <v>12.5</v>
      </c>
      <c r="N69" s="125">
        <v>12</v>
      </c>
      <c r="O69" s="125"/>
    </row>
    <row r="70" spans="1:15" x14ac:dyDescent="0.35">
      <c r="A70" s="85">
        <v>65</v>
      </c>
      <c r="B70" s="112" t="s">
        <v>112</v>
      </c>
      <c r="C70" s="113" t="s">
        <v>113</v>
      </c>
      <c r="D70" s="113" t="s">
        <v>51</v>
      </c>
      <c r="E70" s="125">
        <v>7.1</v>
      </c>
      <c r="F70" s="125">
        <v>6.75</v>
      </c>
      <c r="G70" s="125"/>
      <c r="H70" s="125">
        <v>8.5</v>
      </c>
      <c r="I70" s="28"/>
      <c r="J70" s="28">
        <v>8.9499999999999993</v>
      </c>
      <c r="K70" s="125">
        <v>7.49</v>
      </c>
      <c r="L70" s="125"/>
      <c r="M70" s="125"/>
      <c r="N70" s="125">
        <v>8.5</v>
      </c>
      <c r="O70" s="125">
        <v>7</v>
      </c>
    </row>
    <row r="71" spans="1:15" x14ac:dyDescent="0.35">
      <c r="A71" s="85">
        <v>66</v>
      </c>
      <c r="B71" s="112" t="s">
        <v>114</v>
      </c>
      <c r="C71" s="113"/>
      <c r="D71" s="113" t="s">
        <v>15</v>
      </c>
      <c r="E71" s="125">
        <v>3.52</v>
      </c>
      <c r="F71" s="125">
        <v>2.84</v>
      </c>
      <c r="G71" s="125">
        <v>3.63</v>
      </c>
      <c r="H71" s="125">
        <v>3</v>
      </c>
      <c r="I71" s="28">
        <v>2.95</v>
      </c>
      <c r="J71" s="28">
        <v>2.84</v>
      </c>
      <c r="K71" s="125">
        <v>2.99</v>
      </c>
      <c r="L71" s="125">
        <v>3.52</v>
      </c>
      <c r="M71" s="125"/>
      <c r="N71" s="125">
        <v>2.72</v>
      </c>
      <c r="O71" s="125">
        <v>4</v>
      </c>
    </row>
    <row r="72" spans="1:15" x14ac:dyDescent="0.35">
      <c r="A72" s="85">
        <v>67</v>
      </c>
      <c r="B72" s="112" t="s">
        <v>115</v>
      </c>
      <c r="C72" s="113"/>
      <c r="D72" s="113" t="s">
        <v>15</v>
      </c>
      <c r="E72" s="125">
        <v>5.3</v>
      </c>
      <c r="F72" s="125">
        <v>4.07</v>
      </c>
      <c r="G72" s="125">
        <v>5.45</v>
      </c>
      <c r="H72" s="125">
        <v>3.51</v>
      </c>
      <c r="I72" s="28">
        <v>3.95</v>
      </c>
      <c r="J72" s="28">
        <v>2.84</v>
      </c>
      <c r="K72" s="125">
        <v>2.99</v>
      </c>
      <c r="L72" s="125">
        <v>5.28</v>
      </c>
      <c r="M72" s="125"/>
      <c r="N72" s="125">
        <v>3.29</v>
      </c>
      <c r="O72" s="125">
        <v>4</v>
      </c>
    </row>
    <row r="73" spans="1:15" x14ac:dyDescent="0.35">
      <c r="A73" s="85">
        <v>68</v>
      </c>
      <c r="B73" s="112" t="s">
        <v>116</v>
      </c>
      <c r="C73" s="113"/>
      <c r="D73" s="113" t="s">
        <v>15</v>
      </c>
      <c r="E73" s="125">
        <v>15.15</v>
      </c>
      <c r="F73" s="125">
        <v>13.75</v>
      </c>
      <c r="G73" s="125"/>
      <c r="H73" s="125">
        <v>10</v>
      </c>
      <c r="I73" s="28"/>
      <c r="J73" s="28">
        <v>13.75</v>
      </c>
      <c r="K73" s="125">
        <v>8.99</v>
      </c>
      <c r="L73" s="125">
        <v>13.5</v>
      </c>
      <c r="M73" s="125">
        <v>10</v>
      </c>
      <c r="N73" s="125">
        <v>10</v>
      </c>
      <c r="O73" s="125">
        <v>14</v>
      </c>
    </row>
    <row r="74" spans="1:15" x14ac:dyDescent="0.35">
      <c r="A74" s="85">
        <v>69</v>
      </c>
      <c r="B74" s="112" t="s">
        <v>116</v>
      </c>
      <c r="C74" s="113"/>
      <c r="D74" s="113" t="s">
        <v>40</v>
      </c>
      <c r="E74" s="125">
        <v>6.99</v>
      </c>
      <c r="F74" s="125">
        <v>6.95</v>
      </c>
      <c r="G74" s="125"/>
      <c r="H74" s="125">
        <v>5</v>
      </c>
      <c r="I74" s="28">
        <v>5</v>
      </c>
      <c r="J74" s="28">
        <v>6.95</v>
      </c>
      <c r="K74" s="125">
        <v>4.99</v>
      </c>
      <c r="L74" s="125">
        <v>6.5</v>
      </c>
      <c r="M74" s="125">
        <v>5</v>
      </c>
      <c r="N74" s="125">
        <v>5</v>
      </c>
      <c r="O74" s="125">
        <v>7</v>
      </c>
    </row>
    <row r="75" spans="1:15" x14ac:dyDescent="0.35">
      <c r="A75" s="85">
        <v>70</v>
      </c>
      <c r="B75" s="112" t="s">
        <v>117</v>
      </c>
      <c r="C75" s="113" t="s">
        <v>118</v>
      </c>
      <c r="D75" s="113" t="s">
        <v>15</v>
      </c>
      <c r="E75" s="125"/>
      <c r="F75" s="125"/>
      <c r="G75" s="125"/>
      <c r="H75" s="125">
        <v>3.18</v>
      </c>
      <c r="I75" s="28">
        <v>3.99</v>
      </c>
      <c r="J75" s="28"/>
      <c r="K75" s="125">
        <v>2.5</v>
      </c>
      <c r="L75" s="125"/>
      <c r="M75" s="125">
        <v>4.75</v>
      </c>
      <c r="N75" s="125">
        <v>4.5</v>
      </c>
      <c r="O75" s="125">
        <v>4</v>
      </c>
    </row>
    <row r="76" spans="1:15" x14ac:dyDescent="0.35">
      <c r="A76" s="85">
        <v>71</v>
      </c>
      <c r="B76" s="112" t="s">
        <v>119</v>
      </c>
      <c r="C76" s="113" t="s">
        <v>120</v>
      </c>
      <c r="D76" s="113" t="s">
        <v>81</v>
      </c>
      <c r="E76" s="125">
        <v>20.99</v>
      </c>
      <c r="F76" s="125"/>
      <c r="G76" s="125">
        <v>20.5</v>
      </c>
      <c r="H76" s="125">
        <v>19</v>
      </c>
      <c r="I76" s="28"/>
      <c r="J76" s="28">
        <v>20.75</v>
      </c>
      <c r="K76" s="125">
        <v>19.989999999999998</v>
      </c>
      <c r="L76" s="125">
        <v>20.99</v>
      </c>
      <c r="M76" s="125"/>
      <c r="N76" s="125"/>
      <c r="O76" s="125"/>
    </row>
    <row r="77" spans="1:15" x14ac:dyDescent="0.35">
      <c r="A77" s="85">
        <v>72</v>
      </c>
      <c r="B77" s="112" t="s">
        <v>121</v>
      </c>
      <c r="C77" s="113" t="s">
        <v>122</v>
      </c>
      <c r="D77" s="113" t="s">
        <v>81</v>
      </c>
      <c r="E77" s="125">
        <v>22.99</v>
      </c>
      <c r="F77" s="125">
        <v>22</v>
      </c>
      <c r="G77" s="125">
        <v>22.99</v>
      </c>
      <c r="H77" s="125">
        <v>21.5</v>
      </c>
      <c r="I77" s="28">
        <v>20</v>
      </c>
      <c r="J77" s="28">
        <v>20</v>
      </c>
      <c r="K77" s="125">
        <v>21.99</v>
      </c>
      <c r="L77" s="125">
        <v>22.99</v>
      </c>
      <c r="M77" s="125">
        <v>22</v>
      </c>
      <c r="N77" s="125">
        <v>21.95</v>
      </c>
      <c r="O77" s="125">
        <v>24.5</v>
      </c>
    </row>
    <row r="78" spans="1:15" x14ac:dyDescent="0.35">
      <c r="A78" s="85">
        <v>73</v>
      </c>
      <c r="B78" s="112" t="s">
        <v>123</v>
      </c>
      <c r="C78" s="113" t="s">
        <v>124</v>
      </c>
      <c r="D78" s="113" t="s">
        <v>125</v>
      </c>
      <c r="E78" s="125">
        <v>5.05</v>
      </c>
      <c r="F78" s="125">
        <v>5</v>
      </c>
      <c r="G78" s="125"/>
      <c r="H78" s="125"/>
      <c r="I78" s="28"/>
      <c r="J78" s="28"/>
      <c r="K78" s="125">
        <v>4.99</v>
      </c>
      <c r="L78" s="125">
        <v>5.05</v>
      </c>
      <c r="M78" s="125"/>
      <c r="N78" s="125">
        <v>5</v>
      </c>
      <c r="O78" s="125">
        <v>5</v>
      </c>
    </row>
    <row r="79" spans="1:15" s="59" customFormat="1" x14ac:dyDescent="0.35">
      <c r="A79" s="85">
        <v>74</v>
      </c>
      <c r="B79" s="112" t="s">
        <v>123</v>
      </c>
      <c r="C79" s="113" t="s">
        <v>126</v>
      </c>
      <c r="D79" s="113" t="s">
        <v>56</v>
      </c>
      <c r="E79" s="80"/>
      <c r="F79" s="125">
        <v>4.25</v>
      </c>
      <c r="G79" s="125"/>
      <c r="H79" s="125"/>
      <c r="I79" s="28">
        <v>3.95</v>
      </c>
      <c r="J79" s="28"/>
      <c r="K79" s="125">
        <v>3.99</v>
      </c>
      <c r="L79" s="125"/>
      <c r="M79" s="125"/>
      <c r="N79" s="125"/>
      <c r="O79" s="125"/>
    </row>
    <row r="80" spans="1:15" s="59" customFormat="1" x14ac:dyDescent="0.35">
      <c r="A80" s="85">
        <v>75</v>
      </c>
      <c r="B80" s="112" t="s">
        <v>127</v>
      </c>
      <c r="C80" s="113" t="s">
        <v>128</v>
      </c>
      <c r="D80" s="113" t="s">
        <v>129</v>
      </c>
      <c r="E80" s="125">
        <v>224.5</v>
      </c>
      <c r="F80" s="80"/>
      <c r="G80" s="125"/>
      <c r="H80" s="125"/>
      <c r="I80" s="28">
        <v>215</v>
      </c>
      <c r="J80" s="28"/>
      <c r="K80" s="125">
        <v>233</v>
      </c>
      <c r="L80" s="125"/>
      <c r="M80" s="125"/>
      <c r="N80" s="125"/>
      <c r="O80" s="125"/>
    </row>
    <row r="81" spans="1:15" s="59" customFormat="1" x14ac:dyDescent="0.35">
      <c r="A81" s="85">
        <v>76</v>
      </c>
      <c r="B81" s="112" t="s">
        <v>127</v>
      </c>
      <c r="C81" s="113" t="s">
        <v>130</v>
      </c>
      <c r="D81" s="113" t="s">
        <v>129</v>
      </c>
      <c r="E81" s="125">
        <v>160.99</v>
      </c>
      <c r="F81" s="125">
        <v>163.25</v>
      </c>
      <c r="G81" s="125"/>
      <c r="H81" s="125">
        <v>155</v>
      </c>
      <c r="I81" s="28">
        <v>139.94999999999999</v>
      </c>
      <c r="J81" s="28"/>
      <c r="K81" s="125">
        <v>155</v>
      </c>
      <c r="L81" s="125">
        <v>160.99</v>
      </c>
      <c r="M81" s="125">
        <v>155</v>
      </c>
      <c r="N81" s="125">
        <v>145</v>
      </c>
      <c r="O81" s="125"/>
    </row>
    <row r="82" spans="1:15" s="59" customFormat="1" x14ac:dyDescent="0.35">
      <c r="A82" s="85">
        <v>77</v>
      </c>
      <c r="B82" s="112" t="s">
        <v>127</v>
      </c>
      <c r="C82" s="113" t="s">
        <v>131</v>
      </c>
      <c r="D82" s="113" t="s">
        <v>56</v>
      </c>
      <c r="E82" s="125">
        <v>83.5</v>
      </c>
      <c r="F82" s="125">
        <v>84.5</v>
      </c>
      <c r="G82" s="125">
        <v>74.989999999999995</v>
      </c>
      <c r="H82" s="125">
        <v>85.5</v>
      </c>
      <c r="I82" s="150">
        <v>66.95</v>
      </c>
      <c r="J82" s="28"/>
      <c r="K82" s="125">
        <v>82.99</v>
      </c>
      <c r="L82" s="125"/>
      <c r="M82" s="125">
        <v>83</v>
      </c>
      <c r="N82" s="125">
        <v>82.5</v>
      </c>
      <c r="O82" s="125">
        <v>84.15</v>
      </c>
    </row>
    <row r="83" spans="1:15" x14ac:dyDescent="0.35">
      <c r="A83" s="85">
        <v>78</v>
      </c>
      <c r="B83" s="112" t="s">
        <v>132</v>
      </c>
      <c r="C83" s="113" t="s">
        <v>133</v>
      </c>
      <c r="D83" s="113" t="s">
        <v>134</v>
      </c>
      <c r="E83" s="125"/>
      <c r="F83" s="125"/>
      <c r="G83" s="125">
        <v>25.5</v>
      </c>
      <c r="H83" s="125">
        <v>26.5</v>
      </c>
      <c r="I83" s="28">
        <v>24.95</v>
      </c>
      <c r="J83" s="28"/>
      <c r="K83" s="125">
        <v>26.99</v>
      </c>
      <c r="L83" s="125">
        <v>25.99</v>
      </c>
      <c r="M83" s="125">
        <v>28</v>
      </c>
      <c r="N83" s="125">
        <v>27.6</v>
      </c>
      <c r="O83" s="125"/>
    </row>
    <row r="84" spans="1:15" s="59" customFormat="1" x14ac:dyDescent="0.35">
      <c r="A84" s="85">
        <v>79</v>
      </c>
      <c r="B84" s="112" t="s">
        <v>132</v>
      </c>
      <c r="C84" s="113" t="s">
        <v>135</v>
      </c>
      <c r="D84" s="113" t="s">
        <v>134</v>
      </c>
      <c r="E84" s="125">
        <v>27.99</v>
      </c>
      <c r="F84" s="125">
        <v>28.25</v>
      </c>
      <c r="G84" s="125">
        <v>27.99</v>
      </c>
      <c r="H84" s="125">
        <v>26.5</v>
      </c>
      <c r="I84" s="28">
        <v>26.9527</v>
      </c>
      <c r="J84" s="28">
        <v>27</v>
      </c>
      <c r="K84" s="125">
        <v>28.99</v>
      </c>
      <c r="L84" s="125">
        <v>27.99</v>
      </c>
      <c r="M84" s="125">
        <v>28</v>
      </c>
      <c r="N84" s="125">
        <v>27.6</v>
      </c>
      <c r="O84" s="125">
        <v>28.15</v>
      </c>
    </row>
    <row r="85" spans="1:15" s="59" customFormat="1" x14ac:dyDescent="0.35">
      <c r="A85" s="85">
        <v>80</v>
      </c>
      <c r="B85" s="112" t="s">
        <v>136</v>
      </c>
      <c r="C85" s="113" t="s">
        <v>137</v>
      </c>
      <c r="D85" s="113" t="s">
        <v>138</v>
      </c>
      <c r="E85" s="125">
        <v>15.15</v>
      </c>
      <c r="F85" s="125">
        <v>17.25</v>
      </c>
      <c r="G85" s="125">
        <v>15.15</v>
      </c>
      <c r="H85" s="125">
        <v>14</v>
      </c>
      <c r="I85" s="28"/>
      <c r="J85" s="28">
        <v>16.95</v>
      </c>
      <c r="K85" s="125">
        <v>14.99</v>
      </c>
      <c r="L85" s="125">
        <v>15.15</v>
      </c>
      <c r="M85" s="125">
        <v>16</v>
      </c>
      <c r="N85" s="125">
        <v>14</v>
      </c>
      <c r="O85" s="125"/>
    </row>
    <row r="86" spans="1:15" s="59" customFormat="1" x14ac:dyDescent="0.35">
      <c r="A86" s="85">
        <v>81</v>
      </c>
      <c r="B86" s="112" t="s">
        <v>139</v>
      </c>
      <c r="C86" s="113" t="s">
        <v>140</v>
      </c>
      <c r="D86" s="113" t="s">
        <v>141</v>
      </c>
      <c r="E86" s="125">
        <v>17.2</v>
      </c>
      <c r="F86" s="125"/>
      <c r="G86" s="125">
        <v>17.2</v>
      </c>
      <c r="H86" s="125"/>
      <c r="I86" s="28">
        <v>16</v>
      </c>
      <c r="J86" s="28">
        <v>15.75</v>
      </c>
      <c r="K86" s="125">
        <v>16.989999999999998</v>
      </c>
      <c r="L86" s="125">
        <v>17.2</v>
      </c>
      <c r="M86" s="125">
        <v>16</v>
      </c>
      <c r="N86" s="125">
        <v>15.95</v>
      </c>
      <c r="O86" s="125">
        <v>16.5</v>
      </c>
    </row>
    <row r="87" spans="1:15" s="59" customFormat="1" x14ac:dyDescent="0.35">
      <c r="A87" s="85">
        <v>82</v>
      </c>
      <c r="B87" s="112" t="s">
        <v>142</v>
      </c>
      <c r="C87" s="113" t="s">
        <v>143</v>
      </c>
      <c r="D87" s="113" t="s">
        <v>144</v>
      </c>
      <c r="E87" s="125">
        <v>22.5</v>
      </c>
      <c r="F87" s="125">
        <v>21.5</v>
      </c>
      <c r="G87" s="125">
        <v>22.5</v>
      </c>
      <c r="H87" s="125"/>
      <c r="I87" s="28"/>
      <c r="J87" s="28">
        <v>24</v>
      </c>
      <c r="K87" s="125">
        <v>24.99</v>
      </c>
      <c r="L87" s="125">
        <v>25.5</v>
      </c>
      <c r="M87" s="125">
        <v>21</v>
      </c>
      <c r="N87" s="125">
        <v>23.8</v>
      </c>
      <c r="O87" s="125">
        <v>21.5</v>
      </c>
    </row>
    <row r="88" spans="1:15" s="59" customFormat="1" x14ac:dyDescent="0.35">
      <c r="A88" s="85">
        <v>83</v>
      </c>
      <c r="B88" s="112" t="s">
        <v>145</v>
      </c>
      <c r="C88" s="113" t="s">
        <v>146</v>
      </c>
      <c r="D88" s="113" t="s">
        <v>147</v>
      </c>
      <c r="E88" s="125">
        <v>19.7</v>
      </c>
      <c r="F88" s="125">
        <v>18.95</v>
      </c>
      <c r="G88" s="125"/>
      <c r="H88" s="125">
        <v>15.75</v>
      </c>
      <c r="I88" s="28">
        <v>17.95</v>
      </c>
      <c r="J88" s="28">
        <v>18.95</v>
      </c>
      <c r="K88" s="125">
        <v>16.989999999999998</v>
      </c>
      <c r="L88" s="125">
        <v>19.7</v>
      </c>
      <c r="M88" s="125">
        <v>18.5</v>
      </c>
      <c r="N88" s="125">
        <v>18</v>
      </c>
      <c r="O88" s="125">
        <v>18</v>
      </c>
    </row>
    <row r="89" spans="1:15" s="59" customFormat="1" x14ac:dyDescent="0.35">
      <c r="A89" s="85">
        <v>84</v>
      </c>
      <c r="B89" s="112" t="s">
        <v>148</v>
      </c>
      <c r="C89" s="113" t="s">
        <v>149</v>
      </c>
      <c r="D89" s="113" t="s">
        <v>150</v>
      </c>
      <c r="E89" s="125"/>
      <c r="F89" s="125"/>
      <c r="G89" s="125"/>
      <c r="H89" s="125"/>
      <c r="I89" s="28"/>
      <c r="J89" s="28"/>
      <c r="K89" s="125"/>
      <c r="L89" s="125"/>
      <c r="M89" s="125"/>
      <c r="N89" s="125"/>
      <c r="O89" s="125"/>
    </row>
    <row r="90" spans="1:15" s="59" customFormat="1" x14ac:dyDescent="0.35">
      <c r="A90" s="85">
        <v>85</v>
      </c>
      <c r="B90" s="112" t="s">
        <v>148</v>
      </c>
      <c r="C90" s="113" t="s">
        <v>149</v>
      </c>
      <c r="D90" s="113" t="s">
        <v>129</v>
      </c>
      <c r="E90" s="125">
        <v>36.25</v>
      </c>
      <c r="F90" s="125">
        <v>41.25</v>
      </c>
      <c r="G90" s="125">
        <v>41.25</v>
      </c>
      <c r="H90" s="125"/>
      <c r="I90" s="28">
        <v>35.950000000000003</v>
      </c>
      <c r="J90" s="28">
        <v>41.25</v>
      </c>
      <c r="K90" s="125">
        <v>39.99</v>
      </c>
      <c r="L90" s="125">
        <v>41.25</v>
      </c>
      <c r="M90" s="125">
        <v>38</v>
      </c>
      <c r="N90" s="125">
        <v>39.950000000000003</v>
      </c>
      <c r="O90" s="125">
        <v>38</v>
      </c>
    </row>
    <row r="91" spans="1:15" s="59" customFormat="1" x14ac:dyDescent="0.35">
      <c r="A91" s="85">
        <v>86</v>
      </c>
      <c r="B91" s="112" t="s">
        <v>148</v>
      </c>
      <c r="C91" s="113" t="s">
        <v>149</v>
      </c>
      <c r="D91" s="113" t="s">
        <v>151</v>
      </c>
      <c r="E91" s="125"/>
      <c r="F91" s="125"/>
      <c r="G91" s="125"/>
      <c r="H91" s="125"/>
      <c r="I91" s="28"/>
      <c r="J91" s="28"/>
      <c r="K91" s="125"/>
      <c r="L91" s="125"/>
      <c r="M91" s="125"/>
      <c r="N91" s="125"/>
      <c r="O91" s="125"/>
    </row>
    <row r="92" spans="1:15" s="59" customFormat="1" x14ac:dyDescent="0.35">
      <c r="A92" s="85">
        <v>87</v>
      </c>
      <c r="B92" s="112" t="s">
        <v>148</v>
      </c>
      <c r="C92" s="113" t="s">
        <v>152</v>
      </c>
      <c r="D92" s="113" t="s">
        <v>150</v>
      </c>
      <c r="E92" s="125"/>
      <c r="F92" s="125"/>
      <c r="G92" s="125"/>
      <c r="H92" s="125"/>
      <c r="I92" s="28"/>
      <c r="J92" s="28"/>
      <c r="K92" s="125"/>
      <c r="L92" s="125"/>
      <c r="M92" s="125"/>
      <c r="N92" s="125"/>
      <c r="O92" s="125"/>
    </row>
    <row r="93" spans="1:15" s="59" customFormat="1" x14ac:dyDescent="0.35">
      <c r="A93" s="85">
        <v>88</v>
      </c>
      <c r="B93" s="112" t="s">
        <v>148</v>
      </c>
      <c r="C93" s="113" t="s">
        <v>152</v>
      </c>
      <c r="D93" s="113" t="s">
        <v>129</v>
      </c>
      <c r="E93" s="125">
        <v>22.5</v>
      </c>
      <c r="F93" s="125">
        <v>27.5</v>
      </c>
      <c r="G93" s="125">
        <v>22.5</v>
      </c>
      <c r="H93" s="125"/>
      <c r="I93" s="28">
        <v>26.95</v>
      </c>
      <c r="J93" s="28">
        <v>22.75</v>
      </c>
      <c r="K93" s="125">
        <v>26.99</v>
      </c>
      <c r="L93" s="125">
        <v>21</v>
      </c>
      <c r="M93" s="125">
        <v>25</v>
      </c>
      <c r="N93" s="125">
        <v>23</v>
      </c>
      <c r="O93" s="125">
        <v>24.25</v>
      </c>
    </row>
    <row r="94" spans="1:15" s="59" customFormat="1" x14ac:dyDescent="0.35">
      <c r="A94" s="85">
        <v>89</v>
      </c>
      <c r="B94" s="112" t="s">
        <v>154</v>
      </c>
      <c r="C94" s="113" t="s">
        <v>155</v>
      </c>
      <c r="D94" s="113" t="s">
        <v>156</v>
      </c>
      <c r="E94" s="125">
        <v>11.75</v>
      </c>
      <c r="F94" s="125">
        <v>11.25</v>
      </c>
      <c r="G94" s="125">
        <v>13.95</v>
      </c>
      <c r="H94" s="125">
        <v>10</v>
      </c>
      <c r="I94" s="28">
        <v>10.95</v>
      </c>
      <c r="J94" s="28">
        <v>11.25</v>
      </c>
      <c r="K94" s="125">
        <v>9.99</v>
      </c>
      <c r="L94" s="125">
        <v>11.75</v>
      </c>
      <c r="M94" s="125"/>
      <c r="N94" s="125">
        <v>11.25</v>
      </c>
      <c r="O94" s="125">
        <v>11</v>
      </c>
    </row>
    <row r="95" spans="1:15" x14ac:dyDescent="0.35">
      <c r="A95" s="85">
        <v>90</v>
      </c>
      <c r="B95" s="112" t="s">
        <v>157</v>
      </c>
      <c r="C95" s="113" t="s">
        <v>155</v>
      </c>
      <c r="D95" s="113" t="s">
        <v>158</v>
      </c>
      <c r="E95" s="125">
        <v>9.5</v>
      </c>
      <c r="F95" s="125"/>
      <c r="G95" s="125">
        <v>9.5</v>
      </c>
      <c r="H95" s="125">
        <v>7.25</v>
      </c>
      <c r="I95" s="28">
        <v>8.9499999999999993</v>
      </c>
      <c r="J95" s="150">
        <v>8</v>
      </c>
      <c r="K95" s="125">
        <v>7.99</v>
      </c>
      <c r="L95" s="125">
        <v>9.5</v>
      </c>
      <c r="M95" s="125">
        <v>9</v>
      </c>
      <c r="N95" s="125">
        <v>9</v>
      </c>
      <c r="O95" s="125"/>
    </row>
    <row r="96" spans="1:15" x14ac:dyDescent="0.35">
      <c r="A96" s="85">
        <v>91</v>
      </c>
      <c r="B96" s="112" t="s">
        <v>159</v>
      </c>
      <c r="C96" s="113" t="s">
        <v>155</v>
      </c>
      <c r="D96" s="113" t="s">
        <v>158</v>
      </c>
      <c r="E96" s="125"/>
      <c r="F96" s="125">
        <v>9.25</v>
      </c>
      <c r="G96" s="125">
        <v>9.5</v>
      </c>
      <c r="H96" s="125">
        <v>7.25</v>
      </c>
      <c r="I96" s="28">
        <v>8.9499999999999993</v>
      </c>
      <c r="J96" s="150">
        <v>8</v>
      </c>
      <c r="K96" s="125">
        <v>7.99</v>
      </c>
      <c r="L96" s="125">
        <v>9.5</v>
      </c>
      <c r="M96" s="125">
        <v>9</v>
      </c>
      <c r="N96" s="125">
        <v>9</v>
      </c>
      <c r="O96" s="125">
        <v>9</v>
      </c>
    </row>
    <row r="97" spans="1:15" x14ac:dyDescent="0.35">
      <c r="A97" s="85">
        <v>92</v>
      </c>
      <c r="B97" s="112" t="s">
        <v>160</v>
      </c>
      <c r="C97" s="113" t="s">
        <v>161</v>
      </c>
      <c r="D97" s="113" t="s">
        <v>162</v>
      </c>
      <c r="E97" s="125">
        <v>5.85</v>
      </c>
      <c r="F97" s="125">
        <v>5.75</v>
      </c>
      <c r="G97" s="125">
        <v>6</v>
      </c>
      <c r="H97" s="125">
        <v>4.5</v>
      </c>
      <c r="I97" s="28">
        <v>5.5</v>
      </c>
      <c r="J97" s="28">
        <v>5.5</v>
      </c>
      <c r="K97" s="125">
        <v>5.75</v>
      </c>
      <c r="L97" s="125">
        <v>6</v>
      </c>
      <c r="M97" s="125">
        <v>5.5</v>
      </c>
      <c r="N97" s="125">
        <v>5.25</v>
      </c>
      <c r="O97" s="125"/>
    </row>
    <row r="98" spans="1:15" x14ac:dyDescent="0.35">
      <c r="A98" s="85">
        <v>93</v>
      </c>
      <c r="B98" s="114" t="s">
        <v>163</v>
      </c>
      <c r="C98" s="115" t="s">
        <v>164</v>
      </c>
      <c r="D98" s="115" t="s">
        <v>165</v>
      </c>
      <c r="E98" s="142">
        <v>22.5</v>
      </c>
      <c r="F98" s="125">
        <v>25.75</v>
      </c>
      <c r="G98" s="125">
        <v>22.5</v>
      </c>
      <c r="H98" s="125">
        <v>21.95</v>
      </c>
      <c r="I98" s="28">
        <v>25.95</v>
      </c>
      <c r="J98" s="28">
        <v>25.75</v>
      </c>
      <c r="K98" s="142">
        <v>22.99</v>
      </c>
      <c r="L98" s="125">
        <v>23.95</v>
      </c>
      <c r="M98" s="125">
        <v>20</v>
      </c>
      <c r="N98" s="142">
        <v>22.5</v>
      </c>
      <c r="O98" s="125">
        <v>25.5</v>
      </c>
    </row>
    <row r="99" spans="1:15" x14ac:dyDescent="0.35">
      <c r="A99" s="85">
        <v>94</v>
      </c>
      <c r="B99" s="112" t="s">
        <v>166</v>
      </c>
      <c r="C99" s="113"/>
      <c r="D99" s="113" t="s">
        <v>59</v>
      </c>
      <c r="E99" s="125">
        <v>50.99</v>
      </c>
      <c r="F99" s="125">
        <v>51.75</v>
      </c>
      <c r="G99" s="125">
        <v>50.99</v>
      </c>
      <c r="H99" s="125">
        <v>49.5</v>
      </c>
      <c r="I99" s="28">
        <v>46</v>
      </c>
      <c r="J99" s="28">
        <v>51.75</v>
      </c>
      <c r="K99" s="125">
        <v>51.99</v>
      </c>
      <c r="L99" s="125">
        <v>50.99</v>
      </c>
      <c r="M99" s="125">
        <v>50</v>
      </c>
      <c r="N99" s="125">
        <v>49.5</v>
      </c>
      <c r="O99" s="125">
        <v>51</v>
      </c>
    </row>
    <row r="100" spans="1:15" x14ac:dyDescent="0.35">
      <c r="A100" s="85">
        <v>95</v>
      </c>
      <c r="B100" s="112" t="s">
        <v>167</v>
      </c>
      <c r="C100" s="113" t="s">
        <v>168</v>
      </c>
      <c r="D100" s="113" t="s">
        <v>125</v>
      </c>
      <c r="E100" s="125">
        <v>30.89</v>
      </c>
      <c r="F100" s="125">
        <v>29.75</v>
      </c>
      <c r="G100" s="125">
        <v>30.89</v>
      </c>
      <c r="H100" s="125">
        <v>27.95</v>
      </c>
      <c r="I100" s="28">
        <v>28.95</v>
      </c>
      <c r="J100" s="28">
        <v>29.75</v>
      </c>
      <c r="K100" s="125">
        <v>31.99</v>
      </c>
      <c r="L100" s="125">
        <v>30.89</v>
      </c>
      <c r="M100" s="125">
        <v>29</v>
      </c>
      <c r="N100" s="125">
        <v>28.5</v>
      </c>
      <c r="O100" s="125">
        <v>33.15</v>
      </c>
    </row>
    <row r="101" spans="1:15" s="59" customFormat="1" x14ac:dyDescent="0.35">
      <c r="A101" s="85">
        <v>96</v>
      </c>
      <c r="B101" s="112" t="s">
        <v>169</v>
      </c>
      <c r="C101" s="113"/>
      <c r="D101" s="113" t="s">
        <v>170</v>
      </c>
      <c r="E101" s="125">
        <v>35.99</v>
      </c>
      <c r="F101" s="142">
        <v>29.95</v>
      </c>
      <c r="G101" s="125">
        <v>35.99</v>
      </c>
      <c r="H101" s="125"/>
      <c r="I101" s="28">
        <v>31.95</v>
      </c>
      <c r="J101" s="28">
        <v>35.25</v>
      </c>
      <c r="K101" s="125">
        <v>36.99</v>
      </c>
      <c r="L101" s="125">
        <v>35.99</v>
      </c>
      <c r="M101" s="125">
        <v>36</v>
      </c>
      <c r="N101" s="143">
        <v>34.75</v>
      </c>
      <c r="O101" s="125">
        <v>34.950000000000003</v>
      </c>
    </row>
    <row r="102" spans="1:15" s="59" customFormat="1" x14ac:dyDescent="0.35">
      <c r="A102" s="85">
        <v>97</v>
      </c>
      <c r="B102" s="112" t="s">
        <v>171</v>
      </c>
      <c r="C102" s="113" t="s">
        <v>172</v>
      </c>
      <c r="D102" s="113" t="s">
        <v>173</v>
      </c>
      <c r="E102" s="125"/>
      <c r="F102" s="125"/>
      <c r="G102" s="125"/>
      <c r="H102" s="125"/>
      <c r="I102" s="28"/>
      <c r="J102" s="28">
        <v>39.5</v>
      </c>
      <c r="K102" s="125"/>
      <c r="L102" s="125">
        <v>31.5</v>
      </c>
      <c r="M102" s="125">
        <v>37</v>
      </c>
      <c r="N102" s="125"/>
      <c r="O102" s="125"/>
    </row>
    <row r="103" spans="1:15" s="59" customFormat="1" x14ac:dyDescent="0.35">
      <c r="A103" s="85">
        <v>98</v>
      </c>
      <c r="B103" s="112" t="s">
        <v>174</v>
      </c>
      <c r="C103" s="113" t="s">
        <v>172</v>
      </c>
      <c r="D103" s="113" t="s">
        <v>175</v>
      </c>
      <c r="E103" s="126">
        <v>28.95</v>
      </c>
      <c r="F103" s="126">
        <v>27.75</v>
      </c>
      <c r="G103" s="126">
        <v>28.95</v>
      </c>
      <c r="H103" s="126">
        <v>26.5</v>
      </c>
      <c r="I103" s="149">
        <v>27.95</v>
      </c>
      <c r="J103" s="149">
        <v>27.75</v>
      </c>
      <c r="K103" s="126">
        <v>28.99</v>
      </c>
      <c r="L103" s="126">
        <v>28.95</v>
      </c>
      <c r="M103" s="126">
        <v>29</v>
      </c>
      <c r="N103" s="126">
        <v>27.6</v>
      </c>
      <c r="O103" s="126"/>
    </row>
    <row r="104" spans="1:15" s="59" customFormat="1" x14ac:dyDescent="0.35">
      <c r="A104" s="85">
        <v>99</v>
      </c>
      <c r="B104" s="112" t="s">
        <v>174</v>
      </c>
      <c r="C104" s="113" t="s">
        <v>176</v>
      </c>
      <c r="D104" s="113" t="s">
        <v>177</v>
      </c>
      <c r="E104" s="125"/>
      <c r="F104" s="125"/>
      <c r="G104" s="125">
        <v>26.95</v>
      </c>
      <c r="H104" s="125">
        <v>24.95</v>
      </c>
      <c r="I104" s="28"/>
      <c r="J104" s="28"/>
      <c r="K104" s="125">
        <v>26.99</v>
      </c>
      <c r="L104" s="125">
        <v>26.95</v>
      </c>
      <c r="M104" s="125">
        <v>29.95</v>
      </c>
      <c r="N104" s="125">
        <v>26.6</v>
      </c>
      <c r="O104" s="125"/>
    </row>
    <row r="105" spans="1:15" s="59" customFormat="1" x14ac:dyDescent="0.35">
      <c r="A105" s="85">
        <v>100</v>
      </c>
      <c r="B105" s="112" t="s">
        <v>178</v>
      </c>
      <c r="C105" s="113" t="s">
        <v>50</v>
      </c>
      <c r="D105" s="113" t="s">
        <v>179</v>
      </c>
      <c r="E105" s="125">
        <v>36.35</v>
      </c>
      <c r="F105" s="125">
        <v>33.75</v>
      </c>
      <c r="G105" s="125"/>
      <c r="H105" s="125"/>
      <c r="I105" s="28">
        <v>31.95</v>
      </c>
      <c r="J105" s="28">
        <v>33.75</v>
      </c>
      <c r="K105" s="125">
        <v>34.99</v>
      </c>
      <c r="L105" s="125">
        <v>36.35</v>
      </c>
      <c r="M105" s="125">
        <v>33</v>
      </c>
      <c r="N105" s="125">
        <v>33</v>
      </c>
      <c r="O105" s="125"/>
    </row>
    <row r="106" spans="1:15" s="59" customFormat="1" x14ac:dyDescent="0.35">
      <c r="A106" s="85">
        <v>101</v>
      </c>
      <c r="B106" s="112" t="s">
        <v>178</v>
      </c>
      <c r="C106" s="113" t="s">
        <v>180</v>
      </c>
      <c r="D106" s="113" t="s">
        <v>111</v>
      </c>
      <c r="E106" s="125">
        <v>25.99</v>
      </c>
      <c r="F106" s="125"/>
      <c r="G106" s="125">
        <v>25.99</v>
      </c>
      <c r="H106" s="125"/>
      <c r="I106" s="28">
        <v>20.95</v>
      </c>
      <c r="J106" s="28">
        <v>26</v>
      </c>
      <c r="K106" s="125">
        <v>27.99</v>
      </c>
      <c r="L106" s="125">
        <v>25.99</v>
      </c>
      <c r="M106" s="125">
        <v>25.95</v>
      </c>
      <c r="N106" s="125">
        <v>20.95</v>
      </c>
      <c r="O106" s="125">
        <v>29.25</v>
      </c>
    </row>
    <row r="107" spans="1:15" s="59" customFormat="1" x14ac:dyDescent="0.35">
      <c r="A107" s="85">
        <v>102</v>
      </c>
      <c r="B107" s="112" t="s">
        <v>181</v>
      </c>
      <c r="C107" s="113" t="s">
        <v>182</v>
      </c>
      <c r="D107" s="113" t="s">
        <v>183</v>
      </c>
      <c r="E107" s="125">
        <v>16.7</v>
      </c>
      <c r="F107" s="125">
        <v>16.5</v>
      </c>
      <c r="G107" s="125"/>
      <c r="H107" s="125">
        <v>13.95</v>
      </c>
      <c r="I107" s="28">
        <v>15.95</v>
      </c>
      <c r="J107" s="28">
        <v>16.5</v>
      </c>
      <c r="K107" s="125">
        <v>16.989999999999998</v>
      </c>
      <c r="L107" s="125">
        <v>16.7</v>
      </c>
      <c r="M107" s="125">
        <v>16.5</v>
      </c>
      <c r="N107" s="125">
        <v>15.95</v>
      </c>
      <c r="O107" s="125">
        <v>16.5</v>
      </c>
    </row>
    <row r="108" spans="1:15" x14ac:dyDescent="0.35">
      <c r="A108" s="85">
        <v>103</v>
      </c>
      <c r="B108" s="112" t="s">
        <v>184</v>
      </c>
      <c r="C108" s="113" t="s">
        <v>185</v>
      </c>
      <c r="D108" s="113" t="s">
        <v>65</v>
      </c>
      <c r="E108" s="125">
        <v>4.1900000000000004</v>
      </c>
      <c r="F108" s="125">
        <v>4.5</v>
      </c>
      <c r="G108" s="125">
        <v>3.5</v>
      </c>
      <c r="H108" s="125">
        <v>4.25</v>
      </c>
      <c r="I108" s="28">
        <v>4.3</v>
      </c>
      <c r="J108" s="28">
        <v>4.5</v>
      </c>
      <c r="K108" s="125">
        <v>4.75</v>
      </c>
      <c r="L108" s="125">
        <v>4.25</v>
      </c>
      <c r="M108" s="125">
        <v>4.5</v>
      </c>
      <c r="N108" s="125">
        <v>4.45</v>
      </c>
      <c r="O108" s="125">
        <v>5</v>
      </c>
    </row>
    <row r="109" spans="1:15" x14ac:dyDescent="0.35">
      <c r="A109" s="85">
        <v>104</v>
      </c>
      <c r="B109" s="112" t="s">
        <v>184</v>
      </c>
      <c r="C109" s="113" t="s">
        <v>185</v>
      </c>
      <c r="D109" s="113" t="s">
        <v>51</v>
      </c>
      <c r="E109" s="125">
        <v>11.99</v>
      </c>
      <c r="F109" s="125">
        <v>12.5</v>
      </c>
      <c r="G109" s="125">
        <v>11.99</v>
      </c>
      <c r="H109" s="125">
        <v>12</v>
      </c>
      <c r="I109" s="28">
        <v>11.95</v>
      </c>
      <c r="J109" s="28">
        <v>12.5</v>
      </c>
      <c r="K109" s="125">
        <v>12.99</v>
      </c>
      <c r="L109" s="125">
        <v>11.99</v>
      </c>
      <c r="M109" s="125">
        <v>12</v>
      </c>
      <c r="N109" s="125">
        <v>11.95</v>
      </c>
      <c r="O109" s="125"/>
    </row>
    <row r="110" spans="1:15" x14ac:dyDescent="0.35">
      <c r="A110" s="85">
        <v>105</v>
      </c>
      <c r="B110" s="112" t="s">
        <v>186</v>
      </c>
      <c r="C110" s="113" t="s">
        <v>185</v>
      </c>
      <c r="D110" s="113" t="s">
        <v>51</v>
      </c>
      <c r="E110" s="125">
        <v>11.99</v>
      </c>
      <c r="F110" s="125">
        <v>12.5</v>
      </c>
      <c r="G110" s="125">
        <v>11.99</v>
      </c>
      <c r="H110" s="125">
        <v>12</v>
      </c>
      <c r="I110" s="28">
        <v>11.95</v>
      </c>
      <c r="J110" s="28">
        <v>12.5</v>
      </c>
      <c r="K110" s="125">
        <v>12.99</v>
      </c>
      <c r="L110" s="125">
        <v>11.99</v>
      </c>
      <c r="M110" s="125">
        <v>12</v>
      </c>
      <c r="N110" s="125">
        <v>11.95</v>
      </c>
      <c r="O110" s="125"/>
    </row>
    <row r="111" spans="1:15" x14ac:dyDescent="0.35">
      <c r="A111" s="85">
        <v>106</v>
      </c>
      <c r="B111" s="112" t="s">
        <v>187</v>
      </c>
      <c r="C111" s="113" t="s">
        <v>188</v>
      </c>
      <c r="D111" s="113" t="s">
        <v>189</v>
      </c>
      <c r="E111" s="125">
        <v>12.9</v>
      </c>
      <c r="F111" s="125">
        <v>12.25</v>
      </c>
      <c r="G111" s="125">
        <v>12.9</v>
      </c>
      <c r="H111" s="142">
        <v>10</v>
      </c>
      <c r="I111" s="28">
        <v>10.95</v>
      </c>
      <c r="J111" s="28">
        <v>12.25</v>
      </c>
      <c r="K111" s="125">
        <v>11.99</v>
      </c>
      <c r="L111" s="125">
        <v>12.9</v>
      </c>
      <c r="M111" s="125">
        <v>13</v>
      </c>
      <c r="N111" s="142">
        <v>10</v>
      </c>
      <c r="O111" s="125">
        <v>16</v>
      </c>
    </row>
    <row r="112" spans="1:15" x14ac:dyDescent="0.35">
      <c r="A112" s="85">
        <v>107</v>
      </c>
      <c r="B112" s="112" t="s">
        <v>274</v>
      </c>
      <c r="C112" s="113" t="s">
        <v>190</v>
      </c>
      <c r="D112" s="113" t="s">
        <v>191</v>
      </c>
      <c r="E112" s="125">
        <v>14.65</v>
      </c>
      <c r="F112" s="125">
        <v>14</v>
      </c>
      <c r="G112" s="125">
        <v>14.65</v>
      </c>
      <c r="H112" s="125">
        <v>13.75</v>
      </c>
      <c r="I112" s="28">
        <v>13.95</v>
      </c>
      <c r="J112" s="28">
        <v>14</v>
      </c>
      <c r="K112" s="125">
        <v>14.99</v>
      </c>
      <c r="L112" s="125">
        <v>14.5</v>
      </c>
      <c r="M112" s="125">
        <v>15</v>
      </c>
      <c r="N112" s="125">
        <v>13.95</v>
      </c>
      <c r="O112" s="125">
        <v>12</v>
      </c>
    </row>
    <row r="113" spans="1:15" x14ac:dyDescent="0.35">
      <c r="A113" s="85">
        <v>108</v>
      </c>
      <c r="B113" s="112" t="s">
        <v>192</v>
      </c>
      <c r="C113" s="113" t="s">
        <v>188</v>
      </c>
      <c r="D113" s="113" t="s">
        <v>189</v>
      </c>
      <c r="E113" s="125">
        <v>12.9</v>
      </c>
      <c r="F113" s="125">
        <v>12.25</v>
      </c>
      <c r="G113" s="125">
        <v>12.9</v>
      </c>
      <c r="H113" s="142">
        <v>10</v>
      </c>
      <c r="I113" s="28">
        <v>10.95</v>
      </c>
      <c r="J113" s="28">
        <v>12.25</v>
      </c>
      <c r="K113" s="125">
        <v>11.99</v>
      </c>
      <c r="L113" s="125">
        <v>12.9</v>
      </c>
      <c r="M113" s="125">
        <v>13</v>
      </c>
      <c r="N113" s="142">
        <v>10</v>
      </c>
      <c r="O113" s="125">
        <v>14</v>
      </c>
    </row>
    <row r="114" spans="1:15" s="59" customFormat="1" x14ac:dyDescent="0.35">
      <c r="A114" s="85">
        <v>109</v>
      </c>
      <c r="B114" s="112" t="s">
        <v>193</v>
      </c>
      <c r="C114" s="113" t="s">
        <v>182</v>
      </c>
      <c r="D114" s="113" t="s">
        <v>125</v>
      </c>
      <c r="E114" s="125">
        <v>22.95</v>
      </c>
      <c r="F114" s="125">
        <v>22.75</v>
      </c>
      <c r="G114" s="125"/>
      <c r="H114" s="125">
        <v>17.5</v>
      </c>
      <c r="I114" s="28">
        <v>17.25</v>
      </c>
      <c r="J114" s="28">
        <v>22.75</v>
      </c>
      <c r="K114" s="125">
        <v>23.99</v>
      </c>
      <c r="L114" s="125">
        <v>22.95</v>
      </c>
      <c r="M114" s="125">
        <v>17</v>
      </c>
      <c r="N114" s="125">
        <v>22.9</v>
      </c>
      <c r="O114" s="125"/>
    </row>
    <row r="115" spans="1:15" s="59" customFormat="1" x14ac:dyDescent="0.35">
      <c r="A115" s="85">
        <v>110</v>
      </c>
      <c r="B115" s="112" t="s">
        <v>194</v>
      </c>
      <c r="C115" s="113" t="s">
        <v>195</v>
      </c>
      <c r="D115" s="113" t="s">
        <v>196</v>
      </c>
      <c r="E115" s="125"/>
      <c r="F115" s="125"/>
      <c r="G115" s="125"/>
      <c r="H115" s="125">
        <v>23.5</v>
      </c>
      <c r="I115" s="150">
        <v>20.95</v>
      </c>
      <c r="J115" s="28">
        <v>24</v>
      </c>
      <c r="K115" s="144"/>
      <c r="L115" s="125"/>
      <c r="M115" s="125">
        <v>22</v>
      </c>
      <c r="N115" s="125">
        <v>24</v>
      </c>
      <c r="O115" s="125"/>
    </row>
    <row r="116" spans="1:15" s="59" customFormat="1" x14ac:dyDescent="0.35">
      <c r="A116" s="85">
        <v>111</v>
      </c>
      <c r="B116" s="112" t="s">
        <v>197</v>
      </c>
      <c r="C116" s="113" t="s">
        <v>68</v>
      </c>
      <c r="D116" s="113" t="s">
        <v>196</v>
      </c>
      <c r="E116" s="125">
        <v>27.99</v>
      </c>
      <c r="F116" s="125">
        <v>27</v>
      </c>
      <c r="G116" s="125">
        <v>27.99</v>
      </c>
      <c r="H116" s="125"/>
      <c r="I116" s="28">
        <v>21.5</v>
      </c>
      <c r="J116" s="28">
        <v>27</v>
      </c>
      <c r="K116" s="142">
        <v>23.99</v>
      </c>
      <c r="L116" s="125">
        <v>27.99</v>
      </c>
      <c r="M116" s="125"/>
      <c r="N116" s="125">
        <v>21.3</v>
      </c>
      <c r="O116" s="125"/>
    </row>
    <row r="117" spans="1:15" s="59" customFormat="1" x14ac:dyDescent="0.35">
      <c r="A117" s="85">
        <v>112</v>
      </c>
      <c r="B117" s="112" t="s">
        <v>197</v>
      </c>
      <c r="C117" s="113" t="s">
        <v>80</v>
      </c>
      <c r="D117" s="113" t="s">
        <v>198</v>
      </c>
      <c r="E117" s="125"/>
      <c r="F117" s="142">
        <v>87.5</v>
      </c>
      <c r="G117" s="125"/>
      <c r="H117" s="125">
        <v>89</v>
      </c>
      <c r="I117" s="28"/>
      <c r="J117" s="28">
        <v>114.95</v>
      </c>
      <c r="K117" s="125"/>
      <c r="L117" s="125"/>
      <c r="M117" s="125"/>
      <c r="N117" s="125">
        <v>113</v>
      </c>
      <c r="O117" s="125"/>
    </row>
    <row r="118" spans="1:15" s="59" customFormat="1" x14ac:dyDescent="0.35">
      <c r="A118" s="85">
        <v>113</v>
      </c>
      <c r="B118" s="112" t="s">
        <v>199</v>
      </c>
      <c r="C118" s="113" t="s">
        <v>200</v>
      </c>
      <c r="D118" s="113" t="s">
        <v>196</v>
      </c>
      <c r="E118" s="125">
        <v>47.99</v>
      </c>
      <c r="F118" s="125"/>
      <c r="G118" s="125">
        <v>47.99</v>
      </c>
      <c r="H118" s="125"/>
      <c r="I118" s="28">
        <v>41.95</v>
      </c>
      <c r="J118" s="28">
        <v>46.25</v>
      </c>
      <c r="K118" s="125">
        <v>48.99</v>
      </c>
      <c r="L118" s="125">
        <v>47.99</v>
      </c>
      <c r="M118" s="125">
        <v>44</v>
      </c>
      <c r="N118" s="125">
        <v>45</v>
      </c>
      <c r="O118" s="125"/>
    </row>
    <row r="119" spans="1:15" s="59" customFormat="1" x14ac:dyDescent="0.35">
      <c r="A119" s="85">
        <v>114</v>
      </c>
      <c r="B119" s="112" t="s">
        <v>201</v>
      </c>
      <c r="C119" s="113" t="s">
        <v>202</v>
      </c>
      <c r="D119" s="113" t="s">
        <v>51</v>
      </c>
      <c r="E119" s="125">
        <v>119</v>
      </c>
      <c r="F119" s="125"/>
      <c r="G119" s="125"/>
      <c r="H119" s="125">
        <v>104</v>
      </c>
      <c r="I119" s="28">
        <v>106.62</v>
      </c>
      <c r="J119" s="28"/>
      <c r="K119" s="125">
        <v>120</v>
      </c>
      <c r="L119" s="125"/>
      <c r="M119" s="125"/>
      <c r="N119" s="125">
        <v>104</v>
      </c>
      <c r="O119" s="125"/>
    </row>
    <row r="120" spans="1:15" s="59" customFormat="1" x14ac:dyDescent="0.35">
      <c r="A120" s="85">
        <v>115</v>
      </c>
      <c r="B120" s="112" t="s">
        <v>203</v>
      </c>
      <c r="C120" s="113" t="s">
        <v>204</v>
      </c>
      <c r="D120" s="113" t="s">
        <v>205</v>
      </c>
      <c r="E120" s="125">
        <v>11.99</v>
      </c>
      <c r="F120" s="125">
        <v>12</v>
      </c>
      <c r="G120" s="125">
        <v>12.99</v>
      </c>
      <c r="H120" s="125">
        <v>12.95</v>
      </c>
      <c r="I120" s="28">
        <v>12.95</v>
      </c>
      <c r="J120" s="28">
        <v>12.95</v>
      </c>
      <c r="K120" s="125">
        <v>12.99</v>
      </c>
      <c r="L120" s="125">
        <v>12.99</v>
      </c>
      <c r="M120" s="125">
        <v>12.95</v>
      </c>
      <c r="N120" s="125">
        <v>12</v>
      </c>
      <c r="O120" s="125">
        <v>12</v>
      </c>
    </row>
    <row r="121" spans="1:15" s="59" customFormat="1" x14ac:dyDescent="0.35">
      <c r="A121" s="85">
        <v>116</v>
      </c>
      <c r="B121" s="112" t="s">
        <v>203</v>
      </c>
      <c r="C121" s="113" t="s">
        <v>277</v>
      </c>
      <c r="D121" s="113" t="s">
        <v>205</v>
      </c>
      <c r="E121" s="125">
        <v>9.99</v>
      </c>
      <c r="F121" s="125">
        <v>9.9499999999999993</v>
      </c>
      <c r="G121" s="125">
        <v>9.99</v>
      </c>
      <c r="H121" s="142">
        <v>9</v>
      </c>
      <c r="I121" s="28">
        <v>11.25</v>
      </c>
      <c r="J121" s="28">
        <v>9.9499999999999993</v>
      </c>
      <c r="K121" s="125">
        <v>9.99</v>
      </c>
      <c r="L121" s="125">
        <v>9.99</v>
      </c>
      <c r="M121" s="125">
        <v>9.9499999999999993</v>
      </c>
      <c r="N121" s="125">
        <v>9.9499999999999993</v>
      </c>
      <c r="O121" s="125"/>
    </row>
    <row r="122" spans="1:15" s="59" customFormat="1" x14ac:dyDescent="0.35">
      <c r="A122" s="85">
        <v>117</v>
      </c>
      <c r="B122" s="112" t="s">
        <v>203</v>
      </c>
      <c r="C122" s="113" t="s">
        <v>204</v>
      </c>
      <c r="D122" s="113" t="s">
        <v>206</v>
      </c>
      <c r="E122" s="125">
        <v>25.99</v>
      </c>
      <c r="F122" s="125">
        <v>26</v>
      </c>
      <c r="G122" s="125">
        <v>27.99</v>
      </c>
      <c r="H122" s="125">
        <v>27.95</v>
      </c>
      <c r="I122" s="28">
        <v>27.95</v>
      </c>
      <c r="J122" s="28">
        <v>27.95</v>
      </c>
      <c r="K122" s="125">
        <v>27.99</v>
      </c>
      <c r="L122" s="125">
        <v>27.99</v>
      </c>
      <c r="M122" s="125">
        <v>27.95</v>
      </c>
      <c r="N122" s="125"/>
      <c r="O122" s="125"/>
    </row>
    <row r="123" spans="1:15" s="59" customFormat="1" x14ac:dyDescent="0.35">
      <c r="A123" s="85">
        <v>118</v>
      </c>
      <c r="B123" s="112" t="s">
        <v>203</v>
      </c>
      <c r="C123" s="113" t="s">
        <v>277</v>
      </c>
      <c r="D123" s="113" t="s">
        <v>206</v>
      </c>
      <c r="E123" s="125"/>
      <c r="F123" s="125">
        <v>22</v>
      </c>
      <c r="G123" s="125">
        <v>26.99</v>
      </c>
      <c r="H123" s="125"/>
      <c r="I123" s="28">
        <v>22</v>
      </c>
      <c r="J123" s="28">
        <v>22</v>
      </c>
      <c r="K123" s="125">
        <v>22.99</v>
      </c>
      <c r="L123" s="125">
        <v>21.99</v>
      </c>
      <c r="M123" s="125">
        <v>20</v>
      </c>
      <c r="N123" s="125"/>
      <c r="O123" s="125"/>
    </row>
    <row r="124" spans="1:15" s="59" customFormat="1" x14ac:dyDescent="0.35">
      <c r="A124" s="85">
        <v>119</v>
      </c>
      <c r="B124" s="112" t="s">
        <v>207</v>
      </c>
      <c r="C124" s="113" t="s">
        <v>204</v>
      </c>
      <c r="D124" s="113" t="s">
        <v>276</v>
      </c>
      <c r="E124" s="125">
        <v>15.99</v>
      </c>
      <c r="F124" s="125">
        <v>16</v>
      </c>
      <c r="G124" s="125">
        <v>16.989999999999998</v>
      </c>
      <c r="H124" s="125"/>
      <c r="I124" s="28">
        <v>16.95</v>
      </c>
      <c r="J124" s="28">
        <v>16.95</v>
      </c>
      <c r="K124" s="125">
        <v>16.989999999999998</v>
      </c>
      <c r="L124" s="125">
        <v>16.989999999999998</v>
      </c>
      <c r="M124" s="125">
        <v>16.95</v>
      </c>
      <c r="N124" s="125"/>
      <c r="O124" s="125">
        <v>16</v>
      </c>
    </row>
    <row r="125" spans="1:15" s="59" customFormat="1" x14ac:dyDescent="0.35">
      <c r="A125" s="85">
        <v>120</v>
      </c>
      <c r="B125" s="112" t="s">
        <v>207</v>
      </c>
      <c r="C125" s="113" t="s">
        <v>277</v>
      </c>
      <c r="D125" s="113" t="s">
        <v>276</v>
      </c>
      <c r="E125" s="125">
        <v>12.99</v>
      </c>
      <c r="F125" s="125">
        <v>12.95</v>
      </c>
      <c r="G125" s="125"/>
      <c r="H125" s="125"/>
      <c r="I125" s="28"/>
      <c r="J125" s="28">
        <v>12.95</v>
      </c>
      <c r="K125" s="125"/>
      <c r="L125" s="125"/>
      <c r="M125" s="125">
        <v>10.95</v>
      </c>
      <c r="N125" s="125"/>
      <c r="O125" s="125"/>
    </row>
    <row r="126" spans="1:15" s="59" customFormat="1" x14ac:dyDescent="0.35">
      <c r="A126" s="85">
        <v>121</v>
      </c>
      <c r="B126" s="112" t="s">
        <v>207</v>
      </c>
      <c r="C126" s="113" t="s">
        <v>204</v>
      </c>
      <c r="D126" s="113" t="s">
        <v>208</v>
      </c>
      <c r="E126" s="125">
        <v>28.99</v>
      </c>
      <c r="F126" s="125">
        <v>29.95</v>
      </c>
      <c r="G126" s="125">
        <v>29.99</v>
      </c>
      <c r="H126" s="125">
        <v>29.95</v>
      </c>
      <c r="I126" s="28">
        <v>29.95</v>
      </c>
      <c r="J126" s="28">
        <v>29.95</v>
      </c>
      <c r="K126" s="125"/>
      <c r="L126" s="125"/>
      <c r="M126" s="125">
        <v>29.95</v>
      </c>
      <c r="N126" s="125"/>
      <c r="O126" s="125">
        <v>29.5</v>
      </c>
    </row>
    <row r="127" spans="1:15" s="59" customFormat="1" x14ac:dyDescent="0.35">
      <c r="A127" s="85">
        <v>122</v>
      </c>
      <c r="B127" s="112" t="s">
        <v>209</v>
      </c>
      <c r="C127" s="113" t="s">
        <v>210</v>
      </c>
      <c r="D127" s="113" t="s">
        <v>15</v>
      </c>
      <c r="E127" s="125">
        <v>34.25</v>
      </c>
      <c r="F127" s="125">
        <v>27.75</v>
      </c>
      <c r="G127" s="125"/>
      <c r="H127" s="125"/>
      <c r="I127" s="28">
        <v>25.95</v>
      </c>
      <c r="J127" s="28"/>
      <c r="K127" s="125"/>
      <c r="L127" s="125"/>
      <c r="M127" s="125"/>
      <c r="N127" s="125">
        <v>27.3</v>
      </c>
      <c r="O127" s="125"/>
    </row>
    <row r="128" spans="1:15" s="59" customFormat="1" x14ac:dyDescent="0.35">
      <c r="A128" s="85">
        <v>123</v>
      </c>
      <c r="B128" s="112" t="s">
        <v>209</v>
      </c>
      <c r="C128" s="113" t="s">
        <v>211</v>
      </c>
      <c r="D128" s="113" t="s">
        <v>212</v>
      </c>
      <c r="E128" s="127">
        <v>12.44</v>
      </c>
      <c r="F128" s="127">
        <v>12.25</v>
      </c>
      <c r="G128" s="127"/>
      <c r="H128" s="127"/>
      <c r="I128" s="28">
        <v>11.45</v>
      </c>
      <c r="J128" s="28"/>
      <c r="K128" s="127">
        <v>12.99</v>
      </c>
      <c r="L128" s="127"/>
      <c r="M128" s="127"/>
      <c r="N128" s="127"/>
      <c r="O128" s="127"/>
    </row>
    <row r="129" spans="1:15" s="59" customFormat="1" x14ac:dyDescent="0.35">
      <c r="A129" s="85">
        <v>124</v>
      </c>
      <c r="B129" s="112" t="s">
        <v>213</v>
      </c>
      <c r="C129" s="113" t="s">
        <v>214</v>
      </c>
      <c r="D129" s="113" t="s">
        <v>215</v>
      </c>
      <c r="E129" s="125">
        <v>9.75</v>
      </c>
      <c r="F129" s="125">
        <v>9.25</v>
      </c>
      <c r="G129" s="125">
        <v>9.75</v>
      </c>
      <c r="H129" s="125">
        <v>8.25</v>
      </c>
      <c r="I129" s="28">
        <v>8.35</v>
      </c>
      <c r="J129" s="28">
        <v>9.25</v>
      </c>
      <c r="K129" s="125">
        <v>9.99</v>
      </c>
      <c r="L129" s="125">
        <v>9.75</v>
      </c>
      <c r="M129" s="125">
        <v>8.5</v>
      </c>
      <c r="N129" s="125">
        <v>9</v>
      </c>
      <c r="O129" s="125">
        <v>8.5</v>
      </c>
    </row>
    <row r="130" spans="1:15" s="59" customFormat="1" x14ac:dyDescent="0.35">
      <c r="A130" s="85">
        <v>125</v>
      </c>
      <c r="B130" s="112" t="s">
        <v>216</v>
      </c>
      <c r="C130" s="113" t="s">
        <v>214</v>
      </c>
      <c r="D130" s="113" t="s">
        <v>215</v>
      </c>
      <c r="E130" s="125">
        <v>9.25</v>
      </c>
      <c r="F130" s="125">
        <v>8.9499999999999993</v>
      </c>
      <c r="G130" s="125"/>
      <c r="H130" s="125">
        <v>8</v>
      </c>
      <c r="I130" s="28">
        <v>7.3</v>
      </c>
      <c r="J130" s="28">
        <v>8.9499999999999993</v>
      </c>
      <c r="K130" s="125">
        <v>9.49</v>
      </c>
      <c r="L130" s="125">
        <v>9.25</v>
      </c>
      <c r="M130" s="125">
        <v>9</v>
      </c>
      <c r="N130" s="125">
        <v>8.75</v>
      </c>
      <c r="O130" s="125">
        <v>8.75</v>
      </c>
    </row>
    <row r="131" spans="1:15" s="59" customFormat="1" x14ac:dyDescent="0.35">
      <c r="A131" s="85">
        <v>126</v>
      </c>
      <c r="B131" s="112" t="s">
        <v>217</v>
      </c>
      <c r="C131" s="113" t="s">
        <v>214</v>
      </c>
      <c r="D131" s="113" t="s">
        <v>215</v>
      </c>
      <c r="E131" s="125"/>
      <c r="F131" s="125"/>
      <c r="G131" s="125"/>
      <c r="H131" s="125"/>
      <c r="I131" s="28">
        <v>9.25</v>
      </c>
      <c r="J131" s="28"/>
      <c r="K131" s="125">
        <v>9.99</v>
      </c>
      <c r="L131" s="125"/>
      <c r="M131" s="125">
        <v>9.9499999999999993</v>
      </c>
      <c r="N131" s="125">
        <v>9.5</v>
      </c>
      <c r="O131" s="125"/>
    </row>
    <row r="132" spans="1:15" s="59" customFormat="1" x14ac:dyDescent="0.35">
      <c r="A132" s="85">
        <v>127</v>
      </c>
      <c r="B132" s="112" t="s">
        <v>218</v>
      </c>
      <c r="C132" s="113" t="s">
        <v>214</v>
      </c>
      <c r="D132" s="113" t="s">
        <v>215</v>
      </c>
      <c r="E132" s="125"/>
      <c r="F132" s="125">
        <v>8.75</v>
      </c>
      <c r="G132" s="125"/>
      <c r="H132" s="125">
        <v>7.95</v>
      </c>
      <c r="I132" s="28"/>
      <c r="J132" s="28"/>
      <c r="K132" s="125"/>
      <c r="L132" s="125">
        <v>8.99</v>
      </c>
      <c r="M132" s="125">
        <v>8.5</v>
      </c>
      <c r="N132" s="125">
        <v>8.5</v>
      </c>
      <c r="O132" s="125"/>
    </row>
    <row r="133" spans="1:15" s="59" customFormat="1" x14ac:dyDescent="0.35">
      <c r="A133" s="90">
        <v>128</v>
      </c>
      <c r="B133" s="112" t="s">
        <v>219</v>
      </c>
      <c r="C133" s="113" t="s">
        <v>214</v>
      </c>
      <c r="D133" s="113" t="s">
        <v>215</v>
      </c>
      <c r="E133" s="125">
        <v>10.75</v>
      </c>
      <c r="F133" s="125">
        <v>10.5</v>
      </c>
      <c r="G133" s="125">
        <v>10.99</v>
      </c>
      <c r="H133" s="125">
        <v>9</v>
      </c>
      <c r="I133" s="28">
        <v>10.15</v>
      </c>
      <c r="J133" s="28">
        <v>10.5</v>
      </c>
      <c r="K133" s="125"/>
      <c r="L133" s="125">
        <v>10.75</v>
      </c>
      <c r="M133" s="125">
        <v>9.9499999999999993</v>
      </c>
      <c r="N133" s="125">
        <v>10.15</v>
      </c>
      <c r="O133" s="125">
        <v>9.75</v>
      </c>
    </row>
    <row r="134" spans="1:15" s="59" customFormat="1" x14ac:dyDescent="0.35">
      <c r="A134" s="90">
        <v>129</v>
      </c>
      <c r="B134" s="112" t="s">
        <v>220</v>
      </c>
      <c r="C134" s="113" t="s">
        <v>182</v>
      </c>
      <c r="D134" s="113" t="s">
        <v>183</v>
      </c>
      <c r="E134" s="125">
        <v>13.9</v>
      </c>
      <c r="F134" s="125">
        <v>13.25</v>
      </c>
      <c r="G134" s="125">
        <v>12.95</v>
      </c>
      <c r="H134" s="125">
        <v>12.5</v>
      </c>
      <c r="I134" s="28">
        <v>11.95</v>
      </c>
      <c r="J134" s="28">
        <v>13.25</v>
      </c>
      <c r="K134" s="125">
        <v>13.99</v>
      </c>
      <c r="L134" s="125"/>
      <c r="M134" s="125"/>
      <c r="N134" s="143">
        <v>13</v>
      </c>
      <c r="O134" s="125"/>
    </row>
    <row r="135" spans="1:15" s="59" customFormat="1" x14ac:dyDescent="0.35">
      <c r="A135" s="90">
        <v>130</v>
      </c>
      <c r="B135" s="112" t="s">
        <v>221</v>
      </c>
      <c r="C135" s="113" t="s">
        <v>70</v>
      </c>
      <c r="D135" s="113" t="s">
        <v>183</v>
      </c>
      <c r="E135" s="125">
        <v>11.65</v>
      </c>
      <c r="F135" s="125">
        <v>10.5</v>
      </c>
      <c r="G135" s="125">
        <v>10.99</v>
      </c>
      <c r="H135" s="125"/>
      <c r="I135" s="28">
        <v>10.5</v>
      </c>
      <c r="J135" s="28">
        <v>10.5</v>
      </c>
      <c r="K135" s="125">
        <v>10.99</v>
      </c>
      <c r="L135" s="125">
        <v>10.99</v>
      </c>
      <c r="M135" s="125">
        <v>10.5</v>
      </c>
      <c r="N135" s="143">
        <v>10.5</v>
      </c>
      <c r="O135" s="125">
        <v>10.5</v>
      </c>
    </row>
    <row r="136" spans="1:15" s="59" customFormat="1" x14ac:dyDescent="0.35">
      <c r="A136" s="90">
        <v>131</v>
      </c>
      <c r="B136" s="112" t="s">
        <v>222</v>
      </c>
      <c r="C136" s="113" t="s">
        <v>70</v>
      </c>
      <c r="D136" s="113" t="s">
        <v>223</v>
      </c>
      <c r="E136" s="125">
        <v>12.65</v>
      </c>
      <c r="F136" s="125"/>
      <c r="G136" s="125"/>
      <c r="H136" s="125">
        <v>11.5</v>
      </c>
      <c r="I136" s="28">
        <v>11.95</v>
      </c>
      <c r="J136" s="28">
        <v>11.95</v>
      </c>
      <c r="K136" s="125">
        <v>12.99</v>
      </c>
      <c r="L136" s="125">
        <v>12.65</v>
      </c>
      <c r="M136" s="125">
        <v>11.95</v>
      </c>
      <c r="N136" s="125">
        <v>11.95</v>
      </c>
      <c r="O136" s="125"/>
    </row>
    <row r="137" spans="1:15" s="59" customFormat="1" x14ac:dyDescent="0.35">
      <c r="A137" s="87">
        <v>132</v>
      </c>
      <c r="B137" s="112" t="s">
        <v>224</v>
      </c>
      <c r="C137" s="113" t="s">
        <v>182</v>
      </c>
      <c r="D137" s="113" t="s">
        <v>225</v>
      </c>
      <c r="E137" s="125">
        <v>13.99</v>
      </c>
      <c r="F137" s="125">
        <v>18.25</v>
      </c>
      <c r="G137" s="125"/>
      <c r="H137" s="125">
        <v>14.5</v>
      </c>
      <c r="I137" s="28">
        <v>14.95</v>
      </c>
      <c r="J137" s="28">
        <v>18.25</v>
      </c>
      <c r="K137" s="125">
        <v>18.989999999999998</v>
      </c>
      <c r="L137" s="125"/>
      <c r="M137" s="125">
        <v>12.5</v>
      </c>
      <c r="N137" s="125"/>
      <c r="O137" s="125"/>
    </row>
    <row r="138" spans="1:15" s="59" customFormat="1" x14ac:dyDescent="0.35">
      <c r="A138" s="91">
        <v>133</v>
      </c>
      <c r="B138" s="112" t="s">
        <v>226</v>
      </c>
      <c r="C138" s="113"/>
      <c r="D138" s="113" t="s">
        <v>15</v>
      </c>
      <c r="E138" s="125">
        <v>24.11</v>
      </c>
      <c r="F138" s="125">
        <v>24.54</v>
      </c>
      <c r="G138" s="125"/>
      <c r="H138" s="125"/>
      <c r="I138" s="28">
        <v>21.95</v>
      </c>
      <c r="J138" s="28">
        <v>22.73</v>
      </c>
      <c r="K138" s="125">
        <v>23.54</v>
      </c>
      <c r="L138" s="125"/>
      <c r="M138" s="125"/>
      <c r="N138" s="125"/>
      <c r="O138" s="125"/>
    </row>
    <row r="139" spans="1:15" s="59" customFormat="1" x14ac:dyDescent="0.35">
      <c r="A139" s="91">
        <v>134</v>
      </c>
      <c r="B139" s="112" t="s">
        <v>227</v>
      </c>
      <c r="C139" s="113"/>
      <c r="D139" s="113" t="s">
        <v>15</v>
      </c>
      <c r="E139" s="125">
        <v>28</v>
      </c>
      <c r="F139" s="125">
        <v>24.65</v>
      </c>
      <c r="G139" s="125"/>
      <c r="H139" s="125"/>
      <c r="I139" s="28"/>
      <c r="J139" s="28">
        <v>25</v>
      </c>
      <c r="K139" s="125">
        <v>26.08</v>
      </c>
      <c r="L139" s="125">
        <v>28</v>
      </c>
      <c r="M139" s="125"/>
      <c r="N139" s="125"/>
      <c r="O139" s="125"/>
    </row>
    <row r="140" spans="1:15" s="59" customFormat="1" x14ac:dyDescent="0.35">
      <c r="A140" s="89">
        <v>135</v>
      </c>
      <c r="B140" s="112" t="s">
        <v>228</v>
      </c>
      <c r="C140" s="113"/>
      <c r="D140" s="113" t="s">
        <v>15</v>
      </c>
      <c r="E140" s="125">
        <v>18.809999999999999</v>
      </c>
      <c r="F140" s="125">
        <v>15.56</v>
      </c>
      <c r="G140" s="125"/>
      <c r="H140" s="125"/>
      <c r="I140" s="28">
        <v>17.95</v>
      </c>
      <c r="J140" s="28"/>
      <c r="K140" s="125"/>
      <c r="L140" s="125"/>
      <c r="M140" s="125"/>
      <c r="N140" s="125"/>
      <c r="O140" s="125"/>
    </row>
    <row r="141" spans="1:15" s="59" customFormat="1" x14ac:dyDescent="0.35">
      <c r="A141" s="91">
        <v>136</v>
      </c>
      <c r="B141" s="112" t="s">
        <v>229</v>
      </c>
      <c r="C141" s="113"/>
      <c r="D141" s="113" t="s">
        <v>15</v>
      </c>
      <c r="E141" s="125"/>
      <c r="F141" s="125">
        <v>23.52</v>
      </c>
      <c r="G141" s="125"/>
      <c r="H141" s="125"/>
      <c r="I141" s="28">
        <v>22.95</v>
      </c>
      <c r="J141" s="28">
        <v>19.54</v>
      </c>
      <c r="K141" s="125">
        <v>26.08</v>
      </c>
      <c r="L141" s="125">
        <v>28.93</v>
      </c>
      <c r="M141" s="125"/>
      <c r="N141" s="125"/>
      <c r="O141" s="125"/>
    </row>
    <row r="142" spans="1:15" s="59" customFormat="1" x14ac:dyDescent="0.35">
      <c r="A142" s="92"/>
      <c r="B142" s="92"/>
      <c r="C142" s="92"/>
      <c r="D142" s="92"/>
      <c r="E142" s="93"/>
      <c r="F142" s="94"/>
      <c r="G142" s="94"/>
      <c r="H142" s="94"/>
      <c r="I142" s="94"/>
      <c r="J142" s="94"/>
      <c r="K142" s="94"/>
      <c r="L142" s="93"/>
      <c r="M142" s="95"/>
      <c r="N142" s="94"/>
      <c r="O142" s="94"/>
    </row>
    <row r="143" spans="1:15" s="59" customFormat="1" x14ac:dyDescent="0.35">
      <c r="A143" s="92"/>
      <c r="B143" s="92"/>
      <c r="C143" s="92"/>
      <c r="D143" s="92"/>
      <c r="E143" s="94"/>
      <c r="F143" s="94"/>
      <c r="G143" s="94"/>
      <c r="H143" s="94"/>
      <c r="I143" s="94"/>
      <c r="J143" s="94"/>
      <c r="K143" s="94"/>
      <c r="L143" s="94"/>
      <c r="M143" s="95"/>
      <c r="N143" s="94"/>
      <c r="O143" s="94"/>
    </row>
    <row r="144" spans="1:15" s="59" customFormat="1" x14ac:dyDescent="0.35">
      <c r="A144" s="92"/>
      <c r="B144" s="92"/>
      <c r="C144" s="92"/>
      <c r="D144" s="92"/>
      <c r="E144" s="94"/>
      <c r="F144" s="94"/>
      <c r="G144" s="94"/>
      <c r="H144" s="94"/>
      <c r="I144" s="94"/>
      <c r="J144" s="94"/>
      <c r="K144" s="94"/>
      <c r="L144" s="94"/>
      <c r="M144" s="95"/>
      <c r="N144" s="94"/>
      <c r="O144" s="94"/>
    </row>
    <row r="145" spans="1:15" s="59" customFormat="1" x14ac:dyDescent="0.35">
      <c r="A145" s="92"/>
      <c r="B145" s="92"/>
      <c r="C145" s="92"/>
      <c r="D145" s="92"/>
      <c r="E145" s="96"/>
      <c r="F145" s="96"/>
      <c r="G145" s="96"/>
      <c r="H145" s="96"/>
      <c r="I145" s="96"/>
      <c r="J145" s="96"/>
      <c r="K145" s="96"/>
      <c r="L145" s="96"/>
      <c r="M145" s="95"/>
      <c r="N145" s="96"/>
      <c r="O145" s="96"/>
    </row>
    <row r="146" spans="1:15" s="59" customFormat="1" x14ac:dyDescent="0.35">
      <c r="A146" s="92"/>
      <c r="B146" s="92"/>
      <c r="C146" s="92"/>
      <c r="D146" s="92"/>
      <c r="E146" s="94"/>
      <c r="F146" s="94"/>
      <c r="G146" s="94"/>
      <c r="H146" s="94"/>
      <c r="I146" s="94"/>
      <c r="J146" s="94"/>
      <c r="K146" s="94"/>
      <c r="L146" s="94"/>
      <c r="M146" s="97"/>
      <c r="N146" s="94"/>
      <c r="O146" s="94"/>
    </row>
    <row r="147" spans="1:15" s="59" customFormat="1" x14ac:dyDescent="0.35">
      <c r="A147" s="92"/>
      <c r="B147" s="92"/>
      <c r="C147" s="92"/>
      <c r="D147" s="92"/>
      <c r="E147" s="94"/>
      <c r="F147" s="94"/>
      <c r="G147" s="94"/>
      <c r="H147" s="94"/>
      <c r="I147" s="94"/>
      <c r="J147" s="94"/>
      <c r="K147" s="94"/>
      <c r="L147" s="94"/>
      <c r="M147" s="95"/>
      <c r="N147" s="94"/>
      <c r="O147" s="94"/>
    </row>
    <row r="148" spans="1:15" s="59" customFormat="1" x14ac:dyDescent="0.35">
      <c r="A148" s="92"/>
      <c r="B148" s="92"/>
      <c r="C148" s="92"/>
      <c r="D148" s="92"/>
      <c r="E148" s="94"/>
      <c r="F148" s="94"/>
      <c r="G148" s="94"/>
      <c r="H148" s="94"/>
      <c r="I148" s="94"/>
      <c r="J148" s="94"/>
      <c r="K148" s="94"/>
      <c r="L148" s="94"/>
      <c r="M148" s="95"/>
      <c r="N148" s="94"/>
      <c r="O148" s="94"/>
    </row>
    <row r="149" spans="1:15" s="59" customFormat="1" x14ac:dyDescent="0.35">
      <c r="A149" s="92"/>
      <c r="B149" s="92"/>
      <c r="C149" s="92"/>
      <c r="D149" s="92"/>
      <c r="E149" s="94"/>
      <c r="F149" s="94"/>
      <c r="G149" s="94"/>
      <c r="H149" s="94"/>
      <c r="I149" s="94"/>
      <c r="J149" s="94"/>
      <c r="K149" s="94"/>
      <c r="L149" s="94"/>
      <c r="M149" s="95"/>
      <c r="N149" s="94"/>
      <c r="O149" s="94"/>
    </row>
    <row r="150" spans="1:15" s="59" customFormat="1" x14ac:dyDescent="0.35">
      <c r="A150" s="92"/>
      <c r="B150" s="92"/>
      <c r="C150" s="92"/>
      <c r="D150" s="92"/>
      <c r="E150" s="94"/>
      <c r="F150" s="93"/>
      <c r="G150" s="94"/>
      <c r="H150" s="94"/>
      <c r="I150" s="94"/>
      <c r="J150" s="93"/>
      <c r="K150" s="93"/>
      <c r="L150" s="94"/>
      <c r="M150" s="95"/>
      <c r="N150" s="94"/>
      <c r="O150" s="94"/>
    </row>
    <row r="151" spans="1:15" s="59" customFormat="1" x14ac:dyDescent="0.35">
      <c r="A151" s="92"/>
      <c r="B151" s="92"/>
      <c r="C151" s="92"/>
      <c r="D151" s="92"/>
      <c r="E151" s="94"/>
      <c r="F151" s="94"/>
      <c r="G151" s="94"/>
      <c r="H151" s="94"/>
      <c r="I151" s="94"/>
      <c r="J151" s="94"/>
      <c r="K151" s="94"/>
      <c r="L151" s="94"/>
      <c r="M151" s="95"/>
      <c r="N151" s="94"/>
      <c r="O151" s="94"/>
    </row>
    <row r="152" spans="1:15" s="59" customFormat="1" x14ac:dyDescent="0.35">
      <c r="A152" s="92"/>
      <c r="B152" s="92"/>
      <c r="C152" s="92"/>
      <c r="D152" s="92"/>
      <c r="E152" s="94"/>
      <c r="F152" s="94"/>
      <c r="G152" s="94"/>
      <c r="H152" s="94"/>
      <c r="I152" s="94"/>
      <c r="J152" s="94"/>
      <c r="K152" s="94"/>
      <c r="L152" s="94"/>
      <c r="M152" s="95"/>
      <c r="N152" s="94"/>
      <c r="O152" s="94"/>
    </row>
    <row r="153" spans="1:15" s="59" customFormat="1" x14ac:dyDescent="0.35">
      <c r="A153" s="92"/>
      <c r="B153" s="92"/>
      <c r="C153" s="92"/>
      <c r="D153" s="92"/>
      <c r="E153" s="94"/>
      <c r="F153" s="94"/>
      <c r="G153" s="94"/>
      <c r="H153" s="94"/>
      <c r="I153" s="94"/>
      <c r="J153" s="94"/>
      <c r="K153" s="94"/>
      <c r="L153" s="94"/>
      <c r="M153" s="95"/>
      <c r="N153" s="94"/>
      <c r="O153" s="94"/>
    </row>
    <row r="154" spans="1:15" s="59" customFormat="1" x14ac:dyDescent="0.35">
      <c r="A154" s="92"/>
      <c r="B154" s="92"/>
      <c r="C154" s="92"/>
      <c r="D154" s="92"/>
      <c r="E154" s="94"/>
      <c r="F154" s="94"/>
      <c r="G154" s="94"/>
      <c r="H154" s="94"/>
      <c r="I154" s="94"/>
      <c r="J154" s="94"/>
      <c r="K154" s="94"/>
      <c r="L154" s="94"/>
      <c r="M154" s="95"/>
      <c r="N154" s="94"/>
      <c r="O154" s="94"/>
    </row>
    <row r="155" spans="1:15" s="59" customFormat="1" x14ac:dyDescent="0.35">
      <c r="A155" s="92"/>
      <c r="B155" s="92"/>
      <c r="C155" s="92"/>
      <c r="D155" s="92"/>
      <c r="E155" s="94"/>
      <c r="F155" s="94"/>
      <c r="G155" s="94"/>
      <c r="H155" s="94"/>
      <c r="I155" s="94"/>
      <c r="J155" s="94"/>
      <c r="K155" s="93"/>
      <c r="L155" s="94"/>
      <c r="M155" s="95"/>
      <c r="N155" s="94"/>
      <c r="O155" s="94"/>
    </row>
    <row r="156" spans="1:15" s="59" customFormat="1" x14ac:dyDescent="0.35">
      <c r="A156" s="92"/>
      <c r="B156" s="92"/>
      <c r="C156" s="92"/>
      <c r="D156" s="92"/>
      <c r="E156" s="94"/>
      <c r="F156" s="94"/>
      <c r="G156" s="94"/>
      <c r="H156" s="94"/>
      <c r="I156" s="94"/>
      <c r="J156" s="94"/>
      <c r="K156" s="94"/>
      <c r="L156" s="94"/>
      <c r="M156" s="95"/>
      <c r="N156" s="94"/>
      <c r="O156" s="94"/>
    </row>
    <row r="157" spans="1:15" s="59" customFormat="1" x14ac:dyDescent="0.35">
      <c r="A157" s="92"/>
      <c r="B157" s="92"/>
      <c r="C157" s="92"/>
      <c r="D157" s="92"/>
      <c r="E157" s="94"/>
      <c r="F157" s="94"/>
      <c r="G157" s="94"/>
      <c r="H157" s="94"/>
      <c r="I157" s="94"/>
      <c r="J157" s="94"/>
      <c r="K157" s="93"/>
      <c r="L157" s="94"/>
      <c r="M157" s="95"/>
      <c r="N157" s="94"/>
      <c r="O157" s="94"/>
    </row>
    <row r="158" spans="1:15" s="59" customFormat="1" x14ac:dyDescent="0.35">
      <c r="A158" s="92"/>
      <c r="B158" s="92"/>
      <c r="C158" s="92"/>
      <c r="D158" s="92"/>
      <c r="E158" s="94"/>
      <c r="F158" s="94"/>
      <c r="G158" s="94"/>
      <c r="H158" s="94"/>
      <c r="I158" s="94"/>
      <c r="J158" s="94"/>
      <c r="K158" s="93"/>
      <c r="L158" s="94"/>
      <c r="M158" s="95"/>
      <c r="N158" s="94"/>
      <c r="O158" s="94"/>
    </row>
    <row r="159" spans="1:15" s="59" customFormat="1" x14ac:dyDescent="0.35">
      <c r="A159" s="92"/>
      <c r="B159" s="92"/>
      <c r="C159" s="92"/>
      <c r="D159" s="92"/>
      <c r="E159" s="94"/>
      <c r="F159" s="94"/>
      <c r="G159" s="94"/>
      <c r="H159" s="94"/>
      <c r="I159" s="94"/>
      <c r="J159" s="94"/>
      <c r="K159" s="94"/>
      <c r="L159" s="94"/>
      <c r="M159" s="95"/>
      <c r="N159" s="94"/>
      <c r="O159" s="94"/>
    </row>
    <row r="160" spans="1:15" s="59" customFormat="1" x14ac:dyDescent="0.35">
      <c r="A160" s="92"/>
      <c r="B160" s="92"/>
      <c r="C160" s="92"/>
      <c r="D160" s="92"/>
      <c r="E160" s="94"/>
      <c r="F160" s="94"/>
      <c r="G160" s="94"/>
      <c r="H160" s="94"/>
      <c r="I160" s="94"/>
      <c r="J160" s="94"/>
      <c r="K160" s="94"/>
      <c r="L160" s="94"/>
      <c r="M160" s="95"/>
      <c r="N160" s="94"/>
      <c r="O160" s="94"/>
    </row>
    <row r="161" spans="1:15" s="59" customFormat="1" x14ac:dyDescent="0.35">
      <c r="A161" s="92"/>
      <c r="B161" s="92"/>
      <c r="C161" s="92"/>
      <c r="D161" s="92"/>
      <c r="E161" s="94"/>
      <c r="F161" s="94"/>
      <c r="G161" s="94"/>
      <c r="H161" s="94"/>
      <c r="I161" s="94"/>
      <c r="J161" s="94"/>
      <c r="K161" s="94"/>
      <c r="L161" s="94"/>
      <c r="M161" s="95"/>
      <c r="N161" s="94"/>
      <c r="O161" s="94"/>
    </row>
    <row r="162" spans="1:15" s="59" customFormat="1" x14ac:dyDescent="0.35">
      <c r="A162" s="92"/>
      <c r="B162" s="92"/>
      <c r="C162" s="92"/>
      <c r="D162" s="92"/>
      <c r="E162" s="94"/>
      <c r="F162" s="94"/>
      <c r="G162" s="94"/>
      <c r="H162" s="94"/>
      <c r="I162" s="94"/>
      <c r="J162" s="94"/>
      <c r="K162" s="93"/>
      <c r="L162" s="94"/>
      <c r="M162" s="95"/>
      <c r="N162" s="94"/>
      <c r="O162" s="94"/>
    </row>
    <row r="163" spans="1:15" s="59" customFormat="1" x14ac:dyDescent="0.35">
      <c r="A163" s="92"/>
      <c r="B163" s="92"/>
      <c r="C163" s="92"/>
      <c r="D163" s="92"/>
      <c r="E163" s="94"/>
      <c r="F163" s="94"/>
      <c r="G163" s="94"/>
      <c r="H163" s="94"/>
      <c r="I163" s="94"/>
      <c r="J163" s="94"/>
      <c r="K163" s="94"/>
      <c r="L163" s="94"/>
      <c r="M163" s="95"/>
      <c r="N163" s="94"/>
      <c r="O163" s="94"/>
    </row>
    <row r="164" spans="1:15" s="59" customFormat="1" x14ac:dyDescent="0.35">
      <c r="A164" s="92"/>
      <c r="B164" s="92"/>
      <c r="C164" s="92"/>
      <c r="D164" s="92"/>
      <c r="E164" s="94"/>
      <c r="F164" s="94"/>
      <c r="G164" s="94"/>
      <c r="H164" s="94"/>
      <c r="I164" s="94"/>
      <c r="J164" s="94"/>
      <c r="K164" s="94"/>
      <c r="L164" s="94"/>
      <c r="M164" s="95"/>
      <c r="N164" s="94"/>
      <c r="O164" s="94"/>
    </row>
    <row r="165" spans="1:15" s="59" customFormat="1" x14ac:dyDescent="0.35">
      <c r="A165" s="92"/>
      <c r="B165" s="92"/>
      <c r="C165" s="92"/>
      <c r="D165" s="92"/>
      <c r="E165" s="94"/>
      <c r="F165" s="94"/>
      <c r="G165" s="94"/>
      <c r="H165" s="94"/>
      <c r="I165" s="94"/>
      <c r="J165" s="94"/>
      <c r="K165" s="94"/>
      <c r="L165" s="94"/>
      <c r="M165" s="95"/>
      <c r="N165" s="94"/>
      <c r="O165" s="94"/>
    </row>
    <row r="166" spans="1:15" s="59" customFormat="1" x14ac:dyDescent="0.35">
      <c r="A166" s="92"/>
      <c r="B166" s="92"/>
      <c r="C166" s="92"/>
      <c r="D166" s="92"/>
      <c r="E166" s="94"/>
      <c r="F166" s="94"/>
      <c r="G166" s="94"/>
      <c r="H166" s="93"/>
      <c r="I166" s="94"/>
      <c r="J166" s="94"/>
      <c r="K166" s="94"/>
      <c r="L166" s="94"/>
      <c r="M166" s="95"/>
      <c r="N166" s="94"/>
      <c r="O166" s="94"/>
    </row>
    <row r="167" spans="1:15" s="59" customFormat="1" x14ac:dyDescent="0.35">
      <c r="A167" s="92"/>
      <c r="B167" s="92"/>
      <c r="C167" s="92"/>
      <c r="D167" s="92"/>
      <c r="E167" s="94"/>
      <c r="F167" s="94"/>
      <c r="G167" s="94"/>
      <c r="H167" s="94"/>
      <c r="I167" s="94"/>
      <c r="J167" s="94"/>
      <c r="K167" s="94"/>
      <c r="L167" s="94"/>
      <c r="M167" s="95"/>
      <c r="N167" s="94"/>
      <c r="O167" s="94"/>
    </row>
    <row r="168" spans="1:15" s="59" customFormat="1" x14ac:dyDescent="0.35">
      <c r="A168" s="92"/>
      <c r="B168" s="92"/>
      <c r="C168" s="92"/>
      <c r="D168" s="92"/>
      <c r="E168" s="94"/>
      <c r="F168" s="94"/>
      <c r="G168" s="94"/>
      <c r="H168" s="94"/>
      <c r="I168" s="94"/>
      <c r="J168" s="94"/>
      <c r="K168" s="94"/>
      <c r="L168" s="94"/>
      <c r="M168" s="95"/>
      <c r="N168" s="94"/>
      <c r="O168" s="94"/>
    </row>
    <row r="169" spans="1:15" s="59" customFormat="1" x14ac:dyDescent="0.35">
      <c r="A169" s="92"/>
      <c r="B169" s="92"/>
      <c r="C169" s="92"/>
      <c r="D169" s="92"/>
      <c r="E169" s="94"/>
      <c r="F169" s="94"/>
      <c r="G169" s="94"/>
      <c r="H169" s="94"/>
      <c r="I169" s="94"/>
      <c r="J169" s="94"/>
      <c r="K169" s="94"/>
      <c r="L169" s="94"/>
      <c r="M169" s="95"/>
      <c r="N169" s="94"/>
      <c r="O169" s="94"/>
    </row>
    <row r="170" spans="1:15" s="59" customFormat="1" x14ac:dyDescent="0.35">
      <c r="A170" s="92"/>
      <c r="B170" s="92"/>
      <c r="C170" s="92"/>
      <c r="D170" s="92"/>
      <c r="E170" s="94"/>
      <c r="F170" s="94"/>
      <c r="G170" s="94"/>
      <c r="H170" s="94"/>
      <c r="I170" s="94"/>
      <c r="J170" s="94"/>
      <c r="K170" s="94"/>
      <c r="L170" s="94"/>
      <c r="M170" s="95"/>
      <c r="N170" s="94"/>
      <c r="O170" s="94"/>
    </row>
    <row r="171" spans="1:15" s="59" customFormat="1" x14ac:dyDescent="0.35">
      <c r="A171" s="92"/>
      <c r="B171" s="92"/>
      <c r="C171" s="92"/>
      <c r="D171" s="92"/>
      <c r="E171" s="94"/>
      <c r="F171" s="94"/>
      <c r="G171" s="94"/>
      <c r="H171" s="94"/>
      <c r="I171" s="94"/>
      <c r="J171" s="94"/>
      <c r="K171" s="94"/>
      <c r="L171" s="94"/>
      <c r="M171" s="95"/>
      <c r="N171" s="94"/>
      <c r="O171" s="94"/>
    </row>
    <row r="172" spans="1:15" s="59" customFormat="1" x14ac:dyDescent="0.35">
      <c r="A172" s="92"/>
      <c r="B172" s="92"/>
      <c r="C172" s="92"/>
      <c r="D172" s="92"/>
      <c r="E172" s="94"/>
      <c r="F172" s="94"/>
      <c r="G172" s="94"/>
      <c r="H172" s="94"/>
      <c r="I172" s="94"/>
      <c r="J172" s="94"/>
      <c r="K172" s="94"/>
      <c r="L172" s="94"/>
      <c r="M172" s="95"/>
      <c r="N172" s="94"/>
      <c r="O172" s="94"/>
    </row>
    <row r="173" spans="1:15" s="59" customFormat="1" x14ac:dyDescent="0.35">
      <c r="A173" s="92"/>
      <c r="B173" s="92"/>
      <c r="C173" s="92"/>
      <c r="D173" s="92"/>
      <c r="E173" s="94"/>
      <c r="F173" s="94"/>
      <c r="G173" s="94"/>
      <c r="H173" s="94"/>
      <c r="I173" s="94"/>
      <c r="J173" s="94"/>
      <c r="K173" s="94"/>
      <c r="L173" s="94"/>
      <c r="M173" s="95"/>
      <c r="N173" s="94"/>
      <c r="O173" s="94"/>
    </row>
    <row r="174" spans="1:15" s="59" customFormat="1" x14ac:dyDescent="0.35">
      <c r="A174" s="92"/>
      <c r="B174" s="92"/>
      <c r="C174" s="92"/>
      <c r="D174" s="92"/>
      <c r="E174" s="94"/>
      <c r="F174" s="94"/>
      <c r="G174" s="94"/>
      <c r="H174" s="94"/>
      <c r="I174" s="94"/>
      <c r="J174" s="94"/>
      <c r="K174" s="94"/>
      <c r="L174" s="94"/>
      <c r="M174" s="95"/>
      <c r="N174" s="94"/>
      <c r="O174" s="94"/>
    </row>
    <row r="175" spans="1:15" s="59" customFormat="1" x14ac:dyDescent="0.35">
      <c r="A175" s="92"/>
      <c r="B175" s="92"/>
      <c r="C175" s="92"/>
      <c r="D175" s="92"/>
      <c r="E175" s="94"/>
      <c r="F175" s="94"/>
      <c r="G175" s="94"/>
      <c r="H175" s="94"/>
      <c r="I175" s="94"/>
      <c r="J175" s="94"/>
      <c r="K175" s="94"/>
      <c r="L175" s="94"/>
      <c r="M175" s="95"/>
      <c r="N175" s="94"/>
      <c r="O175" s="94"/>
    </row>
    <row r="176" spans="1:15" s="59" customFormat="1" x14ac:dyDescent="0.35">
      <c r="A176" s="92"/>
      <c r="B176" s="92"/>
      <c r="C176" s="92"/>
      <c r="D176" s="92"/>
      <c r="E176" s="94"/>
      <c r="F176" s="94"/>
      <c r="G176" s="94"/>
      <c r="H176" s="94"/>
      <c r="I176" s="94"/>
      <c r="J176" s="94"/>
      <c r="K176" s="94"/>
      <c r="L176" s="94"/>
      <c r="M176" s="95"/>
      <c r="N176" s="94"/>
      <c r="O176" s="94"/>
    </row>
    <row r="177" spans="1:15" s="59" customFormat="1" x14ac:dyDescent="0.35">
      <c r="A177" s="92"/>
      <c r="B177" s="92"/>
      <c r="C177" s="92"/>
      <c r="D177" s="92"/>
      <c r="E177" s="94"/>
      <c r="F177" s="94"/>
      <c r="G177" s="94"/>
      <c r="H177" s="94"/>
      <c r="I177" s="94"/>
      <c r="J177" s="94"/>
      <c r="K177" s="94"/>
      <c r="L177" s="94"/>
      <c r="M177" s="95"/>
      <c r="N177" s="94"/>
      <c r="O177" s="94"/>
    </row>
    <row r="178" spans="1:15" s="59" customFormat="1" x14ac:dyDescent="0.35">
      <c r="A178" s="92"/>
      <c r="B178" s="92"/>
      <c r="C178" s="92"/>
      <c r="D178" s="92"/>
      <c r="E178" s="94"/>
      <c r="F178" s="94"/>
      <c r="G178" s="94"/>
      <c r="H178" s="94"/>
      <c r="I178" s="94"/>
      <c r="J178" s="94"/>
      <c r="K178" s="94"/>
      <c r="L178" s="94"/>
      <c r="M178" s="95"/>
      <c r="N178" s="94"/>
      <c r="O178" s="94"/>
    </row>
    <row r="179" spans="1:15" s="59" customFormat="1" x14ac:dyDescent="0.35">
      <c r="A179" s="92"/>
      <c r="B179" s="92"/>
      <c r="C179" s="92"/>
      <c r="D179" s="92"/>
      <c r="E179" s="98"/>
      <c r="F179" s="98"/>
      <c r="G179" s="98"/>
      <c r="H179" s="98"/>
      <c r="I179" s="98"/>
      <c r="J179" s="98"/>
      <c r="K179" s="98"/>
      <c r="L179" s="98"/>
      <c r="M179" s="95"/>
      <c r="N179" s="98"/>
      <c r="O179" s="98"/>
    </row>
    <row r="180" spans="1:15" s="59" customFormat="1" x14ac:dyDescent="0.35">
      <c r="A180" s="92"/>
      <c r="B180" s="92"/>
      <c r="C180" s="92"/>
      <c r="D180" s="92"/>
      <c r="E180" s="94"/>
      <c r="F180" s="94"/>
      <c r="G180" s="94"/>
      <c r="H180" s="94"/>
      <c r="I180" s="94"/>
      <c r="J180" s="94"/>
      <c r="K180" s="94"/>
      <c r="L180" s="94"/>
      <c r="M180" s="95"/>
      <c r="N180" s="94"/>
      <c r="O180" s="94"/>
    </row>
    <row r="181" spans="1:15" s="59" customFormat="1" x14ac:dyDescent="0.35">
      <c r="A181" s="92"/>
      <c r="B181" s="92"/>
      <c r="C181" s="92"/>
      <c r="D181" s="92"/>
      <c r="E181" s="94"/>
      <c r="F181" s="93"/>
      <c r="G181" s="94"/>
      <c r="H181" s="94"/>
      <c r="I181" s="94"/>
      <c r="J181" s="93"/>
      <c r="K181" s="94"/>
      <c r="L181" s="94"/>
      <c r="M181" s="95"/>
      <c r="N181" s="94"/>
      <c r="O181" s="94"/>
    </row>
    <row r="182" spans="1:15" s="59" customFormat="1" x14ac:dyDescent="0.35">
      <c r="A182" s="92"/>
      <c r="B182" s="92"/>
      <c r="C182" s="92"/>
      <c r="D182" s="92"/>
      <c r="E182" s="94"/>
      <c r="F182" s="93"/>
      <c r="G182" s="94"/>
      <c r="H182" s="94"/>
      <c r="I182" s="93"/>
      <c r="J182" s="93"/>
      <c r="K182" s="94"/>
      <c r="L182" s="94"/>
      <c r="M182" s="95"/>
      <c r="N182" s="94"/>
      <c r="O182" s="94"/>
    </row>
    <row r="183" spans="1:15" s="59" customFormat="1" x14ac:dyDescent="0.35">
      <c r="A183" s="92"/>
      <c r="B183" s="92"/>
      <c r="C183" s="92"/>
      <c r="D183" s="92"/>
      <c r="E183" s="94"/>
      <c r="F183" s="94"/>
      <c r="G183" s="94"/>
      <c r="H183" s="94"/>
      <c r="I183" s="94"/>
      <c r="J183" s="94"/>
      <c r="K183" s="94"/>
      <c r="L183" s="94"/>
      <c r="M183" s="95"/>
      <c r="N183" s="94"/>
      <c r="O183" s="94"/>
    </row>
    <row r="184" spans="1:15" s="59" customFormat="1" x14ac:dyDescent="0.35">
      <c r="A184" s="92"/>
      <c r="B184" s="92"/>
      <c r="C184" s="92"/>
      <c r="D184" s="92"/>
      <c r="E184" s="94"/>
      <c r="F184" s="94"/>
      <c r="G184" s="94"/>
      <c r="H184" s="94"/>
      <c r="I184" s="93"/>
      <c r="J184" s="94"/>
      <c r="K184" s="94"/>
      <c r="L184" s="94"/>
      <c r="M184" s="95"/>
      <c r="N184" s="94"/>
      <c r="O184" s="94"/>
    </row>
    <row r="185" spans="1:15" s="59" customFormat="1" x14ac:dyDescent="0.35">
      <c r="A185" s="92"/>
      <c r="B185" s="92"/>
      <c r="C185" s="92"/>
      <c r="D185" s="92"/>
      <c r="E185" s="94"/>
      <c r="F185" s="94"/>
      <c r="G185" s="94"/>
      <c r="H185" s="94"/>
      <c r="I185" s="94"/>
      <c r="J185" s="94"/>
      <c r="K185" s="94"/>
      <c r="L185" s="94"/>
      <c r="M185" s="95"/>
      <c r="N185" s="94"/>
      <c r="O185" s="94"/>
    </row>
    <row r="186" spans="1:15" s="59" customFormat="1" x14ac:dyDescent="0.35">
      <c r="A186" s="92"/>
      <c r="B186" s="92"/>
      <c r="C186" s="92"/>
      <c r="D186" s="92"/>
      <c r="E186" s="94"/>
      <c r="F186" s="94"/>
      <c r="G186" s="94"/>
      <c r="H186" s="94"/>
      <c r="I186" s="94"/>
      <c r="J186" s="94"/>
      <c r="K186" s="94"/>
      <c r="L186" s="94"/>
      <c r="M186" s="95"/>
      <c r="N186" s="94"/>
      <c r="O186" s="94"/>
    </row>
    <row r="187" spans="1:15" s="59" customFormat="1" x14ac:dyDescent="0.35">
      <c r="A187" s="92"/>
      <c r="B187" s="92"/>
      <c r="C187" s="92"/>
      <c r="D187" s="92"/>
      <c r="E187" s="94"/>
      <c r="F187" s="94"/>
      <c r="G187" s="94"/>
      <c r="H187" s="94"/>
      <c r="I187" s="94"/>
      <c r="J187" s="94"/>
      <c r="K187" s="94"/>
      <c r="L187" s="94"/>
      <c r="M187" s="95"/>
      <c r="N187" s="94"/>
      <c r="O187" s="94"/>
    </row>
    <row r="188" spans="1:15" s="59" customFormat="1" x14ac:dyDescent="0.35">
      <c r="A188" s="92"/>
      <c r="B188" s="92"/>
      <c r="C188" s="92"/>
      <c r="D188" s="92"/>
      <c r="E188" s="94"/>
      <c r="F188" s="94"/>
      <c r="G188" s="94"/>
      <c r="H188" s="94"/>
      <c r="I188" s="94"/>
      <c r="J188" s="94"/>
      <c r="K188" s="94"/>
      <c r="L188" s="94"/>
      <c r="M188" s="95"/>
      <c r="N188" s="94"/>
      <c r="O188" s="94"/>
    </row>
    <row r="189" spans="1:15" s="59" customFormat="1" x14ac:dyDescent="0.35">
      <c r="A189" s="92"/>
      <c r="B189" s="92"/>
      <c r="C189" s="92"/>
      <c r="D189" s="92"/>
      <c r="E189" s="94"/>
      <c r="F189" s="93"/>
      <c r="G189" s="94"/>
      <c r="H189" s="94"/>
      <c r="I189" s="94"/>
      <c r="J189" s="93"/>
      <c r="K189" s="94"/>
      <c r="L189" s="94"/>
      <c r="M189" s="95"/>
      <c r="N189" s="94"/>
      <c r="O189" s="94"/>
    </row>
    <row r="190" spans="1:15" s="59" customFormat="1" x14ac:dyDescent="0.35">
      <c r="A190" s="92"/>
      <c r="B190" s="92"/>
      <c r="C190" s="92"/>
      <c r="D190" s="92"/>
      <c r="E190" s="94"/>
      <c r="F190" s="94"/>
      <c r="G190" s="94"/>
      <c r="H190" s="94"/>
      <c r="I190" s="94"/>
      <c r="J190" s="94"/>
      <c r="K190" s="94"/>
      <c r="L190" s="94"/>
      <c r="M190" s="95"/>
      <c r="N190" s="94"/>
      <c r="O190" s="94"/>
    </row>
    <row r="191" spans="1:15" s="59" customFormat="1" x14ac:dyDescent="0.35">
      <c r="A191" s="92"/>
      <c r="B191" s="92"/>
      <c r="C191" s="92"/>
      <c r="D191" s="92"/>
      <c r="E191" s="93"/>
      <c r="F191" s="94"/>
      <c r="G191" s="94"/>
      <c r="H191" s="94"/>
      <c r="I191" s="93"/>
      <c r="J191" s="94"/>
      <c r="K191" s="94"/>
      <c r="L191" s="93"/>
      <c r="M191" s="95"/>
      <c r="N191" s="94"/>
      <c r="O191" s="94"/>
    </row>
    <row r="192" spans="1:15" s="59" customFormat="1" x14ac:dyDescent="0.35">
      <c r="A192" s="92"/>
      <c r="B192" s="92"/>
      <c r="C192" s="92"/>
      <c r="D192" s="92"/>
      <c r="E192" s="94"/>
      <c r="F192" s="94"/>
      <c r="G192" s="94"/>
      <c r="H192" s="94"/>
      <c r="I192" s="94"/>
      <c r="J192" s="94"/>
      <c r="K192" s="94"/>
      <c r="L192" s="94"/>
      <c r="M192" s="95"/>
      <c r="N192" s="94"/>
      <c r="O192" s="94"/>
    </row>
    <row r="193" spans="1:15" s="59" customFormat="1" x14ac:dyDescent="0.35">
      <c r="A193" s="92"/>
      <c r="B193" s="92"/>
      <c r="C193" s="92"/>
      <c r="D193" s="92"/>
      <c r="E193" s="93"/>
      <c r="F193" s="94"/>
      <c r="G193" s="99"/>
      <c r="H193" s="94"/>
      <c r="I193" s="94"/>
      <c r="J193" s="94"/>
      <c r="K193" s="93"/>
      <c r="L193" s="93"/>
      <c r="M193" s="95"/>
      <c r="N193" s="99"/>
      <c r="O193" s="99"/>
    </row>
    <row r="194" spans="1:15" s="59" customFormat="1" x14ac:dyDescent="0.35">
      <c r="A194" s="92"/>
      <c r="B194" s="92"/>
      <c r="C194" s="92"/>
      <c r="D194" s="92"/>
      <c r="E194" s="94"/>
      <c r="F194" s="94"/>
      <c r="G194" s="94"/>
      <c r="H194" s="94"/>
      <c r="I194" s="94"/>
      <c r="J194" s="94"/>
      <c r="K194" s="94"/>
      <c r="L194" s="94"/>
      <c r="M194" s="95"/>
      <c r="N194" s="94"/>
      <c r="O194" s="94"/>
    </row>
    <row r="195" spans="1:15" x14ac:dyDescent="0.35">
      <c r="A195" s="92"/>
      <c r="B195" s="92"/>
      <c r="C195" s="92"/>
      <c r="D195" s="92"/>
      <c r="E195" s="94"/>
      <c r="F195" s="94"/>
      <c r="G195" s="94"/>
      <c r="H195" s="94"/>
      <c r="I195" s="94"/>
      <c r="J195" s="94"/>
      <c r="K195" s="94"/>
      <c r="L195" s="94"/>
      <c r="M195" s="95"/>
      <c r="N195" s="94"/>
      <c r="O195" s="94"/>
    </row>
    <row r="196" spans="1:15" x14ac:dyDescent="0.35">
      <c r="A196" s="92"/>
      <c r="B196" s="92"/>
      <c r="C196" s="92"/>
      <c r="D196" s="92"/>
      <c r="E196" s="94"/>
      <c r="F196" s="94"/>
      <c r="G196" s="94"/>
      <c r="H196" s="94"/>
      <c r="I196" s="94"/>
      <c r="J196" s="94"/>
      <c r="K196" s="94"/>
      <c r="L196" s="94"/>
      <c r="M196" s="95"/>
      <c r="N196" s="94"/>
      <c r="O196" s="94"/>
    </row>
    <row r="197" spans="1:15" x14ac:dyDescent="0.35">
      <c r="A197" s="92"/>
      <c r="B197" s="92"/>
      <c r="C197" s="92"/>
      <c r="D197" s="92"/>
      <c r="E197" s="94"/>
      <c r="F197" s="94"/>
      <c r="G197" s="94"/>
      <c r="H197" s="94"/>
      <c r="I197" s="94"/>
      <c r="J197" s="94"/>
      <c r="K197" s="94"/>
      <c r="L197" s="94"/>
      <c r="M197" s="95"/>
      <c r="N197" s="94"/>
      <c r="O197" s="94"/>
    </row>
    <row r="198" spans="1:15" x14ac:dyDescent="0.35">
      <c r="A198" s="92"/>
      <c r="B198" s="92"/>
      <c r="C198" s="92"/>
      <c r="D198" s="92"/>
      <c r="E198" s="94"/>
      <c r="F198" s="94"/>
      <c r="G198" s="94"/>
      <c r="H198" s="94"/>
      <c r="I198" s="94"/>
      <c r="J198" s="94"/>
      <c r="K198" s="94"/>
      <c r="L198" s="94"/>
      <c r="M198" s="95"/>
      <c r="N198" s="94"/>
      <c r="O198" s="94"/>
    </row>
  </sheetData>
  <autoFilter ref="B2:B198"/>
  <sortState ref="A6:N141">
    <sortCondition ref="A6"/>
  </sortState>
  <mergeCells count="8">
    <mergeCell ref="M2:N2"/>
    <mergeCell ref="A3:N3"/>
    <mergeCell ref="A1:B1"/>
    <mergeCell ref="E4:F4"/>
    <mergeCell ref="G4:H4"/>
    <mergeCell ref="K4:L4"/>
    <mergeCell ref="M4:N4"/>
    <mergeCell ref="I4:J4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91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J6" sqref="J6"/>
    </sheetView>
  </sheetViews>
  <sheetFormatPr defaultRowHeight="14.5" x14ac:dyDescent="0.35"/>
  <cols>
    <col min="1" max="1" width="4.54296875" customWidth="1"/>
    <col min="2" max="2" width="31.1796875" customWidth="1"/>
    <col min="3" max="3" width="23" customWidth="1"/>
    <col min="4" max="4" width="9.1796875" customWidth="1"/>
    <col min="5" max="5" width="9.1796875" style="133" customWidth="1"/>
    <col min="6" max="6" width="10.26953125" style="133" customWidth="1"/>
    <col min="7" max="8" width="9.1796875" style="3"/>
    <col min="9" max="9" width="8.7265625" style="80"/>
  </cols>
  <sheetData>
    <row r="1" spans="1:10" s="70" customFormat="1" x14ac:dyDescent="0.35">
      <c r="A1" s="151" t="s">
        <v>287</v>
      </c>
      <c r="B1" s="151"/>
      <c r="E1" s="133"/>
      <c r="F1" s="133"/>
      <c r="G1" s="71"/>
      <c r="H1" s="71"/>
      <c r="I1" s="80"/>
    </row>
    <row r="2" spans="1:10" s="58" customFormat="1" ht="15" customHeight="1" x14ac:dyDescent="0.35">
      <c r="B2" s="65" t="s">
        <v>290</v>
      </c>
      <c r="D2" s="66"/>
      <c r="E2" s="134"/>
      <c r="F2" s="134"/>
      <c r="G2" s="82"/>
      <c r="H2" s="69" t="s">
        <v>288</v>
      </c>
      <c r="I2" s="80"/>
      <c r="J2" s="66"/>
    </row>
    <row r="3" spans="1:10" x14ac:dyDescent="0.35">
      <c r="A3" s="166" t="s">
        <v>247</v>
      </c>
      <c r="B3" s="167"/>
      <c r="C3" s="167"/>
      <c r="D3" s="167"/>
      <c r="E3" s="167"/>
      <c r="F3" s="167"/>
      <c r="G3" s="167"/>
      <c r="H3" s="167"/>
      <c r="I3" s="138"/>
      <c r="J3" s="70"/>
    </row>
    <row r="4" spans="1:10" x14ac:dyDescent="0.35">
      <c r="A4" s="2"/>
      <c r="B4" s="2"/>
      <c r="C4" s="2"/>
      <c r="D4" s="2"/>
      <c r="E4" s="154" t="s">
        <v>248</v>
      </c>
      <c r="F4" s="154"/>
      <c r="G4" s="154" t="s">
        <v>249</v>
      </c>
      <c r="H4" s="154"/>
      <c r="I4" s="147" t="s">
        <v>291</v>
      </c>
    </row>
    <row r="5" spans="1:10" ht="58" x14ac:dyDescent="0.35">
      <c r="A5" s="67" t="s">
        <v>5</v>
      </c>
      <c r="B5" s="67" t="s">
        <v>6</v>
      </c>
      <c r="C5" s="67" t="s">
        <v>7</v>
      </c>
      <c r="D5" s="67" t="s">
        <v>8</v>
      </c>
      <c r="E5" s="77" t="s">
        <v>250</v>
      </c>
      <c r="F5" s="77" t="s">
        <v>251</v>
      </c>
      <c r="G5" s="68" t="s">
        <v>252</v>
      </c>
      <c r="H5" s="68" t="s">
        <v>242</v>
      </c>
      <c r="I5" s="77" t="s">
        <v>301</v>
      </c>
      <c r="J5" s="47"/>
    </row>
    <row r="6" spans="1:10" x14ac:dyDescent="0.35">
      <c r="A6" s="90">
        <v>1</v>
      </c>
      <c r="B6" s="116" t="s">
        <v>13</v>
      </c>
      <c r="C6" s="116" t="s">
        <v>14</v>
      </c>
      <c r="D6" s="116" t="s">
        <v>15</v>
      </c>
      <c r="E6" s="125">
        <v>16.8</v>
      </c>
      <c r="F6" s="125"/>
      <c r="G6" s="125"/>
      <c r="H6" s="125"/>
      <c r="I6" s="125"/>
    </row>
    <row r="7" spans="1:10" x14ac:dyDescent="0.35">
      <c r="A7" s="90">
        <v>2</v>
      </c>
      <c r="B7" s="116" t="s">
        <v>13</v>
      </c>
      <c r="C7" s="116" t="s">
        <v>16</v>
      </c>
      <c r="D7" s="116" t="s">
        <v>15</v>
      </c>
      <c r="E7" s="125"/>
      <c r="F7" s="125"/>
      <c r="G7" s="125"/>
      <c r="H7" s="125"/>
      <c r="I7" s="125"/>
    </row>
    <row r="8" spans="1:10" x14ac:dyDescent="0.35">
      <c r="A8" s="90">
        <v>3</v>
      </c>
      <c r="B8" s="116" t="s">
        <v>17</v>
      </c>
      <c r="C8" s="117" t="s">
        <v>18</v>
      </c>
      <c r="D8" s="117" t="s">
        <v>19</v>
      </c>
      <c r="E8" s="125"/>
      <c r="F8" s="125"/>
      <c r="G8" s="125">
        <v>29.95</v>
      </c>
      <c r="H8" s="125">
        <v>24.99</v>
      </c>
      <c r="I8" s="125">
        <v>27</v>
      </c>
    </row>
    <row r="9" spans="1:10" x14ac:dyDescent="0.35">
      <c r="A9" s="90">
        <v>4</v>
      </c>
      <c r="B9" s="116" t="s">
        <v>20</v>
      </c>
      <c r="C9" s="117" t="s">
        <v>18</v>
      </c>
      <c r="D9" s="117" t="s">
        <v>19</v>
      </c>
      <c r="E9" s="125"/>
      <c r="F9" s="125"/>
      <c r="G9" s="125">
        <v>29.95</v>
      </c>
      <c r="H9" s="125"/>
      <c r="I9" s="125">
        <v>26</v>
      </c>
    </row>
    <row r="10" spans="1:10" x14ac:dyDescent="0.35">
      <c r="A10" s="90">
        <v>5</v>
      </c>
      <c r="B10" s="116" t="s">
        <v>21</v>
      </c>
      <c r="C10" s="117" t="s">
        <v>18</v>
      </c>
      <c r="D10" s="117" t="s">
        <v>19</v>
      </c>
      <c r="E10" s="125"/>
      <c r="F10" s="125"/>
      <c r="G10" s="125">
        <v>20.95</v>
      </c>
      <c r="H10" s="125">
        <v>16.989999999999998</v>
      </c>
      <c r="I10" s="125">
        <v>21</v>
      </c>
    </row>
    <row r="11" spans="1:10" x14ac:dyDescent="0.35">
      <c r="A11" s="90">
        <v>6</v>
      </c>
      <c r="B11" s="116" t="s">
        <v>22</v>
      </c>
      <c r="C11" s="117" t="s">
        <v>18</v>
      </c>
      <c r="D11" s="117" t="s">
        <v>19</v>
      </c>
      <c r="E11" s="125"/>
      <c r="F11" s="125"/>
      <c r="G11" s="125">
        <v>33.950000000000003</v>
      </c>
      <c r="H11" s="125">
        <v>25.99</v>
      </c>
      <c r="I11" s="125">
        <v>29</v>
      </c>
    </row>
    <row r="12" spans="1:10" x14ac:dyDescent="0.35">
      <c r="A12" s="90">
        <v>7</v>
      </c>
      <c r="B12" s="116" t="s">
        <v>23</v>
      </c>
      <c r="C12" s="117" t="s">
        <v>18</v>
      </c>
      <c r="D12" s="117" t="s">
        <v>19</v>
      </c>
      <c r="E12" s="125"/>
      <c r="F12" s="125"/>
      <c r="G12" s="125">
        <v>51.95</v>
      </c>
      <c r="H12" s="125"/>
      <c r="I12" s="125">
        <v>43</v>
      </c>
    </row>
    <row r="13" spans="1:10" s="58" customFormat="1" x14ac:dyDescent="0.35">
      <c r="A13" s="90">
        <v>8</v>
      </c>
      <c r="B13" s="116" t="s">
        <v>24</v>
      </c>
      <c r="C13" s="117"/>
      <c r="D13" s="117" t="s">
        <v>15</v>
      </c>
      <c r="E13" s="125"/>
      <c r="F13" s="125">
        <v>20.95</v>
      </c>
      <c r="G13" s="125"/>
      <c r="H13" s="125">
        <v>15.02</v>
      </c>
      <c r="I13" s="125">
        <v>27.73</v>
      </c>
    </row>
    <row r="14" spans="1:10" s="58" customFormat="1" x14ac:dyDescent="0.35">
      <c r="A14" s="90">
        <v>9</v>
      </c>
      <c r="B14" s="116" t="s">
        <v>25</v>
      </c>
      <c r="C14" s="117"/>
      <c r="D14" s="117" t="s">
        <v>15</v>
      </c>
      <c r="E14" s="125">
        <v>29.98</v>
      </c>
      <c r="F14" s="125">
        <v>29.9</v>
      </c>
      <c r="G14" s="125">
        <v>33</v>
      </c>
      <c r="H14" s="125"/>
      <c r="I14" s="125"/>
    </row>
    <row r="15" spans="1:10" s="58" customFormat="1" x14ac:dyDescent="0.35">
      <c r="A15" s="90">
        <v>10</v>
      </c>
      <c r="B15" s="116" t="s">
        <v>26</v>
      </c>
      <c r="C15" s="117"/>
      <c r="D15" s="117" t="s">
        <v>15</v>
      </c>
      <c r="E15" s="125"/>
      <c r="F15" s="125">
        <v>28.35</v>
      </c>
      <c r="G15" s="125"/>
      <c r="H15" s="125">
        <v>30.99</v>
      </c>
      <c r="I15" s="125"/>
    </row>
    <row r="16" spans="1:10" s="58" customFormat="1" x14ac:dyDescent="0.35">
      <c r="A16" s="90">
        <v>11</v>
      </c>
      <c r="B16" s="116" t="s">
        <v>27</v>
      </c>
      <c r="C16" s="117" t="s">
        <v>28</v>
      </c>
      <c r="D16" s="117" t="s">
        <v>29</v>
      </c>
      <c r="E16" s="125"/>
      <c r="F16" s="125">
        <v>15.05</v>
      </c>
      <c r="G16" s="125">
        <v>15.99</v>
      </c>
      <c r="H16" s="125">
        <v>17.989999999999998</v>
      </c>
      <c r="I16" s="125"/>
    </row>
    <row r="17" spans="1:9" x14ac:dyDescent="0.35">
      <c r="A17" s="90">
        <v>12</v>
      </c>
      <c r="B17" s="124" t="s">
        <v>306</v>
      </c>
      <c r="C17" s="117" t="s">
        <v>31</v>
      </c>
      <c r="D17" s="117" t="s">
        <v>15</v>
      </c>
      <c r="E17" s="125">
        <v>27.25</v>
      </c>
      <c r="F17" s="125">
        <v>27.2</v>
      </c>
      <c r="G17" s="125"/>
      <c r="H17" s="125"/>
      <c r="I17" s="125">
        <v>27.27</v>
      </c>
    </row>
    <row r="18" spans="1:9" x14ac:dyDescent="0.35">
      <c r="A18" s="90">
        <v>13</v>
      </c>
      <c r="B18" s="124" t="s">
        <v>307</v>
      </c>
      <c r="C18" s="117" t="s">
        <v>32</v>
      </c>
      <c r="D18" s="117" t="s">
        <v>15</v>
      </c>
      <c r="E18" s="125"/>
      <c r="F18" s="125"/>
      <c r="G18" s="125">
        <v>36.450000000000003</v>
      </c>
      <c r="H18" s="125">
        <v>39.99</v>
      </c>
      <c r="I18" s="125"/>
    </row>
    <row r="19" spans="1:9" x14ac:dyDescent="0.35">
      <c r="A19" s="90">
        <v>14</v>
      </c>
      <c r="B19" s="124" t="s">
        <v>304</v>
      </c>
      <c r="C19" s="117" t="s">
        <v>31</v>
      </c>
      <c r="D19" s="117" t="s">
        <v>15</v>
      </c>
      <c r="E19" s="125"/>
      <c r="F19" s="125"/>
      <c r="G19" s="125"/>
      <c r="H19" s="125"/>
      <c r="I19" s="125"/>
    </row>
    <row r="20" spans="1:9" x14ac:dyDescent="0.35">
      <c r="A20" s="90">
        <v>15</v>
      </c>
      <c r="B20" s="124" t="s">
        <v>305</v>
      </c>
      <c r="C20" s="117" t="s">
        <v>32</v>
      </c>
      <c r="D20" s="117" t="s">
        <v>15</v>
      </c>
      <c r="E20" s="125"/>
      <c r="F20" s="125"/>
      <c r="G20" s="125">
        <v>33.450000000000003</v>
      </c>
      <c r="H20" s="125">
        <v>35.99</v>
      </c>
      <c r="I20" s="125"/>
    </row>
    <row r="21" spans="1:9" x14ac:dyDescent="0.35">
      <c r="A21" s="90">
        <v>16</v>
      </c>
      <c r="B21" s="116" t="s">
        <v>34</v>
      </c>
      <c r="C21" s="117"/>
      <c r="D21" s="117" t="s">
        <v>15</v>
      </c>
      <c r="E21" s="125">
        <v>24.52</v>
      </c>
      <c r="F21" s="125">
        <v>21.95</v>
      </c>
      <c r="G21" s="125">
        <v>30.95</v>
      </c>
      <c r="H21" s="125">
        <v>25.99</v>
      </c>
      <c r="I21" s="125">
        <v>20.45</v>
      </c>
    </row>
    <row r="22" spans="1:9" x14ac:dyDescent="0.35">
      <c r="A22" s="90">
        <v>17</v>
      </c>
      <c r="B22" s="116" t="s">
        <v>35</v>
      </c>
      <c r="C22" s="117" t="s">
        <v>36</v>
      </c>
      <c r="D22" s="117" t="s">
        <v>15</v>
      </c>
      <c r="E22" s="125"/>
      <c r="F22" s="125">
        <v>55.95</v>
      </c>
      <c r="G22" s="125">
        <v>58.45</v>
      </c>
      <c r="H22" s="125">
        <v>63.99</v>
      </c>
      <c r="I22" s="125"/>
    </row>
    <row r="23" spans="1:9" x14ac:dyDescent="0.35">
      <c r="A23" s="90">
        <v>18</v>
      </c>
      <c r="B23" s="116" t="s">
        <v>37</v>
      </c>
      <c r="C23" s="117"/>
      <c r="D23" s="117" t="s">
        <v>15</v>
      </c>
      <c r="E23" s="125">
        <v>34.950000000000003</v>
      </c>
      <c r="F23" s="125">
        <v>29.95</v>
      </c>
      <c r="G23" s="125">
        <v>36.5</v>
      </c>
      <c r="H23" s="125">
        <v>28.99</v>
      </c>
      <c r="I23" s="125">
        <v>30</v>
      </c>
    </row>
    <row r="24" spans="1:9" x14ac:dyDescent="0.35">
      <c r="A24" s="90">
        <v>19</v>
      </c>
      <c r="B24" s="116" t="s">
        <v>38</v>
      </c>
      <c r="C24" s="117" t="s">
        <v>39</v>
      </c>
      <c r="D24" s="117" t="s">
        <v>40</v>
      </c>
      <c r="E24" s="125">
        <v>16.95</v>
      </c>
      <c r="F24" s="125">
        <v>16.95</v>
      </c>
      <c r="G24" s="125">
        <v>16.95</v>
      </c>
      <c r="H24" s="125">
        <v>18.489999999999998</v>
      </c>
      <c r="I24" s="125">
        <v>16.95</v>
      </c>
    </row>
    <row r="25" spans="1:9" x14ac:dyDescent="0.35">
      <c r="A25" s="90">
        <v>20</v>
      </c>
      <c r="B25" s="116" t="s">
        <v>38</v>
      </c>
      <c r="C25" s="117" t="s">
        <v>41</v>
      </c>
      <c r="D25" s="117" t="s">
        <v>40</v>
      </c>
      <c r="E25" s="125">
        <v>9.9499999999999993</v>
      </c>
      <c r="F25" s="125">
        <v>9.5</v>
      </c>
      <c r="G25" s="125">
        <v>9.9499999999999993</v>
      </c>
      <c r="H25" s="125">
        <v>10.99</v>
      </c>
      <c r="I25" s="125">
        <v>9.5</v>
      </c>
    </row>
    <row r="26" spans="1:9" x14ac:dyDescent="0.35">
      <c r="A26" s="90">
        <v>21</v>
      </c>
      <c r="B26" s="116" t="s">
        <v>42</v>
      </c>
      <c r="C26" s="117" t="s">
        <v>43</v>
      </c>
      <c r="D26" s="117" t="s">
        <v>40</v>
      </c>
      <c r="E26" s="125">
        <v>10.95</v>
      </c>
      <c r="F26" s="125">
        <v>13.25</v>
      </c>
      <c r="G26" s="125">
        <v>12.95</v>
      </c>
      <c r="H26" s="125">
        <v>14.99</v>
      </c>
      <c r="I26" s="125">
        <v>11.5</v>
      </c>
    </row>
    <row r="27" spans="1:9" x14ac:dyDescent="0.35">
      <c r="A27" s="90">
        <v>22</v>
      </c>
      <c r="B27" s="116" t="s">
        <v>42</v>
      </c>
      <c r="C27" s="117" t="s">
        <v>44</v>
      </c>
      <c r="D27" s="117" t="s">
        <v>45</v>
      </c>
      <c r="E27" s="125">
        <v>35.950000000000003</v>
      </c>
      <c r="F27" s="125"/>
      <c r="G27" s="125">
        <v>35.950000000000003</v>
      </c>
      <c r="H27" s="125">
        <v>38.99</v>
      </c>
      <c r="I27" s="125"/>
    </row>
    <row r="28" spans="1:9" x14ac:dyDescent="0.35">
      <c r="A28" s="90">
        <v>23</v>
      </c>
      <c r="B28" s="116" t="s">
        <v>46</v>
      </c>
      <c r="C28" s="117" t="s">
        <v>47</v>
      </c>
      <c r="D28" s="117" t="s">
        <v>48</v>
      </c>
      <c r="E28" s="125">
        <v>24.95</v>
      </c>
      <c r="F28" s="125">
        <v>22.5</v>
      </c>
      <c r="G28" s="125">
        <v>23.95</v>
      </c>
      <c r="H28" s="125">
        <v>23.99</v>
      </c>
      <c r="I28" s="125">
        <v>25</v>
      </c>
    </row>
    <row r="29" spans="1:9" x14ac:dyDescent="0.35">
      <c r="A29" s="90">
        <v>24</v>
      </c>
      <c r="B29" s="116" t="s">
        <v>49</v>
      </c>
      <c r="C29" s="117" t="s">
        <v>50</v>
      </c>
      <c r="D29" s="117" t="s">
        <v>51</v>
      </c>
      <c r="E29" s="125">
        <v>15.95</v>
      </c>
      <c r="F29" s="125">
        <v>15.75</v>
      </c>
      <c r="G29" s="125">
        <v>15.95</v>
      </c>
      <c r="H29" s="125">
        <v>16.989999999999998</v>
      </c>
      <c r="I29" s="125">
        <v>17.5</v>
      </c>
    </row>
    <row r="30" spans="1:9" x14ac:dyDescent="0.35">
      <c r="A30" s="90">
        <v>25</v>
      </c>
      <c r="B30" s="116" t="s">
        <v>52</v>
      </c>
      <c r="C30" s="117" t="s">
        <v>53</v>
      </c>
      <c r="D30" s="117" t="s">
        <v>51</v>
      </c>
      <c r="E30" s="125">
        <v>15.95</v>
      </c>
      <c r="F30" s="125">
        <v>15.5</v>
      </c>
      <c r="G30" s="125">
        <v>16</v>
      </c>
      <c r="H30" s="125">
        <v>16.989999999999998</v>
      </c>
      <c r="I30" s="125">
        <v>16.95</v>
      </c>
    </row>
    <row r="31" spans="1:9" x14ac:dyDescent="0.35">
      <c r="A31" s="90">
        <v>26</v>
      </c>
      <c r="B31" s="116" t="s">
        <v>54</v>
      </c>
      <c r="C31" s="117" t="s">
        <v>55</v>
      </c>
      <c r="D31" s="117" t="s">
        <v>56</v>
      </c>
      <c r="E31" s="125">
        <v>52.95</v>
      </c>
      <c r="F31" s="125">
        <v>52.95</v>
      </c>
      <c r="G31" s="125">
        <v>52.95</v>
      </c>
      <c r="H31" s="125">
        <v>52.99</v>
      </c>
      <c r="I31" s="125">
        <v>52.95</v>
      </c>
    </row>
    <row r="32" spans="1:9" x14ac:dyDescent="0.35">
      <c r="A32" s="90">
        <v>27</v>
      </c>
      <c r="B32" s="116" t="s">
        <v>54</v>
      </c>
      <c r="C32" s="117" t="s">
        <v>55</v>
      </c>
      <c r="D32" s="117" t="s">
        <v>57</v>
      </c>
      <c r="E32" s="125">
        <v>16.5</v>
      </c>
      <c r="F32" s="125">
        <v>16.5</v>
      </c>
      <c r="G32" s="125">
        <v>16.5</v>
      </c>
      <c r="H32" s="125">
        <v>16.5</v>
      </c>
      <c r="I32" s="125">
        <v>16.5</v>
      </c>
    </row>
    <row r="33" spans="1:9" x14ac:dyDescent="0.35">
      <c r="A33" s="90">
        <v>28</v>
      </c>
      <c r="B33" s="116" t="s">
        <v>58</v>
      </c>
      <c r="C33" s="117" t="s">
        <v>55</v>
      </c>
      <c r="D33" s="117" t="s">
        <v>56</v>
      </c>
      <c r="E33" s="125">
        <v>57.95</v>
      </c>
      <c r="F33" s="125"/>
      <c r="G33" s="125">
        <v>57.95</v>
      </c>
      <c r="H33" s="125">
        <v>57.99</v>
      </c>
      <c r="I33" s="125"/>
    </row>
    <row r="34" spans="1:9" x14ac:dyDescent="0.35">
      <c r="A34" s="90">
        <v>29</v>
      </c>
      <c r="B34" s="116" t="s">
        <v>58</v>
      </c>
      <c r="C34" s="117" t="s">
        <v>55</v>
      </c>
      <c r="D34" s="117" t="s">
        <v>59</v>
      </c>
      <c r="E34" s="125">
        <v>30.95</v>
      </c>
      <c r="F34" s="125"/>
      <c r="G34" s="125">
        <v>30.95</v>
      </c>
      <c r="H34" s="125">
        <v>30.99</v>
      </c>
      <c r="I34" s="125">
        <v>30.95</v>
      </c>
    </row>
    <row r="35" spans="1:9" x14ac:dyDescent="0.35">
      <c r="A35" s="90">
        <v>30</v>
      </c>
      <c r="B35" s="116" t="s">
        <v>60</v>
      </c>
      <c r="C35" s="117" t="s">
        <v>61</v>
      </c>
      <c r="D35" s="117" t="s">
        <v>62</v>
      </c>
      <c r="E35" s="125">
        <v>10.95</v>
      </c>
      <c r="F35" s="125">
        <v>10.95</v>
      </c>
      <c r="G35" s="125"/>
      <c r="H35" s="125">
        <v>11.99</v>
      </c>
      <c r="I35" s="125"/>
    </row>
    <row r="36" spans="1:9" x14ac:dyDescent="0.35">
      <c r="A36" s="90">
        <v>31</v>
      </c>
      <c r="B36" s="116" t="s">
        <v>63</v>
      </c>
      <c r="C36" s="117" t="s">
        <v>64</v>
      </c>
      <c r="D36" s="117" t="s">
        <v>65</v>
      </c>
      <c r="E36" s="125">
        <v>7.25</v>
      </c>
      <c r="F36" s="125">
        <v>6.75</v>
      </c>
      <c r="G36" s="125">
        <v>6.75</v>
      </c>
      <c r="H36" s="125">
        <v>6.99</v>
      </c>
      <c r="I36" s="125"/>
    </row>
    <row r="37" spans="1:9" x14ac:dyDescent="0.35">
      <c r="A37" s="90">
        <v>32</v>
      </c>
      <c r="B37" s="116" t="s">
        <v>66</v>
      </c>
      <c r="C37" s="117" t="s">
        <v>50</v>
      </c>
      <c r="D37" s="117" t="s">
        <v>67</v>
      </c>
      <c r="E37" s="125">
        <v>11.95</v>
      </c>
      <c r="F37" s="125"/>
      <c r="G37" s="125"/>
      <c r="H37" s="125">
        <v>12.99</v>
      </c>
      <c r="I37" s="125">
        <v>11.95</v>
      </c>
    </row>
    <row r="38" spans="1:9" x14ac:dyDescent="0.35">
      <c r="A38" s="90">
        <v>33</v>
      </c>
      <c r="B38" s="116" t="s">
        <v>66</v>
      </c>
      <c r="C38" s="117" t="s">
        <v>68</v>
      </c>
      <c r="D38" s="117" t="s">
        <v>67</v>
      </c>
      <c r="E38" s="125">
        <v>10.95</v>
      </c>
      <c r="F38" s="125"/>
      <c r="G38" s="125">
        <v>9.9499999999999993</v>
      </c>
      <c r="H38" s="125">
        <v>11.99</v>
      </c>
      <c r="I38" s="125">
        <v>10.95</v>
      </c>
    </row>
    <row r="39" spans="1:9" x14ac:dyDescent="0.35">
      <c r="A39" s="90">
        <v>35</v>
      </c>
      <c r="B39" s="116" t="s">
        <v>69</v>
      </c>
      <c r="C39" s="117" t="s">
        <v>70</v>
      </c>
      <c r="D39" s="117" t="s">
        <v>59</v>
      </c>
      <c r="E39" s="125">
        <v>6.95</v>
      </c>
      <c r="F39" s="125">
        <v>6.95</v>
      </c>
      <c r="G39" s="125">
        <v>5.95</v>
      </c>
      <c r="H39" s="125">
        <v>7.49</v>
      </c>
      <c r="I39" s="125">
        <v>6.95</v>
      </c>
    </row>
    <row r="40" spans="1:9" x14ac:dyDescent="0.35">
      <c r="A40" s="90">
        <v>36</v>
      </c>
      <c r="B40" s="116" t="s">
        <v>71</v>
      </c>
      <c r="C40" s="117" t="s">
        <v>70</v>
      </c>
      <c r="D40" s="117" t="s">
        <v>59</v>
      </c>
      <c r="E40" s="125">
        <v>7.95</v>
      </c>
      <c r="F40" s="125">
        <v>7.95</v>
      </c>
      <c r="G40" s="125">
        <v>7.95</v>
      </c>
      <c r="H40" s="125"/>
      <c r="I40" s="125">
        <v>7.95</v>
      </c>
    </row>
    <row r="41" spans="1:9" x14ac:dyDescent="0.35">
      <c r="A41" s="90">
        <v>37</v>
      </c>
      <c r="B41" s="116" t="s">
        <v>72</v>
      </c>
      <c r="C41" s="117" t="s">
        <v>73</v>
      </c>
      <c r="D41" s="117" t="s">
        <v>15</v>
      </c>
      <c r="E41" s="125">
        <v>10.95</v>
      </c>
      <c r="F41" s="125">
        <v>11.95</v>
      </c>
      <c r="G41" s="125">
        <v>10.45</v>
      </c>
      <c r="H41" s="125">
        <v>10.99</v>
      </c>
      <c r="I41" s="125">
        <v>10.5</v>
      </c>
    </row>
    <row r="42" spans="1:9" x14ac:dyDescent="0.35">
      <c r="A42" s="90">
        <v>38</v>
      </c>
      <c r="B42" s="116" t="s">
        <v>74</v>
      </c>
      <c r="C42" s="117" t="s">
        <v>75</v>
      </c>
      <c r="D42" s="117" t="s">
        <v>76</v>
      </c>
      <c r="E42" s="125">
        <v>20.95</v>
      </c>
      <c r="F42" s="125">
        <v>19.25</v>
      </c>
      <c r="G42" s="125">
        <v>19.5</v>
      </c>
      <c r="H42" s="125">
        <v>19.95</v>
      </c>
      <c r="I42" s="125">
        <v>20.95</v>
      </c>
    </row>
    <row r="43" spans="1:9" x14ac:dyDescent="0.35">
      <c r="A43" s="90">
        <v>39</v>
      </c>
      <c r="B43" s="116" t="s">
        <v>77</v>
      </c>
      <c r="C43" s="117" t="s">
        <v>75</v>
      </c>
      <c r="D43" s="117" t="s">
        <v>78</v>
      </c>
      <c r="E43" s="125">
        <v>89.95</v>
      </c>
      <c r="F43" s="125">
        <v>96.5</v>
      </c>
      <c r="G43" s="142">
        <v>87.95</v>
      </c>
      <c r="H43" s="125">
        <v>97.99</v>
      </c>
      <c r="I43" s="125">
        <v>90</v>
      </c>
    </row>
    <row r="44" spans="1:9" x14ac:dyDescent="0.35">
      <c r="A44" s="90">
        <v>40</v>
      </c>
      <c r="B44" s="116" t="s">
        <v>79</v>
      </c>
      <c r="C44" s="117" t="s">
        <v>80</v>
      </c>
      <c r="D44" s="117" t="s">
        <v>81</v>
      </c>
      <c r="E44" s="125">
        <v>24.95</v>
      </c>
      <c r="F44" s="125"/>
      <c r="G44" s="125">
        <v>21.95</v>
      </c>
      <c r="H44" s="125">
        <v>21.99</v>
      </c>
      <c r="I44" s="125">
        <v>26.5</v>
      </c>
    </row>
    <row r="45" spans="1:9" x14ac:dyDescent="0.35">
      <c r="A45" s="90">
        <v>41</v>
      </c>
      <c r="B45" s="116" t="s">
        <v>79</v>
      </c>
      <c r="C45" s="117" t="s">
        <v>286</v>
      </c>
      <c r="D45" s="117" t="s">
        <v>76</v>
      </c>
      <c r="E45" s="125"/>
      <c r="F45" s="125">
        <v>27.5</v>
      </c>
      <c r="G45" s="125"/>
      <c r="H45" s="125">
        <v>27.99</v>
      </c>
      <c r="I45" s="125"/>
    </row>
    <row r="46" spans="1:9" x14ac:dyDescent="0.35">
      <c r="A46" s="90">
        <v>42</v>
      </c>
      <c r="B46" s="116" t="s">
        <v>79</v>
      </c>
      <c r="C46" s="117" t="s">
        <v>286</v>
      </c>
      <c r="D46" s="117" t="s">
        <v>83</v>
      </c>
      <c r="E46" s="125"/>
      <c r="F46" s="125"/>
      <c r="G46" s="125"/>
      <c r="H46" s="125"/>
      <c r="I46" s="125"/>
    </row>
    <row r="47" spans="1:9" x14ac:dyDescent="0.35">
      <c r="A47" s="90">
        <v>43</v>
      </c>
      <c r="B47" s="116" t="s">
        <v>84</v>
      </c>
      <c r="C47" s="117" t="s">
        <v>85</v>
      </c>
      <c r="D47" s="117" t="s">
        <v>86</v>
      </c>
      <c r="E47" s="125"/>
      <c r="F47" s="125">
        <v>8.9499999999999993</v>
      </c>
      <c r="G47" s="125">
        <v>5.95</v>
      </c>
      <c r="H47" s="125">
        <v>5.75</v>
      </c>
      <c r="I47" s="125">
        <v>5.5</v>
      </c>
    </row>
    <row r="48" spans="1:9" x14ac:dyDescent="0.35">
      <c r="A48" s="90">
        <v>44</v>
      </c>
      <c r="B48" s="116" t="s">
        <v>87</v>
      </c>
      <c r="C48" s="117" t="s">
        <v>88</v>
      </c>
      <c r="D48" s="117" t="s">
        <v>89</v>
      </c>
      <c r="E48" s="125">
        <v>10</v>
      </c>
      <c r="F48" s="125">
        <v>9.9499999999999993</v>
      </c>
      <c r="G48" s="125">
        <v>9.9499999999999993</v>
      </c>
      <c r="H48" s="125">
        <v>9.99</v>
      </c>
      <c r="I48" s="125">
        <v>9.5</v>
      </c>
    </row>
    <row r="49" spans="1:9" x14ac:dyDescent="0.35">
      <c r="A49" s="90">
        <v>45</v>
      </c>
      <c r="B49" s="116" t="s">
        <v>90</v>
      </c>
      <c r="C49" s="117" t="s">
        <v>91</v>
      </c>
      <c r="D49" s="117" t="s">
        <v>15</v>
      </c>
      <c r="E49" s="125">
        <v>7.45</v>
      </c>
      <c r="F49" s="125">
        <v>8.65</v>
      </c>
      <c r="G49" s="125">
        <v>7.95</v>
      </c>
      <c r="H49" s="125">
        <v>7.99</v>
      </c>
      <c r="I49" s="125"/>
    </row>
    <row r="50" spans="1:9" x14ac:dyDescent="0.35">
      <c r="A50" s="90">
        <v>46</v>
      </c>
      <c r="B50" s="116" t="s">
        <v>92</v>
      </c>
      <c r="C50" s="117" t="s">
        <v>93</v>
      </c>
      <c r="D50" s="117" t="s">
        <v>94</v>
      </c>
      <c r="E50" s="125">
        <v>14.5</v>
      </c>
      <c r="F50" s="125">
        <v>14.5</v>
      </c>
      <c r="G50" s="125">
        <v>14.5</v>
      </c>
      <c r="H50" s="125">
        <v>14.49</v>
      </c>
      <c r="I50" s="125">
        <v>14.5</v>
      </c>
    </row>
    <row r="51" spans="1:9" x14ac:dyDescent="0.35">
      <c r="A51" s="90">
        <v>47</v>
      </c>
      <c r="B51" s="116" t="s">
        <v>95</v>
      </c>
      <c r="C51" s="117"/>
      <c r="D51" s="117" t="s">
        <v>15</v>
      </c>
      <c r="E51" s="125"/>
      <c r="F51" s="125"/>
      <c r="G51" s="125"/>
      <c r="H51" s="125"/>
      <c r="I51" s="125">
        <v>5.75</v>
      </c>
    </row>
    <row r="52" spans="1:9" x14ac:dyDescent="0.35">
      <c r="A52" s="90">
        <v>48</v>
      </c>
      <c r="B52" s="116" t="s">
        <v>95</v>
      </c>
      <c r="C52" s="117"/>
      <c r="D52" s="117" t="s">
        <v>59</v>
      </c>
      <c r="E52" s="125">
        <v>5.5</v>
      </c>
      <c r="F52" s="125">
        <v>4.5</v>
      </c>
      <c r="G52" s="125">
        <v>5.95</v>
      </c>
      <c r="H52" s="125">
        <v>5.49</v>
      </c>
      <c r="I52" s="125"/>
    </row>
    <row r="53" spans="1:9" x14ac:dyDescent="0.35">
      <c r="A53" s="90">
        <v>49</v>
      </c>
      <c r="B53" s="116" t="s">
        <v>96</v>
      </c>
      <c r="C53" s="117" t="s">
        <v>97</v>
      </c>
      <c r="D53" s="117" t="s">
        <v>15</v>
      </c>
      <c r="E53" s="125"/>
      <c r="F53" s="125"/>
      <c r="G53" s="125"/>
      <c r="H53" s="125"/>
      <c r="I53" s="125">
        <v>9.5</v>
      </c>
    </row>
    <row r="54" spans="1:9" x14ac:dyDescent="0.35">
      <c r="A54" s="90">
        <v>50</v>
      </c>
      <c r="B54" s="116" t="s">
        <v>96</v>
      </c>
      <c r="C54" s="117"/>
      <c r="D54" s="117" t="s">
        <v>59</v>
      </c>
      <c r="E54" s="125">
        <v>10.45</v>
      </c>
      <c r="F54" s="142">
        <v>7.95</v>
      </c>
      <c r="G54" s="125">
        <v>10.5</v>
      </c>
      <c r="H54" s="125">
        <v>9.99</v>
      </c>
      <c r="I54" s="125"/>
    </row>
    <row r="55" spans="1:9" x14ac:dyDescent="0.35">
      <c r="A55" s="90">
        <v>51</v>
      </c>
      <c r="B55" s="116" t="s">
        <v>98</v>
      </c>
      <c r="C55" s="117"/>
      <c r="D55" s="117" t="s">
        <v>15</v>
      </c>
      <c r="E55" s="125"/>
      <c r="F55" s="125">
        <v>8.9499999999999993</v>
      </c>
      <c r="G55" s="125"/>
      <c r="H55" s="125"/>
      <c r="I55" s="125">
        <v>10.5</v>
      </c>
    </row>
    <row r="56" spans="1:9" x14ac:dyDescent="0.35">
      <c r="A56" s="90">
        <v>52</v>
      </c>
      <c r="B56" s="116" t="s">
        <v>98</v>
      </c>
      <c r="C56" s="117"/>
      <c r="D56" s="117" t="s">
        <v>59</v>
      </c>
      <c r="E56" s="125">
        <v>9.4499999999999993</v>
      </c>
      <c r="F56" s="125"/>
      <c r="G56" s="125">
        <v>9.9499999999999993</v>
      </c>
      <c r="H56" s="125">
        <v>9.99</v>
      </c>
      <c r="I56" s="125"/>
    </row>
    <row r="57" spans="1:9" x14ac:dyDescent="0.35">
      <c r="A57" s="90">
        <v>53</v>
      </c>
      <c r="B57" s="116" t="s">
        <v>99</v>
      </c>
      <c r="C57" s="117" t="s">
        <v>47</v>
      </c>
      <c r="D57" s="117" t="s">
        <v>15</v>
      </c>
      <c r="E57" s="125"/>
      <c r="F57" s="125"/>
      <c r="G57" s="125"/>
      <c r="H57" s="125"/>
      <c r="I57" s="125">
        <v>9.9499999999999993</v>
      </c>
    </row>
    <row r="58" spans="1:9" x14ac:dyDescent="0.35">
      <c r="A58" s="90">
        <v>54</v>
      </c>
      <c r="B58" s="116" t="s">
        <v>99</v>
      </c>
      <c r="C58" s="117"/>
      <c r="D58" s="117" t="s">
        <v>59</v>
      </c>
      <c r="E58" s="125">
        <v>9.4499999999999993</v>
      </c>
      <c r="F58" s="142">
        <v>7.95</v>
      </c>
      <c r="G58" s="125">
        <v>9.9499999999999993</v>
      </c>
      <c r="H58" s="125">
        <v>9.49</v>
      </c>
      <c r="I58" s="125"/>
    </row>
    <row r="59" spans="1:9" x14ac:dyDescent="0.35">
      <c r="A59" s="90">
        <v>55</v>
      </c>
      <c r="B59" s="116" t="s">
        <v>100</v>
      </c>
      <c r="C59" s="117"/>
      <c r="D59" s="117" t="s">
        <v>15</v>
      </c>
      <c r="E59" s="125"/>
      <c r="F59" s="125">
        <v>7.5</v>
      </c>
      <c r="G59" s="125"/>
      <c r="H59" s="125"/>
      <c r="I59" s="125">
        <v>9.5</v>
      </c>
    </row>
    <row r="60" spans="1:9" x14ac:dyDescent="0.35">
      <c r="A60" s="90">
        <v>56</v>
      </c>
      <c r="B60" s="116" t="s">
        <v>100</v>
      </c>
      <c r="C60" s="117"/>
      <c r="D60" s="117" t="s">
        <v>59</v>
      </c>
      <c r="E60" s="125">
        <v>7.95</v>
      </c>
      <c r="F60" s="125"/>
      <c r="G60" s="125">
        <v>8.9499999999999993</v>
      </c>
      <c r="H60" s="125">
        <v>7.49</v>
      </c>
      <c r="I60" s="125"/>
    </row>
    <row r="61" spans="1:9" x14ac:dyDescent="0.35">
      <c r="A61" s="90">
        <v>57</v>
      </c>
      <c r="B61" s="116" t="s">
        <v>101</v>
      </c>
      <c r="C61" s="117"/>
      <c r="D61" s="117" t="s">
        <v>15</v>
      </c>
      <c r="E61" s="125"/>
      <c r="F61" s="125">
        <v>6.95</v>
      </c>
      <c r="G61" s="125"/>
      <c r="H61" s="125"/>
      <c r="I61" s="125">
        <v>7.5</v>
      </c>
    </row>
    <row r="62" spans="1:9" x14ac:dyDescent="0.35">
      <c r="A62" s="90">
        <v>57</v>
      </c>
      <c r="B62" s="116" t="s">
        <v>101</v>
      </c>
      <c r="C62" s="117"/>
      <c r="D62" s="117" t="s">
        <v>59</v>
      </c>
      <c r="E62" s="125">
        <v>7.45</v>
      </c>
      <c r="F62" s="125"/>
      <c r="G62" s="125">
        <v>8.9499999999999993</v>
      </c>
      <c r="H62" s="125">
        <v>7.99</v>
      </c>
      <c r="I62" s="125"/>
    </row>
    <row r="63" spans="1:9" x14ac:dyDescent="0.35">
      <c r="A63" s="90">
        <v>58</v>
      </c>
      <c r="B63" s="116" t="s">
        <v>102</v>
      </c>
      <c r="C63" s="117" t="s">
        <v>103</v>
      </c>
      <c r="D63" s="117" t="s">
        <v>59</v>
      </c>
      <c r="E63" s="125">
        <v>5.45</v>
      </c>
      <c r="F63" s="125"/>
      <c r="G63" s="125">
        <v>5.45</v>
      </c>
      <c r="H63" s="125"/>
      <c r="I63" s="125"/>
    </row>
    <row r="64" spans="1:9" x14ac:dyDescent="0.35">
      <c r="A64" s="90">
        <v>59</v>
      </c>
      <c r="B64" s="116" t="s">
        <v>104</v>
      </c>
      <c r="C64" s="117" t="s">
        <v>103</v>
      </c>
      <c r="D64" s="117" t="s">
        <v>59</v>
      </c>
      <c r="E64" s="125">
        <v>9.9499999999999993</v>
      </c>
      <c r="F64" s="125"/>
      <c r="G64" s="125">
        <v>10.45</v>
      </c>
      <c r="H64" s="125"/>
      <c r="I64" s="125"/>
    </row>
    <row r="65" spans="1:9" x14ac:dyDescent="0.35">
      <c r="A65" s="90">
        <v>60</v>
      </c>
      <c r="B65" s="116" t="s">
        <v>105</v>
      </c>
      <c r="C65" s="117" t="s">
        <v>103</v>
      </c>
      <c r="D65" s="117" t="s">
        <v>59</v>
      </c>
      <c r="E65" s="125">
        <v>9.4499999999999993</v>
      </c>
      <c r="F65" s="125"/>
      <c r="G65" s="125"/>
      <c r="H65" s="125"/>
      <c r="I65" s="125"/>
    </row>
    <row r="66" spans="1:9" x14ac:dyDescent="0.35">
      <c r="A66" s="90">
        <v>61</v>
      </c>
      <c r="B66" s="116" t="s">
        <v>106</v>
      </c>
      <c r="C66" s="117" t="s">
        <v>103</v>
      </c>
      <c r="D66" s="117" t="s">
        <v>59</v>
      </c>
      <c r="E66" s="125">
        <v>9.4499999999999993</v>
      </c>
      <c r="F66" s="125"/>
      <c r="G66" s="125"/>
      <c r="H66" s="125"/>
      <c r="I66" s="125"/>
    </row>
    <row r="67" spans="1:9" x14ac:dyDescent="0.35">
      <c r="A67" s="90">
        <v>62</v>
      </c>
      <c r="B67" s="116" t="s">
        <v>107</v>
      </c>
      <c r="C67" s="117" t="s">
        <v>103</v>
      </c>
      <c r="D67" s="117" t="s">
        <v>59</v>
      </c>
      <c r="E67" s="125">
        <v>8.4499999999999993</v>
      </c>
      <c r="F67" s="125"/>
      <c r="G67" s="125">
        <v>8.4499999999999993</v>
      </c>
      <c r="H67" s="125"/>
      <c r="I67" s="125"/>
    </row>
    <row r="68" spans="1:9" x14ac:dyDescent="0.35">
      <c r="A68" s="90">
        <v>63</v>
      </c>
      <c r="B68" s="116" t="s">
        <v>108</v>
      </c>
      <c r="C68" s="117" t="s">
        <v>103</v>
      </c>
      <c r="D68" s="117" t="s">
        <v>59</v>
      </c>
      <c r="E68" s="125">
        <v>7.95</v>
      </c>
      <c r="F68" s="125"/>
      <c r="G68" s="125">
        <v>7.95</v>
      </c>
      <c r="H68" s="125"/>
      <c r="I68" s="125"/>
    </row>
    <row r="69" spans="1:9" x14ac:dyDescent="0.35">
      <c r="A69" s="90">
        <v>64</v>
      </c>
      <c r="B69" s="116" t="s">
        <v>109</v>
      </c>
      <c r="C69" s="117" t="s">
        <v>110</v>
      </c>
      <c r="D69" s="117" t="s">
        <v>111</v>
      </c>
      <c r="E69" s="125">
        <v>11.95</v>
      </c>
      <c r="F69" s="125">
        <v>11.95</v>
      </c>
      <c r="G69" s="125">
        <v>11.45</v>
      </c>
      <c r="H69" s="125">
        <v>11.99</v>
      </c>
      <c r="I69" s="125">
        <v>12</v>
      </c>
    </row>
    <row r="70" spans="1:9" x14ac:dyDescent="0.35">
      <c r="A70" s="90">
        <v>65</v>
      </c>
      <c r="B70" s="116" t="s">
        <v>112</v>
      </c>
      <c r="C70" s="117" t="s">
        <v>113</v>
      </c>
      <c r="D70" s="117" t="s">
        <v>51</v>
      </c>
      <c r="E70" s="125"/>
      <c r="F70" s="125">
        <v>8.5</v>
      </c>
      <c r="G70" s="125">
        <v>8.9499999999999993</v>
      </c>
      <c r="H70" s="125">
        <v>7.49</v>
      </c>
      <c r="I70" s="125">
        <v>8.9499999999999993</v>
      </c>
    </row>
    <row r="71" spans="1:9" x14ac:dyDescent="0.35">
      <c r="A71" s="90">
        <v>66</v>
      </c>
      <c r="B71" s="116" t="s">
        <v>114</v>
      </c>
      <c r="C71" s="117"/>
      <c r="D71" s="117" t="s">
        <v>15</v>
      </c>
      <c r="E71" s="125">
        <v>2.95</v>
      </c>
      <c r="F71" s="125">
        <v>2.5</v>
      </c>
      <c r="G71" s="125">
        <v>3</v>
      </c>
      <c r="H71" s="125">
        <v>2.99</v>
      </c>
      <c r="I71" s="125">
        <v>3.5</v>
      </c>
    </row>
    <row r="72" spans="1:9" x14ac:dyDescent="0.35">
      <c r="A72" s="90">
        <v>67</v>
      </c>
      <c r="B72" s="116" t="s">
        <v>115</v>
      </c>
      <c r="C72" s="117"/>
      <c r="D72" s="117" t="s">
        <v>15</v>
      </c>
      <c r="E72" s="125">
        <v>2.95</v>
      </c>
      <c r="F72" s="125">
        <v>2.95</v>
      </c>
      <c r="G72" s="125">
        <v>3</v>
      </c>
      <c r="H72" s="125">
        <v>2.99</v>
      </c>
      <c r="I72" s="125">
        <v>4</v>
      </c>
    </row>
    <row r="73" spans="1:9" x14ac:dyDescent="0.35">
      <c r="A73" s="90">
        <v>68</v>
      </c>
      <c r="B73" s="116" t="s">
        <v>116</v>
      </c>
      <c r="C73" s="117"/>
      <c r="D73" s="117" t="s">
        <v>15</v>
      </c>
      <c r="E73" s="125">
        <v>10</v>
      </c>
      <c r="F73" s="125">
        <v>16.5</v>
      </c>
      <c r="G73" s="125">
        <v>10</v>
      </c>
      <c r="H73" s="125">
        <v>9.99</v>
      </c>
      <c r="I73" s="125">
        <v>13</v>
      </c>
    </row>
    <row r="74" spans="1:9" x14ac:dyDescent="0.35">
      <c r="A74" s="90">
        <v>69</v>
      </c>
      <c r="B74" s="116" t="s">
        <v>116</v>
      </c>
      <c r="C74" s="117"/>
      <c r="D74" s="117" t="s">
        <v>40</v>
      </c>
      <c r="E74" s="125">
        <v>5.95</v>
      </c>
      <c r="F74" s="125">
        <v>8.5</v>
      </c>
      <c r="G74" s="125">
        <v>5</v>
      </c>
      <c r="H74" s="125">
        <v>4.99</v>
      </c>
      <c r="I74" s="125">
        <v>7</v>
      </c>
    </row>
    <row r="75" spans="1:9" x14ac:dyDescent="0.35">
      <c r="A75" s="90">
        <v>70</v>
      </c>
      <c r="B75" s="116" t="s">
        <v>117</v>
      </c>
      <c r="C75" s="117" t="s">
        <v>118</v>
      </c>
      <c r="D75" s="117" t="s">
        <v>15</v>
      </c>
      <c r="E75" s="125">
        <v>3.99</v>
      </c>
      <c r="F75" s="125">
        <v>4.95</v>
      </c>
      <c r="G75" s="125"/>
      <c r="H75" s="125">
        <v>5</v>
      </c>
      <c r="I75" s="125">
        <v>5</v>
      </c>
    </row>
    <row r="76" spans="1:9" x14ac:dyDescent="0.35">
      <c r="A76" s="90">
        <v>71</v>
      </c>
      <c r="B76" s="116" t="s">
        <v>119</v>
      </c>
      <c r="C76" s="117" t="s">
        <v>120</v>
      </c>
      <c r="D76" s="117" t="s">
        <v>81</v>
      </c>
      <c r="E76" s="125">
        <v>20.95</v>
      </c>
      <c r="F76" s="125"/>
      <c r="G76" s="125">
        <v>22.5</v>
      </c>
      <c r="H76" s="125"/>
      <c r="I76" s="125"/>
    </row>
    <row r="77" spans="1:9" x14ac:dyDescent="0.35">
      <c r="A77" s="90">
        <v>72</v>
      </c>
      <c r="B77" s="116" t="s">
        <v>121</v>
      </c>
      <c r="C77" s="117" t="s">
        <v>122</v>
      </c>
      <c r="D77" s="117" t="s">
        <v>81</v>
      </c>
      <c r="E77" s="125">
        <v>20.95</v>
      </c>
      <c r="F77" s="125">
        <v>21.95</v>
      </c>
      <c r="G77" s="125">
        <v>19.95</v>
      </c>
      <c r="H77" s="125">
        <v>21.99</v>
      </c>
      <c r="I77" s="125">
        <v>19.95</v>
      </c>
    </row>
    <row r="78" spans="1:9" x14ac:dyDescent="0.35">
      <c r="A78" s="90">
        <v>73</v>
      </c>
      <c r="B78" s="116" t="s">
        <v>123</v>
      </c>
      <c r="C78" s="117" t="s">
        <v>124</v>
      </c>
      <c r="D78" s="117" t="s">
        <v>125</v>
      </c>
      <c r="E78" s="125"/>
      <c r="F78" s="125">
        <v>3.95</v>
      </c>
      <c r="G78" s="125">
        <v>4.95</v>
      </c>
      <c r="H78" s="125">
        <v>4.99</v>
      </c>
      <c r="I78" s="125"/>
    </row>
    <row r="79" spans="1:9" x14ac:dyDescent="0.35">
      <c r="A79" s="90">
        <v>74</v>
      </c>
      <c r="B79" s="116" t="s">
        <v>123</v>
      </c>
      <c r="C79" s="117" t="s">
        <v>126</v>
      </c>
      <c r="D79" s="117" t="s">
        <v>56</v>
      </c>
      <c r="E79" s="125"/>
      <c r="F79" s="125"/>
      <c r="G79" s="125">
        <v>4.95</v>
      </c>
      <c r="H79" s="125"/>
      <c r="I79" s="125"/>
    </row>
    <row r="80" spans="1:9" x14ac:dyDescent="0.35">
      <c r="A80" s="90">
        <v>75</v>
      </c>
      <c r="B80" s="116" t="s">
        <v>127</v>
      </c>
      <c r="C80" s="117" t="s">
        <v>128</v>
      </c>
      <c r="D80" s="117" t="s">
        <v>129</v>
      </c>
      <c r="E80" s="125"/>
      <c r="F80" s="125"/>
      <c r="G80" s="125">
        <v>241.45</v>
      </c>
      <c r="H80" s="125"/>
      <c r="I80" s="125"/>
    </row>
    <row r="81" spans="1:9" x14ac:dyDescent="0.35">
      <c r="A81" s="90">
        <v>76</v>
      </c>
      <c r="B81" s="116" t="s">
        <v>127</v>
      </c>
      <c r="C81" s="117" t="s">
        <v>130</v>
      </c>
      <c r="D81" s="117" t="s">
        <v>129</v>
      </c>
      <c r="E81" s="125">
        <v>144.94999999999999</v>
      </c>
      <c r="F81" s="125">
        <v>159.94999999999999</v>
      </c>
      <c r="G81" s="125">
        <v>151.44999999999999</v>
      </c>
      <c r="H81" s="125">
        <v>155</v>
      </c>
      <c r="I81" s="125"/>
    </row>
    <row r="82" spans="1:9" x14ac:dyDescent="0.35">
      <c r="A82" s="90">
        <v>77</v>
      </c>
      <c r="B82" s="116" t="s">
        <v>127</v>
      </c>
      <c r="C82" s="117" t="s">
        <v>131</v>
      </c>
      <c r="D82" s="117" t="s">
        <v>56</v>
      </c>
      <c r="E82" s="125">
        <v>74.95</v>
      </c>
      <c r="F82" s="125">
        <v>82.5</v>
      </c>
      <c r="G82" s="125">
        <v>68.95</v>
      </c>
      <c r="H82" s="125">
        <v>82.99</v>
      </c>
      <c r="I82" s="125">
        <v>79.95</v>
      </c>
    </row>
    <row r="83" spans="1:9" x14ac:dyDescent="0.35">
      <c r="A83" s="90">
        <v>78</v>
      </c>
      <c r="B83" s="116" t="s">
        <v>132</v>
      </c>
      <c r="C83" s="117" t="s">
        <v>133</v>
      </c>
      <c r="D83" s="117" t="s">
        <v>134</v>
      </c>
      <c r="E83" s="125">
        <v>24.95</v>
      </c>
      <c r="F83" s="125">
        <v>25.5</v>
      </c>
      <c r="G83" s="125">
        <v>29.95</v>
      </c>
      <c r="H83" s="125">
        <v>26.99</v>
      </c>
      <c r="I83" s="125"/>
    </row>
    <row r="84" spans="1:9" x14ac:dyDescent="0.35">
      <c r="A84" s="90">
        <v>79</v>
      </c>
      <c r="B84" s="116" t="s">
        <v>132</v>
      </c>
      <c r="C84" s="117" t="s">
        <v>135</v>
      </c>
      <c r="D84" s="117" t="s">
        <v>134</v>
      </c>
      <c r="E84" s="125">
        <v>29.95</v>
      </c>
      <c r="F84" s="125">
        <v>27.5</v>
      </c>
      <c r="G84" s="125">
        <v>29.95</v>
      </c>
      <c r="H84" s="125">
        <v>28.99</v>
      </c>
      <c r="I84" s="125"/>
    </row>
    <row r="85" spans="1:9" x14ac:dyDescent="0.35">
      <c r="A85" s="90">
        <v>80</v>
      </c>
      <c r="B85" s="116" t="s">
        <v>136</v>
      </c>
      <c r="C85" s="117" t="s">
        <v>137</v>
      </c>
      <c r="D85" s="117" t="s">
        <v>138</v>
      </c>
      <c r="E85" s="125">
        <v>12.95</v>
      </c>
      <c r="F85" s="125">
        <v>13.95</v>
      </c>
      <c r="G85" s="125">
        <v>13.95</v>
      </c>
      <c r="H85" s="125">
        <v>14.99</v>
      </c>
      <c r="I85" s="125">
        <v>16</v>
      </c>
    </row>
    <row r="86" spans="1:9" x14ac:dyDescent="0.35">
      <c r="A86" s="90">
        <v>81</v>
      </c>
      <c r="B86" s="116" t="s">
        <v>139</v>
      </c>
      <c r="C86" s="117" t="s">
        <v>140</v>
      </c>
      <c r="D86" s="117" t="s">
        <v>141</v>
      </c>
      <c r="E86" s="125">
        <v>15.95</v>
      </c>
      <c r="F86" s="125">
        <v>16.5</v>
      </c>
      <c r="G86" s="125">
        <v>14.95</v>
      </c>
      <c r="H86" s="125">
        <v>16.989999999999998</v>
      </c>
      <c r="I86" s="125">
        <v>15.95</v>
      </c>
    </row>
    <row r="87" spans="1:9" x14ac:dyDescent="0.35">
      <c r="A87" s="90">
        <v>82</v>
      </c>
      <c r="B87" s="116" t="s">
        <v>142</v>
      </c>
      <c r="C87" s="117" t="s">
        <v>143</v>
      </c>
      <c r="D87" s="117" t="s">
        <v>144</v>
      </c>
      <c r="E87" s="125">
        <v>19.95</v>
      </c>
      <c r="F87" s="125">
        <v>23.95</v>
      </c>
      <c r="G87" s="125">
        <v>22.95</v>
      </c>
      <c r="H87" s="125">
        <v>24.99</v>
      </c>
      <c r="I87" s="125">
        <v>17.5</v>
      </c>
    </row>
    <row r="88" spans="1:9" x14ac:dyDescent="0.35">
      <c r="A88" s="90">
        <v>83</v>
      </c>
      <c r="B88" s="116" t="s">
        <v>145</v>
      </c>
      <c r="C88" s="117" t="s">
        <v>146</v>
      </c>
      <c r="D88" s="117" t="s">
        <v>147</v>
      </c>
      <c r="E88" s="125"/>
      <c r="F88" s="125">
        <v>17.95</v>
      </c>
      <c r="G88" s="125">
        <v>16.95</v>
      </c>
      <c r="H88" s="125">
        <v>16.989999999999998</v>
      </c>
      <c r="I88" s="125">
        <v>18</v>
      </c>
    </row>
    <row r="89" spans="1:9" x14ac:dyDescent="0.35">
      <c r="A89" s="90">
        <v>84</v>
      </c>
      <c r="B89" s="116" t="s">
        <v>148</v>
      </c>
      <c r="C89" s="117" t="s">
        <v>149</v>
      </c>
      <c r="D89" s="117" t="s">
        <v>150</v>
      </c>
      <c r="E89" s="125"/>
      <c r="F89" s="125"/>
      <c r="G89" s="125"/>
      <c r="H89" s="125"/>
      <c r="I89" s="125"/>
    </row>
    <row r="90" spans="1:9" x14ac:dyDescent="0.35">
      <c r="A90" s="90">
        <v>85</v>
      </c>
      <c r="B90" s="116" t="s">
        <v>148</v>
      </c>
      <c r="C90" s="117" t="s">
        <v>149</v>
      </c>
      <c r="D90" s="117" t="s">
        <v>129</v>
      </c>
      <c r="E90" s="125">
        <v>36.950000000000003</v>
      </c>
      <c r="F90" s="125">
        <v>34.950000000000003</v>
      </c>
      <c r="G90" s="125">
        <v>40.950000000000003</v>
      </c>
      <c r="H90" s="125">
        <v>39.99</v>
      </c>
      <c r="I90" s="125">
        <v>37</v>
      </c>
    </row>
    <row r="91" spans="1:9" x14ac:dyDescent="0.35">
      <c r="A91" s="90">
        <v>86</v>
      </c>
      <c r="B91" s="116" t="s">
        <v>148</v>
      </c>
      <c r="C91" s="117" t="s">
        <v>149</v>
      </c>
      <c r="D91" s="117" t="s">
        <v>151</v>
      </c>
      <c r="E91" s="125"/>
      <c r="F91" s="125"/>
      <c r="G91" s="125"/>
      <c r="H91" s="125"/>
      <c r="I91" s="125"/>
    </row>
    <row r="92" spans="1:9" x14ac:dyDescent="0.35">
      <c r="A92" s="90">
        <v>87</v>
      </c>
      <c r="B92" s="116" t="s">
        <v>148</v>
      </c>
      <c r="C92" s="117" t="s">
        <v>152</v>
      </c>
      <c r="D92" s="117" t="s">
        <v>150</v>
      </c>
      <c r="E92" s="125"/>
      <c r="F92" s="125"/>
      <c r="G92" s="125"/>
      <c r="H92" s="125"/>
      <c r="I92" s="125"/>
    </row>
    <row r="93" spans="1:9" x14ac:dyDescent="0.35">
      <c r="A93" s="90">
        <v>88</v>
      </c>
      <c r="B93" s="116" t="s">
        <v>148</v>
      </c>
      <c r="C93" s="117" t="s">
        <v>152</v>
      </c>
      <c r="D93" s="117" t="s">
        <v>129</v>
      </c>
      <c r="E93" s="125">
        <v>23.95</v>
      </c>
      <c r="F93" s="125">
        <v>22.95</v>
      </c>
      <c r="G93" s="125">
        <v>26.95</v>
      </c>
      <c r="H93" s="125">
        <v>26.99</v>
      </c>
      <c r="I93" s="125">
        <v>24.5</v>
      </c>
    </row>
    <row r="94" spans="1:9" x14ac:dyDescent="0.35">
      <c r="A94" s="90">
        <v>89</v>
      </c>
      <c r="B94" s="116" t="s">
        <v>154</v>
      </c>
      <c r="C94" s="117" t="s">
        <v>155</v>
      </c>
      <c r="D94" s="117" t="s">
        <v>156</v>
      </c>
      <c r="E94" s="125">
        <v>10.95</v>
      </c>
      <c r="F94" s="125">
        <v>10.95</v>
      </c>
      <c r="G94" s="125">
        <v>8.9499999999999993</v>
      </c>
      <c r="H94" s="125">
        <v>9.99</v>
      </c>
      <c r="I94" s="125">
        <v>10.5</v>
      </c>
    </row>
    <row r="95" spans="1:9" x14ac:dyDescent="0.35">
      <c r="A95" s="90">
        <v>90</v>
      </c>
      <c r="B95" s="116" t="s">
        <v>157</v>
      </c>
      <c r="C95" s="117" t="s">
        <v>155</v>
      </c>
      <c r="D95" s="117" t="s">
        <v>158</v>
      </c>
      <c r="E95" s="125">
        <v>8.4499999999999993</v>
      </c>
      <c r="F95" s="125">
        <v>8.9499999999999993</v>
      </c>
      <c r="G95" s="125">
        <v>7.95</v>
      </c>
      <c r="H95" s="125">
        <v>7.99</v>
      </c>
      <c r="I95" s="125">
        <v>8.5</v>
      </c>
    </row>
    <row r="96" spans="1:9" x14ac:dyDescent="0.35">
      <c r="A96" s="90">
        <v>91</v>
      </c>
      <c r="B96" s="116" t="s">
        <v>159</v>
      </c>
      <c r="C96" s="117" t="s">
        <v>155</v>
      </c>
      <c r="D96" s="117" t="s">
        <v>158</v>
      </c>
      <c r="E96" s="125">
        <v>8.4499999999999993</v>
      </c>
      <c r="F96" s="125">
        <v>8.9499999999999993</v>
      </c>
      <c r="G96" s="125">
        <v>7.95</v>
      </c>
      <c r="H96" s="125">
        <v>7.99</v>
      </c>
      <c r="I96" s="125">
        <v>8.5</v>
      </c>
    </row>
    <row r="97" spans="1:9" x14ac:dyDescent="0.35">
      <c r="A97" s="90">
        <v>92</v>
      </c>
      <c r="B97" s="116" t="s">
        <v>160</v>
      </c>
      <c r="C97" s="117" t="s">
        <v>161</v>
      </c>
      <c r="D97" s="117" t="s">
        <v>162</v>
      </c>
      <c r="E97" s="125"/>
      <c r="F97" s="125">
        <v>5.25</v>
      </c>
      <c r="G97" s="125">
        <v>5.45</v>
      </c>
      <c r="H97" s="125">
        <v>5.75</v>
      </c>
      <c r="I97" s="125">
        <v>5.75</v>
      </c>
    </row>
    <row r="98" spans="1:9" x14ac:dyDescent="0.35">
      <c r="A98" s="90">
        <v>93</v>
      </c>
      <c r="B98" s="118" t="s">
        <v>163</v>
      </c>
      <c r="C98" s="119" t="s">
        <v>164</v>
      </c>
      <c r="D98" s="119" t="s">
        <v>165</v>
      </c>
      <c r="E98" s="125">
        <v>25.45</v>
      </c>
      <c r="F98" s="125">
        <v>25.5</v>
      </c>
      <c r="G98" s="125">
        <v>20.45</v>
      </c>
      <c r="H98" s="142">
        <v>22.99</v>
      </c>
      <c r="I98" s="125">
        <v>24.5</v>
      </c>
    </row>
    <row r="99" spans="1:9" x14ac:dyDescent="0.35">
      <c r="A99" s="90">
        <v>94</v>
      </c>
      <c r="B99" s="116" t="s">
        <v>166</v>
      </c>
      <c r="C99" s="117"/>
      <c r="D99" s="117" t="s">
        <v>59</v>
      </c>
      <c r="E99" s="125">
        <v>49.95</v>
      </c>
      <c r="F99" s="125">
        <v>51.95</v>
      </c>
      <c r="G99" s="125">
        <v>48.95</v>
      </c>
      <c r="H99" s="125">
        <v>51.99</v>
      </c>
      <c r="I99" s="125">
        <v>52</v>
      </c>
    </row>
    <row r="100" spans="1:9" x14ac:dyDescent="0.35">
      <c r="A100" s="90">
        <v>95</v>
      </c>
      <c r="B100" s="116" t="s">
        <v>167</v>
      </c>
      <c r="C100" s="117" t="s">
        <v>168</v>
      </c>
      <c r="D100" s="117" t="s">
        <v>125</v>
      </c>
      <c r="E100" s="125">
        <v>29.95</v>
      </c>
      <c r="F100" s="125">
        <v>29.5</v>
      </c>
      <c r="G100" s="125">
        <v>29.95</v>
      </c>
      <c r="H100" s="125">
        <v>31.99</v>
      </c>
      <c r="I100" s="125">
        <v>32.950000000000003</v>
      </c>
    </row>
    <row r="101" spans="1:9" x14ac:dyDescent="0.35">
      <c r="A101" s="90">
        <v>96</v>
      </c>
      <c r="B101" s="116" t="s">
        <v>169</v>
      </c>
      <c r="C101" s="117"/>
      <c r="D101" s="117" t="s">
        <v>170</v>
      </c>
      <c r="E101" s="125">
        <v>35.950000000000003</v>
      </c>
      <c r="F101" s="125"/>
      <c r="G101" s="125">
        <v>32.950000000000003</v>
      </c>
      <c r="H101" s="125">
        <v>32.99</v>
      </c>
      <c r="I101" s="125">
        <v>34.950000000000003</v>
      </c>
    </row>
    <row r="102" spans="1:9" x14ac:dyDescent="0.35">
      <c r="A102" s="90">
        <v>97</v>
      </c>
      <c r="B102" s="116" t="s">
        <v>171</v>
      </c>
      <c r="C102" s="117" t="s">
        <v>172</v>
      </c>
      <c r="D102" s="117" t="s">
        <v>173</v>
      </c>
      <c r="E102" s="125"/>
      <c r="F102" s="125"/>
      <c r="G102" s="125"/>
      <c r="H102" s="125"/>
      <c r="I102" s="125">
        <v>36.950000000000003</v>
      </c>
    </row>
    <row r="103" spans="1:9" x14ac:dyDescent="0.35">
      <c r="A103" s="90">
        <v>98</v>
      </c>
      <c r="B103" s="116" t="s">
        <v>174</v>
      </c>
      <c r="C103" s="117" t="s">
        <v>172</v>
      </c>
      <c r="D103" s="117" t="s">
        <v>175</v>
      </c>
      <c r="E103" s="126">
        <v>27.95</v>
      </c>
      <c r="F103" s="126"/>
      <c r="G103" s="126">
        <v>27.95</v>
      </c>
      <c r="H103" s="126">
        <v>28.99</v>
      </c>
      <c r="I103" s="126">
        <v>28.5</v>
      </c>
    </row>
    <row r="104" spans="1:9" x14ac:dyDescent="0.35">
      <c r="A104" s="90">
        <v>99</v>
      </c>
      <c r="B104" s="116" t="s">
        <v>174</v>
      </c>
      <c r="C104" s="117" t="s">
        <v>176</v>
      </c>
      <c r="D104" s="117" t="s">
        <v>177</v>
      </c>
      <c r="E104" s="125">
        <v>25.95</v>
      </c>
      <c r="F104" s="125"/>
      <c r="G104" s="125">
        <v>26.25</v>
      </c>
      <c r="H104" s="125">
        <v>26.99</v>
      </c>
      <c r="I104" s="125">
        <v>28</v>
      </c>
    </row>
    <row r="105" spans="1:9" x14ac:dyDescent="0.35">
      <c r="A105" s="90">
        <v>100</v>
      </c>
      <c r="B105" s="116" t="s">
        <v>178</v>
      </c>
      <c r="C105" s="117" t="s">
        <v>50</v>
      </c>
      <c r="D105" s="117" t="s">
        <v>179</v>
      </c>
      <c r="E105" s="125">
        <v>31.95</v>
      </c>
      <c r="F105" s="125">
        <v>34.5</v>
      </c>
      <c r="G105" s="125">
        <v>34.950000000000003</v>
      </c>
      <c r="H105" s="125">
        <v>34.99</v>
      </c>
      <c r="I105" s="125">
        <v>36.5</v>
      </c>
    </row>
    <row r="106" spans="1:9" x14ac:dyDescent="0.35">
      <c r="A106" s="90">
        <v>101</v>
      </c>
      <c r="B106" s="116" t="s">
        <v>178</v>
      </c>
      <c r="C106" s="117" t="s">
        <v>180</v>
      </c>
      <c r="D106" s="117" t="s">
        <v>111</v>
      </c>
      <c r="E106" s="125">
        <v>26.95</v>
      </c>
      <c r="F106" s="125">
        <v>25.95</v>
      </c>
      <c r="G106" s="125">
        <v>25.95</v>
      </c>
      <c r="H106" s="125">
        <v>27.99</v>
      </c>
      <c r="I106" s="125">
        <v>25.95</v>
      </c>
    </row>
    <row r="107" spans="1:9" x14ac:dyDescent="0.35">
      <c r="A107" s="90">
        <v>102</v>
      </c>
      <c r="B107" s="116" t="s">
        <v>181</v>
      </c>
      <c r="C107" s="117" t="s">
        <v>182</v>
      </c>
      <c r="D107" s="117" t="s">
        <v>183</v>
      </c>
      <c r="E107" s="125">
        <v>16.45</v>
      </c>
      <c r="F107" s="125">
        <v>16.95</v>
      </c>
      <c r="G107" s="125">
        <v>14.95</v>
      </c>
      <c r="H107" s="125">
        <v>16.989999999999998</v>
      </c>
      <c r="I107" s="125"/>
    </row>
    <row r="108" spans="1:9" x14ac:dyDescent="0.35">
      <c r="A108" s="90">
        <v>103</v>
      </c>
      <c r="B108" s="116" t="s">
        <v>184</v>
      </c>
      <c r="C108" s="117" t="s">
        <v>185</v>
      </c>
      <c r="D108" s="117" t="s">
        <v>65</v>
      </c>
      <c r="E108" s="125">
        <v>4.5</v>
      </c>
      <c r="F108" s="125">
        <v>4.5</v>
      </c>
      <c r="G108" s="125">
        <v>4.45</v>
      </c>
      <c r="H108" s="125">
        <v>4.75</v>
      </c>
      <c r="I108" s="125">
        <v>4</v>
      </c>
    </row>
    <row r="109" spans="1:9" x14ac:dyDescent="0.35">
      <c r="A109" s="90">
        <v>104</v>
      </c>
      <c r="B109" s="116" t="s">
        <v>184</v>
      </c>
      <c r="C109" s="117" t="s">
        <v>185</v>
      </c>
      <c r="D109" s="117" t="s">
        <v>51</v>
      </c>
      <c r="E109" s="125">
        <v>11.95</v>
      </c>
      <c r="F109" s="125">
        <v>11.95</v>
      </c>
      <c r="G109" s="125">
        <v>12.45</v>
      </c>
      <c r="H109" s="125">
        <v>12.99</v>
      </c>
      <c r="I109" s="125">
        <v>11.95</v>
      </c>
    </row>
    <row r="110" spans="1:9" x14ac:dyDescent="0.35">
      <c r="A110" s="90">
        <v>105</v>
      </c>
      <c r="B110" s="116" t="s">
        <v>186</v>
      </c>
      <c r="C110" s="117" t="s">
        <v>185</v>
      </c>
      <c r="D110" s="117" t="s">
        <v>51</v>
      </c>
      <c r="E110" s="125">
        <v>11.95</v>
      </c>
      <c r="F110" s="125"/>
      <c r="G110" s="125">
        <v>12.45</v>
      </c>
      <c r="H110" s="125">
        <v>12.99</v>
      </c>
      <c r="I110" s="125"/>
    </row>
    <row r="111" spans="1:9" x14ac:dyDescent="0.35">
      <c r="A111" s="90">
        <v>106</v>
      </c>
      <c r="B111" s="116" t="s">
        <v>187</v>
      </c>
      <c r="C111" s="117" t="s">
        <v>188</v>
      </c>
      <c r="D111" s="117" t="s">
        <v>189</v>
      </c>
      <c r="E111" s="125">
        <v>11.45</v>
      </c>
      <c r="F111" s="125">
        <v>11.95</v>
      </c>
      <c r="G111" s="125">
        <v>10.95</v>
      </c>
      <c r="H111" s="125">
        <v>11.99</v>
      </c>
      <c r="I111" s="125">
        <v>13</v>
      </c>
    </row>
    <row r="112" spans="1:9" x14ac:dyDescent="0.35">
      <c r="A112" s="90">
        <v>107</v>
      </c>
      <c r="B112" s="116" t="s">
        <v>274</v>
      </c>
      <c r="C112" s="117" t="s">
        <v>190</v>
      </c>
      <c r="D112" s="117" t="s">
        <v>191</v>
      </c>
      <c r="E112" s="125"/>
      <c r="F112" s="125">
        <v>13.95</v>
      </c>
      <c r="G112" s="125">
        <v>13.95</v>
      </c>
      <c r="H112" s="125">
        <v>14.99</v>
      </c>
      <c r="I112" s="125">
        <v>13.95</v>
      </c>
    </row>
    <row r="113" spans="1:9" x14ac:dyDescent="0.35">
      <c r="A113" s="90">
        <v>108</v>
      </c>
      <c r="B113" s="116" t="s">
        <v>192</v>
      </c>
      <c r="C113" s="117" t="s">
        <v>188</v>
      </c>
      <c r="D113" s="117" t="s">
        <v>189</v>
      </c>
      <c r="E113" s="125">
        <v>11.45</v>
      </c>
      <c r="F113" s="125">
        <v>11.95</v>
      </c>
      <c r="G113" s="125">
        <v>10.95</v>
      </c>
      <c r="H113" s="125">
        <v>11.99</v>
      </c>
      <c r="I113" s="125">
        <v>13</v>
      </c>
    </row>
    <row r="114" spans="1:9" x14ac:dyDescent="0.35">
      <c r="A114" s="90">
        <v>109</v>
      </c>
      <c r="B114" s="116" t="s">
        <v>193</v>
      </c>
      <c r="C114" s="117" t="s">
        <v>182</v>
      </c>
      <c r="D114" s="117" t="s">
        <v>125</v>
      </c>
      <c r="E114" s="125">
        <v>18.95</v>
      </c>
      <c r="F114" s="125">
        <v>21.95</v>
      </c>
      <c r="G114" s="125">
        <v>18.45</v>
      </c>
      <c r="H114" s="125">
        <v>23.99</v>
      </c>
      <c r="I114" s="125">
        <v>18.5</v>
      </c>
    </row>
    <row r="115" spans="1:9" x14ac:dyDescent="0.35">
      <c r="A115" s="90">
        <v>110</v>
      </c>
      <c r="B115" s="116" t="s">
        <v>194</v>
      </c>
      <c r="C115" s="117" t="s">
        <v>195</v>
      </c>
      <c r="D115" s="117" t="s">
        <v>196</v>
      </c>
      <c r="E115" s="125">
        <v>24.95</v>
      </c>
      <c r="F115" s="125"/>
      <c r="G115" s="125">
        <v>20.95</v>
      </c>
      <c r="H115" s="125">
        <v>21.99</v>
      </c>
      <c r="I115" s="125"/>
    </row>
    <row r="116" spans="1:9" x14ac:dyDescent="0.35">
      <c r="A116" s="90">
        <v>111</v>
      </c>
      <c r="B116" s="116" t="s">
        <v>197</v>
      </c>
      <c r="C116" s="117" t="s">
        <v>68</v>
      </c>
      <c r="D116" s="117" t="s">
        <v>196</v>
      </c>
      <c r="E116" s="125">
        <v>26.95</v>
      </c>
      <c r="F116" s="125"/>
      <c r="G116" s="125">
        <v>25.95</v>
      </c>
      <c r="H116" s="125">
        <v>23.99</v>
      </c>
      <c r="I116" s="125">
        <v>25.95</v>
      </c>
    </row>
    <row r="117" spans="1:9" x14ac:dyDescent="0.35">
      <c r="A117" s="90">
        <v>112</v>
      </c>
      <c r="B117" s="116" t="s">
        <v>197</v>
      </c>
      <c r="C117" s="117" t="s">
        <v>80</v>
      </c>
      <c r="D117" s="117" t="s">
        <v>198</v>
      </c>
      <c r="E117" s="125">
        <v>94.95</v>
      </c>
      <c r="F117" s="125"/>
      <c r="G117" s="125">
        <v>96.45</v>
      </c>
      <c r="H117" s="125">
        <v>97</v>
      </c>
      <c r="I117" s="125"/>
    </row>
    <row r="118" spans="1:9" x14ac:dyDescent="0.35">
      <c r="A118" s="90">
        <v>113</v>
      </c>
      <c r="B118" s="116" t="s">
        <v>199</v>
      </c>
      <c r="C118" s="117" t="s">
        <v>200</v>
      </c>
      <c r="D118" s="117" t="s">
        <v>196</v>
      </c>
      <c r="E118" s="125">
        <v>43.95</v>
      </c>
      <c r="F118" s="125">
        <v>45.5</v>
      </c>
      <c r="G118" s="125">
        <v>45.95</v>
      </c>
      <c r="H118" s="125">
        <v>48.99</v>
      </c>
      <c r="I118" s="125">
        <v>34.950000000000003</v>
      </c>
    </row>
    <row r="119" spans="1:9" x14ac:dyDescent="0.35">
      <c r="A119" s="90">
        <v>114</v>
      </c>
      <c r="B119" s="116" t="s">
        <v>201</v>
      </c>
      <c r="C119" s="117" t="s">
        <v>202</v>
      </c>
      <c r="D119" s="117" t="s">
        <v>51</v>
      </c>
      <c r="E119" s="125">
        <v>105</v>
      </c>
      <c r="F119" s="125"/>
      <c r="G119" s="125">
        <v>105.95</v>
      </c>
      <c r="H119" s="125">
        <v>120</v>
      </c>
      <c r="I119" s="125">
        <v>105</v>
      </c>
    </row>
    <row r="120" spans="1:9" x14ac:dyDescent="0.35">
      <c r="A120" s="90">
        <v>115</v>
      </c>
      <c r="B120" s="116" t="s">
        <v>203</v>
      </c>
      <c r="C120" s="117" t="s">
        <v>204</v>
      </c>
      <c r="D120" s="117" t="s">
        <v>205</v>
      </c>
      <c r="E120" s="125">
        <v>12.95</v>
      </c>
      <c r="F120" s="125">
        <v>12.95</v>
      </c>
      <c r="G120" s="125">
        <v>12.95</v>
      </c>
      <c r="H120" s="125">
        <v>12.99</v>
      </c>
      <c r="I120" s="125">
        <v>12</v>
      </c>
    </row>
    <row r="121" spans="1:9" x14ac:dyDescent="0.35">
      <c r="A121" s="90">
        <v>116</v>
      </c>
      <c r="B121" s="116" t="s">
        <v>203</v>
      </c>
      <c r="C121" s="117" t="s">
        <v>277</v>
      </c>
      <c r="D121" s="117" t="s">
        <v>205</v>
      </c>
      <c r="E121" s="125">
        <v>9.9499999999999993</v>
      </c>
      <c r="F121" s="125">
        <v>9.9499999999999993</v>
      </c>
      <c r="G121" s="125">
        <v>9.9499999999999993</v>
      </c>
      <c r="H121" s="125">
        <v>9.99</v>
      </c>
      <c r="I121" s="125"/>
    </row>
    <row r="122" spans="1:9" x14ac:dyDescent="0.35">
      <c r="A122" s="90">
        <v>117</v>
      </c>
      <c r="B122" s="116" t="s">
        <v>203</v>
      </c>
      <c r="C122" s="117" t="s">
        <v>204</v>
      </c>
      <c r="D122" s="117" t="s">
        <v>206</v>
      </c>
      <c r="E122" s="125">
        <v>26.95</v>
      </c>
      <c r="F122" s="125">
        <v>29.95</v>
      </c>
      <c r="G122" s="125">
        <v>27.95</v>
      </c>
      <c r="H122" s="125">
        <v>27.99</v>
      </c>
      <c r="I122" s="125">
        <v>26</v>
      </c>
    </row>
    <row r="123" spans="1:9" x14ac:dyDescent="0.35">
      <c r="A123" s="90">
        <v>118</v>
      </c>
      <c r="B123" s="116" t="s">
        <v>203</v>
      </c>
      <c r="C123" s="117" t="s">
        <v>277</v>
      </c>
      <c r="D123" s="117" t="s">
        <v>206</v>
      </c>
      <c r="E123" s="125">
        <v>22.95</v>
      </c>
      <c r="F123" s="125">
        <v>22</v>
      </c>
      <c r="G123" s="125">
        <v>22</v>
      </c>
      <c r="H123" s="125"/>
      <c r="I123" s="125"/>
    </row>
    <row r="124" spans="1:9" x14ac:dyDescent="0.35">
      <c r="A124" s="90">
        <v>119</v>
      </c>
      <c r="B124" s="116" t="s">
        <v>207</v>
      </c>
      <c r="C124" s="117" t="s">
        <v>204</v>
      </c>
      <c r="D124" s="117" t="s">
        <v>276</v>
      </c>
      <c r="E124" s="125">
        <v>16.95</v>
      </c>
      <c r="F124" s="125">
        <v>16.95</v>
      </c>
      <c r="G124" s="125"/>
      <c r="H124" s="125"/>
      <c r="I124" s="125">
        <v>16</v>
      </c>
    </row>
    <row r="125" spans="1:9" x14ac:dyDescent="0.35">
      <c r="A125" s="90">
        <v>120</v>
      </c>
      <c r="B125" s="116" t="s">
        <v>207</v>
      </c>
      <c r="C125" s="117" t="s">
        <v>277</v>
      </c>
      <c r="D125" s="117" t="s">
        <v>276</v>
      </c>
      <c r="E125" s="125"/>
      <c r="F125" s="125"/>
      <c r="G125" s="125"/>
      <c r="H125" s="125"/>
      <c r="I125" s="125"/>
    </row>
    <row r="126" spans="1:9" x14ac:dyDescent="0.35">
      <c r="A126" s="90">
        <v>121</v>
      </c>
      <c r="B126" s="116" t="s">
        <v>207</v>
      </c>
      <c r="C126" s="117" t="s">
        <v>204</v>
      </c>
      <c r="D126" s="117" t="s">
        <v>208</v>
      </c>
      <c r="E126" s="125">
        <v>29.95</v>
      </c>
      <c r="F126" s="125"/>
      <c r="G126" s="125">
        <v>29.95</v>
      </c>
      <c r="H126" s="125">
        <v>29.99</v>
      </c>
      <c r="I126" s="125">
        <v>29</v>
      </c>
    </row>
    <row r="127" spans="1:9" x14ac:dyDescent="0.35">
      <c r="A127" s="90">
        <v>122</v>
      </c>
      <c r="B127" s="116" t="s">
        <v>209</v>
      </c>
      <c r="C127" s="117" t="s">
        <v>210</v>
      </c>
      <c r="D127" s="117" t="s">
        <v>15</v>
      </c>
      <c r="E127" s="125"/>
      <c r="F127" s="125"/>
      <c r="G127" s="125">
        <v>31.95</v>
      </c>
      <c r="H127" s="125">
        <v>27.99</v>
      </c>
      <c r="I127" s="125">
        <v>19.75</v>
      </c>
    </row>
    <row r="128" spans="1:9" x14ac:dyDescent="0.35">
      <c r="A128" s="90">
        <v>123</v>
      </c>
      <c r="B128" s="116" t="s">
        <v>209</v>
      </c>
      <c r="C128" s="117" t="s">
        <v>211</v>
      </c>
      <c r="D128" s="117" t="s">
        <v>212</v>
      </c>
      <c r="E128" s="127">
        <v>11.95</v>
      </c>
      <c r="F128" s="127">
        <v>12</v>
      </c>
      <c r="G128" s="127"/>
      <c r="H128" s="127">
        <v>12.99</v>
      </c>
      <c r="I128" s="127"/>
    </row>
    <row r="129" spans="1:9" x14ac:dyDescent="0.35">
      <c r="A129" s="90">
        <v>124</v>
      </c>
      <c r="B129" s="116" t="s">
        <v>213</v>
      </c>
      <c r="C129" s="117" t="s">
        <v>214</v>
      </c>
      <c r="D129" s="117" t="s">
        <v>215</v>
      </c>
      <c r="E129" s="125">
        <v>8.4499999999999993</v>
      </c>
      <c r="F129" s="125">
        <v>8.9499999999999993</v>
      </c>
      <c r="G129" s="125">
        <v>8.4499999999999993</v>
      </c>
      <c r="H129" s="125">
        <v>9.99</v>
      </c>
      <c r="I129" s="125">
        <v>8.5</v>
      </c>
    </row>
    <row r="130" spans="1:9" x14ac:dyDescent="0.35">
      <c r="A130" s="90">
        <v>125</v>
      </c>
      <c r="B130" s="116" t="s">
        <v>216</v>
      </c>
      <c r="C130" s="117" t="s">
        <v>214</v>
      </c>
      <c r="D130" s="117" t="s">
        <v>215</v>
      </c>
      <c r="E130" s="125">
        <v>8.4499999999999993</v>
      </c>
      <c r="F130" s="125">
        <v>8.9499999999999993</v>
      </c>
      <c r="G130" s="125">
        <v>5.95</v>
      </c>
      <c r="H130" s="125">
        <v>9.49</v>
      </c>
      <c r="I130" s="125">
        <v>8.75</v>
      </c>
    </row>
    <row r="131" spans="1:9" x14ac:dyDescent="0.35">
      <c r="A131" s="90">
        <v>126</v>
      </c>
      <c r="B131" s="116" t="s">
        <v>217</v>
      </c>
      <c r="C131" s="117" t="s">
        <v>214</v>
      </c>
      <c r="D131" s="117" t="s">
        <v>215</v>
      </c>
      <c r="E131" s="125">
        <v>9.4499999999999993</v>
      </c>
      <c r="F131" s="125">
        <v>9.9499999999999993</v>
      </c>
      <c r="G131" s="125">
        <v>8.9499999999999993</v>
      </c>
      <c r="H131" s="125"/>
      <c r="I131" s="125">
        <v>9.5</v>
      </c>
    </row>
    <row r="132" spans="1:9" x14ac:dyDescent="0.35">
      <c r="A132" s="90">
        <v>127</v>
      </c>
      <c r="B132" s="116" t="s">
        <v>218</v>
      </c>
      <c r="C132" s="117" t="s">
        <v>214</v>
      </c>
      <c r="D132" s="117" t="s">
        <v>215</v>
      </c>
      <c r="E132" s="125"/>
      <c r="F132" s="125"/>
      <c r="G132" s="125"/>
      <c r="H132" s="125"/>
      <c r="I132" s="125">
        <v>8.5</v>
      </c>
    </row>
    <row r="133" spans="1:9" x14ac:dyDescent="0.35">
      <c r="A133" s="90">
        <v>128</v>
      </c>
      <c r="B133" s="116" t="s">
        <v>219</v>
      </c>
      <c r="C133" s="117" t="s">
        <v>214</v>
      </c>
      <c r="D133" s="117" t="s">
        <v>215</v>
      </c>
      <c r="E133" s="125">
        <v>9.9499999999999993</v>
      </c>
      <c r="F133" s="125">
        <v>10.25</v>
      </c>
      <c r="G133" s="125">
        <v>9.9499999999999993</v>
      </c>
      <c r="H133" s="125">
        <v>10.99</v>
      </c>
      <c r="I133" s="125">
        <v>10.5</v>
      </c>
    </row>
    <row r="134" spans="1:9" x14ac:dyDescent="0.35">
      <c r="A134" s="90">
        <v>129</v>
      </c>
      <c r="B134" s="116" t="s">
        <v>220</v>
      </c>
      <c r="C134" s="117" t="s">
        <v>182</v>
      </c>
      <c r="D134" s="117" t="s">
        <v>183</v>
      </c>
      <c r="E134" s="125">
        <v>11.5</v>
      </c>
      <c r="F134" s="125"/>
      <c r="G134" s="125">
        <v>13.45</v>
      </c>
      <c r="H134" s="125">
        <v>13.99</v>
      </c>
      <c r="I134" s="125">
        <v>13</v>
      </c>
    </row>
    <row r="135" spans="1:9" x14ac:dyDescent="0.35">
      <c r="A135" s="90">
        <v>130</v>
      </c>
      <c r="B135" s="116" t="s">
        <v>221</v>
      </c>
      <c r="C135" s="117" t="s">
        <v>70</v>
      </c>
      <c r="D135" s="117" t="s">
        <v>183</v>
      </c>
      <c r="E135" s="125">
        <v>10.95</v>
      </c>
      <c r="F135" s="125">
        <v>10.95</v>
      </c>
      <c r="G135" s="125">
        <v>10.5</v>
      </c>
      <c r="H135" s="125">
        <v>10.99</v>
      </c>
      <c r="I135" s="125">
        <v>10.5</v>
      </c>
    </row>
    <row r="136" spans="1:9" x14ac:dyDescent="0.35">
      <c r="A136" s="90">
        <v>131</v>
      </c>
      <c r="B136" s="116" t="s">
        <v>222</v>
      </c>
      <c r="C136" s="117" t="s">
        <v>70</v>
      </c>
      <c r="D136" s="117" t="s">
        <v>223</v>
      </c>
      <c r="E136" s="125">
        <v>12.25</v>
      </c>
      <c r="F136" s="125">
        <v>11.95</v>
      </c>
      <c r="G136" s="125">
        <v>11.95</v>
      </c>
      <c r="H136" s="125">
        <v>12.99</v>
      </c>
      <c r="I136" s="125"/>
    </row>
    <row r="137" spans="1:9" x14ac:dyDescent="0.35">
      <c r="A137" s="91">
        <v>132</v>
      </c>
      <c r="B137" s="116" t="s">
        <v>224</v>
      </c>
      <c r="C137" s="117" t="s">
        <v>182</v>
      </c>
      <c r="D137" s="117" t="s">
        <v>225</v>
      </c>
      <c r="E137" s="125">
        <v>15.95</v>
      </c>
      <c r="F137" s="125">
        <v>17.95</v>
      </c>
      <c r="G137" s="125">
        <v>15.45</v>
      </c>
      <c r="H137" s="125">
        <v>18.989999999999998</v>
      </c>
      <c r="I137" s="125"/>
    </row>
    <row r="138" spans="1:9" x14ac:dyDescent="0.35">
      <c r="A138" s="91">
        <v>133</v>
      </c>
      <c r="B138" s="116" t="s">
        <v>226</v>
      </c>
      <c r="C138" s="117"/>
      <c r="D138" s="117" t="s">
        <v>15</v>
      </c>
      <c r="E138" s="125"/>
      <c r="F138" s="125"/>
      <c r="G138" s="125">
        <v>21</v>
      </c>
      <c r="H138" s="125">
        <v>26.04</v>
      </c>
      <c r="I138" s="125"/>
    </row>
    <row r="139" spans="1:9" x14ac:dyDescent="0.35">
      <c r="A139" s="91">
        <v>134</v>
      </c>
      <c r="B139" s="116" t="s">
        <v>227</v>
      </c>
      <c r="C139" s="117"/>
      <c r="D139" s="117" t="s">
        <v>15</v>
      </c>
      <c r="E139" s="125">
        <v>19.98</v>
      </c>
      <c r="F139" s="125"/>
      <c r="G139" s="125">
        <v>28</v>
      </c>
      <c r="H139" s="125">
        <v>25.99</v>
      </c>
      <c r="I139" s="125"/>
    </row>
    <row r="140" spans="1:9" x14ac:dyDescent="0.35">
      <c r="A140" s="91">
        <v>135</v>
      </c>
      <c r="B140" s="116" t="s">
        <v>228</v>
      </c>
      <c r="C140" s="117"/>
      <c r="D140" s="117" t="s">
        <v>15</v>
      </c>
      <c r="E140" s="125">
        <v>15.89</v>
      </c>
      <c r="F140" s="125"/>
      <c r="G140" s="125"/>
      <c r="H140" s="125">
        <v>21.53</v>
      </c>
      <c r="I140" s="125"/>
    </row>
    <row r="141" spans="1:9" x14ac:dyDescent="0.35">
      <c r="A141" s="91">
        <v>136</v>
      </c>
      <c r="B141" s="116" t="s">
        <v>229</v>
      </c>
      <c r="C141" s="117"/>
      <c r="D141" s="117" t="s">
        <v>15</v>
      </c>
      <c r="E141" s="125">
        <v>19.98</v>
      </c>
      <c r="F141" s="125"/>
      <c r="G141" s="125"/>
      <c r="H141" s="125">
        <v>25.99</v>
      </c>
      <c r="I141" s="125"/>
    </row>
    <row r="142" spans="1:9" x14ac:dyDescent="0.35">
      <c r="A142" s="101"/>
      <c r="B142" s="101"/>
      <c r="C142" s="101"/>
      <c r="D142" s="101"/>
      <c r="E142" s="135"/>
      <c r="F142" s="135"/>
      <c r="G142" s="102"/>
      <c r="H142" s="102"/>
    </row>
    <row r="143" spans="1:9" x14ac:dyDescent="0.35">
      <c r="A143" s="101"/>
      <c r="B143" s="101"/>
      <c r="C143" s="101"/>
      <c r="D143" s="101"/>
      <c r="E143" s="135"/>
      <c r="F143" s="135"/>
      <c r="G143" s="102"/>
      <c r="H143" s="102"/>
    </row>
    <row r="144" spans="1:9" x14ac:dyDescent="0.35">
      <c r="A144" s="101"/>
      <c r="B144" s="101"/>
      <c r="C144" s="101"/>
      <c r="D144" s="101"/>
      <c r="E144" s="135"/>
      <c r="F144" s="135"/>
      <c r="G144" s="102"/>
      <c r="H144" s="102"/>
    </row>
    <row r="145" spans="1:8" x14ac:dyDescent="0.35">
      <c r="A145" s="101"/>
      <c r="B145" s="101"/>
      <c r="C145" s="101"/>
      <c r="D145" s="101"/>
      <c r="E145" s="135"/>
      <c r="F145" s="135"/>
      <c r="G145" s="102"/>
      <c r="H145" s="102"/>
    </row>
    <row r="146" spans="1:8" x14ac:dyDescent="0.35">
      <c r="A146" s="101"/>
      <c r="B146" s="101"/>
      <c r="C146" s="101"/>
      <c r="D146" s="101"/>
      <c r="E146" s="135"/>
      <c r="F146" s="135"/>
      <c r="G146" s="102"/>
      <c r="H146" s="102"/>
    </row>
    <row r="147" spans="1:8" x14ac:dyDescent="0.35">
      <c r="A147" s="101"/>
      <c r="B147" s="101"/>
      <c r="C147" s="101"/>
      <c r="D147" s="101"/>
      <c r="E147" s="135"/>
      <c r="F147" s="135"/>
      <c r="G147" s="102"/>
      <c r="H147" s="102"/>
    </row>
    <row r="148" spans="1:8" x14ac:dyDescent="0.35">
      <c r="A148" s="101"/>
      <c r="B148" s="101"/>
      <c r="C148" s="101"/>
      <c r="D148" s="101"/>
      <c r="E148" s="135"/>
      <c r="F148" s="135"/>
      <c r="G148" s="102"/>
      <c r="H148" s="102"/>
    </row>
    <row r="149" spans="1:8" x14ac:dyDescent="0.35">
      <c r="A149" s="101"/>
      <c r="B149" s="101"/>
      <c r="C149" s="101"/>
      <c r="D149" s="101"/>
      <c r="E149" s="135"/>
      <c r="F149" s="135"/>
      <c r="G149" s="102"/>
      <c r="H149" s="102"/>
    </row>
    <row r="150" spans="1:8" x14ac:dyDescent="0.35">
      <c r="A150" s="101"/>
      <c r="B150" s="101"/>
      <c r="C150" s="101"/>
      <c r="D150" s="101"/>
      <c r="E150" s="135"/>
      <c r="F150" s="135"/>
      <c r="G150" s="102"/>
      <c r="H150" s="102"/>
    </row>
    <row r="151" spans="1:8" x14ac:dyDescent="0.35">
      <c r="A151" s="101"/>
      <c r="B151" s="101"/>
      <c r="C151" s="101"/>
      <c r="D151" s="101"/>
      <c r="E151" s="135"/>
      <c r="F151" s="135"/>
      <c r="G151" s="102"/>
      <c r="H151" s="102"/>
    </row>
    <row r="152" spans="1:8" x14ac:dyDescent="0.35">
      <c r="A152" s="101"/>
      <c r="B152" s="101"/>
      <c r="C152" s="101"/>
      <c r="D152" s="101"/>
      <c r="E152" s="135"/>
      <c r="F152" s="135"/>
      <c r="G152" s="102"/>
      <c r="H152" s="102"/>
    </row>
    <row r="153" spans="1:8" x14ac:dyDescent="0.35">
      <c r="A153" s="101"/>
      <c r="B153" s="101"/>
      <c r="C153" s="101"/>
      <c r="D153" s="101"/>
      <c r="E153" s="135"/>
      <c r="F153" s="135"/>
      <c r="G153" s="102"/>
      <c r="H153" s="102"/>
    </row>
    <row r="154" spans="1:8" x14ac:dyDescent="0.35">
      <c r="A154" s="101"/>
      <c r="B154" s="101"/>
      <c r="C154" s="101"/>
      <c r="D154" s="101"/>
      <c r="E154" s="135"/>
      <c r="F154" s="135"/>
      <c r="G154" s="102"/>
      <c r="H154" s="102"/>
    </row>
    <row r="155" spans="1:8" x14ac:dyDescent="0.35">
      <c r="A155" s="101"/>
      <c r="B155" s="101"/>
      <c r="C155" s="101"/>
      <c r="D155" s="101"/>
      <c r="E155" s="135"/>
      <c r="F155" s="135"/>
      <c r="G155" s="102"/>
      <c r="H155" s="102"/>
    </row>
    <row r="156" spans="1:8" x14ac:dyDescent="0.35">
      <c r="A156" s="101"/>
      <c r="B156" s="101"/>
      <c r="C156" s="101"/>
      <c r="D156" s="101"/>
      <c r="E156" s="135"/>
      <c r="F156" s="135"/>
      <c r="G156" s="102"/>
      <c r="H156" s="102"/>
    </row>
    <row r="157" spans="1:8" x14ac:dyDescent="0.35">
      <c r="A157" s="101"/>
      <c r="B157" s="101"/>
      <c r="C157" s="101"/>
      <c r="D157" s="101"/>
      <c r="E157" s="135"/>
      <c r="F157" s="135"/>
      <c r="G157" s="102"/>
      <c r="H157" s="102"/>
    </row>
    <row r="158" spans="1:8" x14ac:dyDescent="0.35">
      <c r="A158" s="101"/>
      <c r="B158" s="101"/>
      <c r="C158" s="101"/>
      <c r="D158" s="101"/>
      <c r="E158" s="135"/>
      <c r="F158" s="135"/>
      <c r="G158" s="102"/>
      <c r="H158" s="102"/>
    </row>
    <row r="159" spans="1:8" x14ac:dyDescent="0.35">
      <c r="A159" s="101"/>
      <c r="B159" s="101"/>
      <c r="C159" s="101"/>
      <c r="D159" s="101"/>
      <c r="E159" s="135"/>
      <c r="F159" s="135"/>
      <c r="G159" s="102"/>
      <c r="H159" s="102"/>
    </row>
    <row r="160" spans="1:8" x14ac:dyDescent="0.35">
      <c r="A160" s="101"/>
      <c r="B160" s="101"/>
      <c r="C160" s="101"/>
      <c r="D160" s="101"/>
      <c r="E160" s="135"/>
      <c r="F160" s="135"/>
      <c r="G160" s="102"/>
      <c r="H160" s="102"/>
    </row>
    <row r="161" spans="1:8" x14ac:dyDescent="0.35">
      <c r="A161" s="101"/>
      <c r="B161" s="101"/>
      <c r="C161" s="101"/>
      <c r="D161" s="101"/>
      <c r="E161" s="135"/>
      <c r="F161" s="135"/>
      <c r="G161" s="102"/>
      <c r="H161" s="102"/>
    </row>
    <row r="162" spans="1:8" x14ac:dyDescent="0.35">
      <c r="A162" s="101"/>
      <c r="B162" s="101"/>
      <c r="C162" s="101"/>
      <c r="D162" s="101"/>
      <c r="E162" s="135"/>
      <c r="F162" s="135"/>
      <c r="G162" s="102"/>
      <c r="H162" s="102"/>
    </row>
    <row r="163" spans="1:8" x14ac:dyDescent="0.35">
      <c r="A163" s="101"/>
      <c r="B163" s="101"/>
      <c r="C163" s="101"/>
      <c r="D163" s="101"/>
      <c r="E163" s="135"/>
      <c r="F163" s="135"/>
      <c r="G163" s="102"/>
      <c r="H163" s="102"/>
    </row>
    <row r="164" spans="1:8" x14ac:dyDescent="0.35">
      <c r="A164" s="101"/>
      <c r="B164" s="101"/>
      <c r="C164" s="101"/>
      <c r="D164" s="101"/>
      <c r="E164" s="135"/>
      <c r="F164" s="135"/>
      <c r="G164" s="102"/>
      <c r="H164" s="102"/>
    </row>
    <row r="165" spans="1:8" x14ac:dyDescent="0.35">
      <c r="A165" s="101"/>
      <c r="B165" s="101"/>
      <c r="C165" s="101"/>
      <c r="D165" s="101"/>
      <c r="E165" s="135"/>
      <c r="F165" s="135"/>
      <c r="G165" s="102"/>
      <c r="H165" s="103"/>
    </row>
    <row r="166" spans="1:8" x14ac:dyDescent="0.35">
      <c r="A166" s="101"/>
      <c r="B166" s="101"/>
      <c r="C166" s="101"/>
      <c r="D166" s="101"/>
      <c r="E166" s="135"/>
      <c r="F166" s="135"/>
      <c r="G166" s="102"/>
      <c r="H166" s="102"/>
    </row>
    <row r="167" spans="1:8" x14ac:dyDescent="0.35">
      <c r="A167" s="101"/>
      <c r="B167" s="101"/>
      <c r="C167" s="101"/>
      <c r="D167" s="101"/>
      <c r="E167" s="135"/>
      <c r="F167" s="135"/>
      <c r="G167" s="102"/>
      <c r="H167" s="102"/>
    </row>
    <row r="168" spans="1:8" x14ac:dyDescent="0.35">
      <c r="A168" s="101"/>
      <c r="B168" s="101"/>
      <c r="C168" s="101"/>
      <c r="D168" s="101"/>
      <c r="E168" s="135"/>
      <c r="F168" s="135"/>
      <c r="G168" s="102"/>
      <c r="H168" s="102"/>
    </row>
    <row r="169" spans="1:8" x14ac:dyDescent="0.35">
      <c r="A169" s="101"/>
      <c r="B169" s="101"/>
      <c r="C169" s="101"/>
      <c r="D169" s="101"/>
      <c r="E169" s="135"/>
      <c r="F169" s="135"/>
      <c r="G169" s="102"/>
      <c r="H169" s="102"/>
    </row>
    <row r="170" spans="1:8" x14ac:dyDescent="0.35">
      <c r="A170" s="101"/>
      <c r="B170" s="101"/>
      <c r="C170" s="101"/>
      <c r="D170" s="101"/>
      <c r="E170" s="135"/>
      <c r="F170" s="135"/>
      <c r="G170" s="102"/>
      <c r="H170" s="102"/>
    </row>
    <row r="171" spans="1:8" x14ac:dyDescent="0.35">
      <c r="A171" s="86"/>
      <c r="B171" s="86"/>
      <c r="C171" s="86"/>
      <c r="D171" s="86"/>
      <c r="G171" s="86"/>
      <c r="H171" s="86"/>
    </row>
    <row r="172" spans="1:8" x14ac:dyDescent="0.35">
      <c r="A172" s="86"/>
      <c r="B172" s="86"/>
      <c r="C172" s="86"/>
      <c r="D172" s="86"/>
      <c r="G172" s="86"/>
      <c r="H172" s="86"/>
    </row>
    <row r="173" spans="1:8" x14ac:dyDescent="0.35">
      <c r="A173" s="86"/>
      <c r="B173" s="86"/>
      <c r="C173" s="86"/>
      <c r="D173" s="86"/>
      <c r="G173" s="86"/>
      <c r="H173" s="86"/>
    </row>
    <row r="174" spans="1:8" x14ac:dyDescent="0.35">
      <c r="A174" s="86"/>
      <c r="B174" s="86"/>
      <c r="C174" s="86"/>
      <c r="D174" s="86"/>
      <c r="G174" s="86"/>
      <c r="H174" s="86"/>
    </row>
    <row r="175" spans="1:8" x14ac:dyDescent="0.35">
      <c r="A175" s="86"/>
      <c r="B175" s="86"/>
      <c r="C175" s="86"/>
      <c r="D175" s="86"/>
      <c r="G175" s="86"/>
      <c r="H175" s="86"/>
    </row>
    <row r="176" spans="1:8" x14ac:dyDescent="0.35">
      <c r="A176" s="86"/>
      <c r="B176" s="86"/>
      <c r="C176" s="86"/>
      <c r="D176" s="86"/>
      <c r="G176" s="86"/>
      <c r="H176" s="86"/>
    </row>
    <row r="177" spans="1:8" x14ac:dyDescent="0.35">
      <c r="A177" s="86"/>
      <c r="B177" s="86"/>
      <c r="C177" s="86"/>
      <c r="D177" s="86"/>
      <c r="G177" s="86"/>
      <c r="H177" s="86"/>
    </row>
    <row r="178" spans="1:8" x14ac:dyDescent="0.35">
      <c r="A178" s="86"/>
      <c r="B178" s="86"/>
      <c r="C178" s="86"/>
      <c r="D178" s="86"/>
      <c r="G178" s="86"/>
      <c r="H178" s="86"/>
    </row>
    <row r="179" spans="1:8" x14ac:dyDescent="0.35">
      <c r="A179" s="86"/>
      <c r="B179" s="86"/>
      <c r="C179" s="86"/>
      <c r="D179" s="86"/>
      <c r="G179" s="86"/>
      <c r="H179" s="86"/>
    </row>
    <row r="180" spans="1:8" x14ac:dyDescent="0.35">
      <c r="A180" s="86"/>
      <c r="B180" s="86"/>
      <c r="C180" s="86"/>
      <c r="D180" s="86"/>
      <c r="G180" s="86"/>
      <c r="H180" s="86"/>
    </row>
    <row r="181" spans="1:8" x14ac:dyDescent="0.35">
      <c r="A181" s="86"/>
      <c r="B181" s="86"/>
      <c r="C181" s="86"/>
      <c r="D181" s="86"/>
      <c r="G181" s="86"/>
      <c r="H181" s="86"/>
    </row>
    <row r="182" spans="1:8" x14ac:dyDescent="0.35">
      <c r="A182" s="86"/>
      <c r="B182" s="86"/>
      <c r="C182" s="86"/>
      <c r="D182" s="86"/>
      <c r="G182" s="86"/>
      <c r="H182" s="86"/>
    </row>
    <row r="183" spans="1:8" x14ac:dyDescent="0.35">
      <c r="A183" s="86"/>
      <c r="B183" s="86"/>
      <c r="C183" s="86"/>
      <c r="D183" s="86"/>
      <c r="G183" s="86"/>
      <c r="H183" s="86"/>
    </row>
    <row r="184" spans="1:8" x14ac:dyDescent="0.35">
      <c r="A184" s="86"/>
      <c r="B184" s="86"/>
      <c r="C184" s="86"/>
      <c r="D184" s="86"/>
      <c r="G184" s="86"/>
      <c r="H184" s="86"/>
    </row>
    <row r="185" spans="1:8" x14ac:dyDescent="0.35">
      <c r="A185" s="86"/>
      <c r="B185" s="86"/>
      <c r="C185" s="86"/>
      <c r="D185" s="86"/>
      <c r="G185" s="86"/>
      <c r="H185" s="86"/>
    </row>
    <row r="186" spans="1:8" x14ac:dyDescent="0.35">
      <c r="A186" s="86"/>
      <c r="B186" s="86"/>
      <c r="C186" s="86"/>
      <c r="D186" s="86"/>
      <c r="G186" s="86"/>
      <c r="H186" s="86"/>
    </row>
    <row r="187" spans="1:8" x14ac:dyDescent="0.35">
      <c r="A187" s="86"/>
      <c r="B187" s="86"/>
      <c r="C187" s="86"/>
      <c r="D187" s="86"/>
      <c r="G187" s="86"/>
      <c r="H187" s="86"/>
    </row>
    <row r="188" spans="1:8" x14ac:dyDescent="0.35">
      <c r="A188" s="86"/>
      <c r="B188" s="86"/>
      <c r="C188" s="86"/>
      <c r="D188" s="86"/>
      <c r="G188" s="86"/>
      <c r="H188" s="86"/>
    </row>
    <row r="189" spans="1:8" x14ac:dyDescent="0.35">
      <c r="A189" s="86"/>
      <c r="B189" s="86"/>
      <c r="C189" s="86"/>
      <c r="D189" s="86"/>
      <c r="G189" s="86"/>
      <c r="H189" s="86"/>
    </row>
    <row r="190" spans="1:8" x14ac:dyDescent="0.35">
      <c r="A190" s="86"/>
      <c r="B190" s="86"/>
      <c r="C190" s="86"/>
      <c r="D190" s="86"/>
      <c r="G190" s="86"/>
      <c r="H190" s="86"/>
    </row>
    <row r="191" spans="1:8" x14ac:dyDescent="0.35">
      <c r="A191" s="86"/>
      <c r="B191" s="86"/>
      <c r="C191" s="86"/>
      <c r="D191" s="86"/>
      <c r="G191" s="86"/>
      <c r="H191" s="86"/>
    </row>
  </sheetData>
  <autoFilter ref="B2:B174"/>
  <sortState ref="A6:I141">
    <sortCondition ref="A6"/>
  </sortState>
  <mergeCells count="4">
    <mergeCell ref="E4:F4"/>
    <mergeCell ref="G4:H4"/>
    <mergeCell ref="A1:B1"/>
    <mergeCell ref="A3:H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U141"/>
  <sheetViews>
    <sheetView workbookViewId="0">
      <pane xSplit="4" ySplit="5" topLeftCell="J6" activePane="bottomRight" state="frozen"/>
      <selection pane="topRight" activeCell="E1" sqref="E1"/>
      <selection pane="bottomLeft" activeCell="A6" sqref="A6"/>
      <selection pane="bottomRight" activeCell="R148" sqref="R148"/>
    </sheetView>
  </sheetViews>
  <sheetFormatPr defaultRowHeight="14.5" x14ac:dyDescent="0.35"/>
  <cols>
    <col min="1" max="1" width="4.54296875" customWidth="1"/>
    <col min="2" max="2" width="31.1796875" customWidth="1"/>
    <col min="3" max="3" width="23" customWidth="1"/>
    <col min="4" max="4" width="9.1796875" customWidth="1"/>
    <col min="5" max="5" width="9.1796875" style="133" customWidth="1"/>
    <col min="6" max="6" width="12.54296875" style="133" customWidth="1"/>
    <col min="7" max="7" width="10" style="133" bestFit="1" customWidth="1"/>
    <col min="8" max="8" width="10.453125" style="133" bestFit="1" customWidth="1"/>
    <col min="9" max="9" width="8.7265625" style="133" bestFit="1" customWidth="1"/>
    <col min="10" max="11" width="7.54296875" style="133" bestFit="1" customWidth="1"/>
    <col min="12" max="12" width="9.453125" style="133" bestFit="1" customWidth="1"/>
    <col min="13" max="13" width="7.7265625" style="133" bestFit="1" customWidth="1"/>
    <col min="14" max="14" width="8.453125" style="133" bestFit="1" customWidth="1"/>
    <col min="15" max="15" width="11.26953125" style="133" customWidth="1"/>
    <col min="16" max="16" width="7.7265625" style="133" bestFit="1" customWidth="1"/>
    <col min="17" max="17" width="7.54296875" style="47" bestFit="1" customWidth="1"/>
    <col min="18" max="18" width="10.7265625" style="47" bestFit="1" customWidth="1"/>
    <col min="19" max="19" width="7.54296875" style="47" bestFit="1" customWidth="1"/>
    <col min="20" max="20" width="7.7265625" style="47" bestFit="1" customWidth="1"/>
  </cols>
  <sheetData>
    <row r="1" spans="1:21" s="74" customFormat="1" x14ac:dyDescent="0.35">
      <c r="A1" s="151" t="s">
        <v>287</v>
      </c>
      <c r="B1" s="151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47"/>
      <c r="R1" s="47"/>
      <c r="S1" s="47"/>
      <c r="T1" s="47"/>
    </row>
    <row r="2" spans="1:21" ht="14.5" customHeight="1" x14ac:dyDescent="0.35">
      <c r="B2" s="73" t="s">
        <v>290</v>
      </c>
      <c r="E2" s="47"/>
      <c r="F2" s="47"/>
      <c r="G2" s="136"/>
      <c r="H2" s="136"/>
      <c r="I2" s="136"/>
      <c r="J2" s="136"/>
      <c r="K2" s="136"/>
      <c r="L2" s="136"/>
      <c r="M2" s="136"/>
      <c r="N2" s="136"/>
      <c r="O2" s="168" t="s">
        <v>288</v>
      </c>
      <c r="P2" s="168"/>
    </row>
    <row r="3" spans="1:21" s="72" customFormat="1" ht="14.5" customHeight="1" x14ac:dyDescent="0.35">
      <c r="A3" s="170" t="s">
        <v>253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74"/>
    </row>
    <row r="4" spans="1:21" ht="15" customHeight="1" x14ac:dyDescent="0.35">
      <c r="A4" s="2"/>
      <c r="B4" s="2"/>
      <c r="C4" s="2"/>
      <c r="D4" s="2"/>
      <c r="E4" s="174" t="s">
        <v>294</v>
      </c>
      <c r="F4" s="175"/>
      <c r="G4" s="169" t="s">
        <v>254</v>
      </c>
      <c r="H4" s="169"/>
      <c r="I4" s="169" t="s">
        <v>255</v>
      </c>
      <c r="J4" s="169"/>
      <c r="K4" s="169" t="s">
        <v>256</v>
      </c>
      <c r="L4" s="169"/>
      <c r="M4" s="171" t="s">
        <v>257</v>
      </c>
      <c r="N4" s="171"/>
      <c r="O4" s="172" t="s">
        <v>258</v>
      </c>
      <c r="P4" s="173"/>
      <c r="Q4" s="169" t="s">
        <v>259</v>
      </c>
      <c r="R4" s="169"/>
      <c r="S4" s="169" t="s">
        <v>260</v>
      </c>
      <c r="T4" s="169"/>
    </row>
    <row r="5" spans="1:21" ht="47.25" customHeight="1" x14ac:dyDescent="0.35">
      <c r="A5" s="76" t="s">
        <v>5</v>
      </c>
      <c r="B5" s="76" t="s">
        <v>6</v>
      </c>
      <c r="C5" s="76" t="s">
        <v>7</v>
      </c>
      <c r="D5" s="76" t="s">
        <v>8</v>
      </c>
      <c r="E5" s="78" t="s">
        <v>297</v>
      </c>
      <c r="F5" s="78" t="s">
        <v>292</v>
      </c>
      <c r="G5" s="77" t="s">
        <v>285</v>
      </c>
      <c r="H5" s="77" t="s">
        <v>272</v>
      </c>
      <c r="I5" s="77" t="s">
        <v>263</v>
      </c>
      <c r="J5" s="77" t="s">
        <v>264</v>
      </c>
      <c r="K5" s="77" t="s">
        <v>265</v>
      </c>
      <c r="L5" s="77" t="s">
        <v>284</v>
      </c>
      <c r="M5" s="77" t="s">
        <v>267</v>
      </c>
      <c r="N5" s="132" t="s">
        <v>268</v>
      </c>
      <c r="O5" s="132" t="s">
        <v>293</v>
      </c>
      <c r="P5" s="132" t="s">
        <v>270</v>
      </c>
      <c r="Q5" s="77" t="s">
        <v>271</v>
      </c>
      <c r="R5" s="77" t="s">
        <v>273</v>
      </c>
      <c r="S5" s="77" t="s">
        <v>271</v>
      </c>
      <c r="T5" s="77" t="s">
        <v>270</v>
      </c>
    </row>
    <row r="6" spans="1:21" x14ac:dyDescent="0.35">
      <c r="A6" s="104">
        <v>1</v>
      </c>
      <c r="B6" s="120" t="s">
        <v>13</v>
      </c>
      <c r="C6" s="120" t="s">
        <v>14</v>
      </c>
      <c r="D6" s="120" t="s">
        <v>15</v>
      </c>
      <c r="E6" s="28"/>
      <c r="F6" s="28"/>
      <c r="G6" s="125"/>
      <c r="H6" s="125"/>
      <c r="I6" s="28"/>
      <c r="J6" s="28"/>
      <c r="K6" s="28"/>
      <c r="L6" s="28"/>
      <c r="M6" s="125"/>
      <c r="N6" s="125"/>
      <c r="O6" s="125"/>
      <c r="P6" s="125"/>
      <c r="Q6" s="125">
        <v>19.95</v>
      </c>
      <c r="R6" s="125"/>
      <c r="S6" s="28">
        <v>21.95</v>
      </c>
      <c r="T6" s="28"/>
    </row>
    <row r="7" spans="1:21" s="75" customFormat="1" ht="14.5" customHeight="1" x14ac:dyDescent="0.35">
      <c r="A7" s="104">
        <v>2</v>
      </c>
      <c r="B7" s="120" t="s">
        <v>13</v>
      </c>
      <c r="C7" s="120" t="s">
        <v>16</v>
      </c>
      <c r="D7" s="120" t="s">
        <v>15</v>
      </c>
      <c r="E7" s="28"/>
      <c r="F7" s="28"/>
      <c r="G7" s="125">
        <v>17.05</v>
      </c>
      <c r="H7" s="125"/>
      <c r="I7" s="28"/>
      <c r="J7" s="28"/>
      <c r="K7" s="28"/>
      <c r="L7" s="28"/>
      <c r="M7" s="125">
        <v>20.05</v>
      </c>
      <c r="N7" s="125"/>
      <c r="O7" s="125">
        <v>19.5</v>
      </c>
      <c r="P7" s="125"/>
      <c r="Q7" s="125"/>
      <c r="R7" s="125"/>
      <c r="S7" s="28"/>
      <c r="T7" s="28"/>
    </row>
    <row r="8" spans="1:21" s="75" customFormat="1" ht="14.5" customHeight="1" x14ac:dyDescent="0.35">
      <c r="A8" s="104">
        <v>3</v>
      </c>
      <c r="B8" s="120" t="s">
        <v>17</v>
      </c>
      <c r="C8" s="121" t="s">
        <v>18</v>
      </c>
      <c r="D8" s="121" t="s">
        <v>19</v>
      </c>
      <c r="E8" s="28"/>
      <c r="F8" s="28"/>
      <c r="G8" s="125"/>
      <c r="H8" s="125"/>
      <c r="I8" s="28"/>
      <c r="J8" s="28"/>
      <c r="K8" s="28">
        <v>28.5</v>
      </c>
      <c r="L8" s="28">
        <v>31.95</v>
      </c>
      <c r="M8" s="125">
        <v>28.95</v>
      </c>
      <c r="N8" s="125"/>
      <c r="O8" s="125">
        <v>29.5</v>
      </c>
      <c r="P8" s="125"/>
      <c r="Q8" s="125"/>
      <c r="R8" s="125"/>
      <c r="S8" s="28">
        <v>34.950000000000003</v>
      </c>
      <c r="T8" s="28"/>
    </row>
    <row r="9" spans="1:21" s="75" customFormat="1" ht="14.5" customHeight="1" x14ac:dyDescent="0.35">
      <c r="A9" s="104">
        <v>4</v>
      </c>
      <c r="B9" s="120" t="s">
        <v>20</v>
      </c>
      <c r="C9" s="121" t="s">
        <v>18</v>
      </c>
      <c r="D9" s="121" t="s">
        <v>19</v>
      </c>
      <c r="E9" s="28"/>
      <c r="F9" s="28"/>
      <c r="G9" s="125"/>
      <c r="H9" s="125"/>
      <c r="I9" s="28"/>
      <c r="J9" s="28"/>
      <c r="K9" s="28">
        <v>27.95</v>
      </c>
      <c r="L9" s="28">
        <v>28.95</v>
      </c>
      <c r="M9" s="125"/>
      <c r="N9" s="125"/>
      <c r="O9" s="125">
        <v>26.95</v>
      </c>
      <c r="P9" s="125"/>
      <c r="Q9" s="125">
        <v>24.95</v>
      </c>
      <c r="R9" s="125"/>
      <c r="S9" s="28">
        <v>29.95</v>
      </c>
      <c r="T9" s="28"/>
    </row>
    <row r="10" spans="1:21" s="75" customFormat="1" ht="14.5" customHeight="1" x14ac:dyDescent="0.35">
      <c r="A10" s="104">
        <v>5</v>
      </c>
      <c r="B10" s="120" t="s">
        <v>21</v>
      </c>
      <c r="C10" s="121" t="s">
        <v>18</v>
      </c>
      <c r="D10" s="121" t="s">
        <v>19</v>
      </c>
      <c r="E10" s="28"/>
      <c r="F10" s="28"/>
      <c r="G10" s="125"/>
      <c r="H10" s="125"/>
      <c r="I10" s="28"/>
      <c r="J10" s="28"/>
      <c r="K10" s="28">
        <v>18.95</v>
      </c>
      <c r="L10" s="28">
        <v>20.95</v>
      </c>
      <c r="M10" s="125">
        <v>19.25</v>
      </c>
      <c r="N10" s="125"/>
      <c r="O10" s="125">
        <v>19.95</v>
      </c>
      <c r="P10" s="125"/>
      <c r="Q10" s="125"/>
      <c r="R10" s="125"/>
      <c r="S10" s="28"/>
      <c r="T10" s="28"/>
    </row>
    <row r="11" spans="1:21" s="75" customFormat="1" ht="14.5" customHeight="1" x14ac:dyDescent="0.35">
      <c r="A11" s="104">
        <v>6</v>
      </c>
      <c r="B11" s="120" t="s">
        <v>22</v>
      </c>
      <c r="C11" s="121" t="s">
        <v>18</v>
      </c>
      <c r="D11" s="121" t="s">
        <v>19</v>
      </c>
      <c r="E11" s="28"/>
      <c r="F11" s="28"/>
      <c r="G11" s="125"/>
      <c r="H11" s="125"/>
      <c r="I11" s="28"/>
      <c r="J11" s="28"/>
      <c r="K11" s="28">
        <v>29.95</v>
      </c>
      <c r="L11" s="28">
        <v>34.950000000000003</v>
      </c>
      <c r="M11" s="125"/>
      <c r="N11" s="125"/>
      <c r="O11" s="125">
        <v>32.950000000000003</v>
      </c>
      <c r="P11" s="125"/>
      <c r="Q11" s="125"/>
      <c r="R11" s="125"/>
      <c r="S11" s="28">
        <v>34.950000000000003</v>
      </c>
      <c r="T11" s="28"/>
    </row>
    <row r="12" spans="1:21" s="75" customFormat="1" x14ac:dyDescent="0.35">
      <c r="A12" s="104">
        <v>7</v>
      </c>
      <c r="B12" s="120" t="s">
        <v>23</v>
      </c>
      <c r="C12" s="121" t="s">
        <v>18</v>
      </c>
      <c r="D12" s="121" t="s">
        <v>19</v>
      </c>
      <c r="E12" s="28"/>
      <c r="F12" s="28"/>
      <c r="G12" s="125"/>
      <c r="H12" s="125"/>
      <c r="I12" s="28"/>
      <c r="J12" s="28"/>
      <c r="K12" s="28"/>
      <c r="L12" s="28"/>
      <c r="M12" s="125">
        <v>51.25</v>
      </c>
      <c r="N12" s="125"/>
      <c r="O12" s="125"/>
      <c r="P12" s="125"/>
      <c r="Q12" s="125"/>
      <c r="R12" s="125"/>
      <c r="S12" s="28"/>
      <c r="T12" s="28"/>
    </row>
    <row r="13" spans="1:21" s="75" customFormat="1" x14ac:dyDescent="0.35">
      <c r="A13" s="124">
        <v>8</v>
      </c>
      <c r="B13" s="120" t="s">
        <v>24</v>
      </c>
      <c r="C13" s="121"/>
      <c r="D13" s="121" t="s">
        <v>15</v>
      </c>
      <c r="E13" s="28">
        <v>15.02</v>
      </c>
      <c r="F13" s="28">
        <v>20.95</v>
      </c>
      <c r="G13" s="125">
        <v>18.14</v>
      </c>
      <c r="H13" s="125">
        <v>17.95</v>
      </c>
      <c r="I13" s="28">
        <v>21</v>
      </c>
      <c r="J13" s="28">
        <v>15</v>
      </c>
      <c r="K13" s="28">
        <v>21</v>
      </c>
      <c r="L13" s="28">
        <v>17.95</v>
      </c>
      <c r="M13" s="125"/>
      <c r="N13" s="125">
        <v>20</v>
      </c>
      <c r="O13" s="125"/>
      <c r="P13" s="125">
        <v>19.989999999999998</v>
      </c>
      <c r="Q13" s="125">
        <v>16.95</v>
      </c>
      <c r="R13" s="125">
        <v>16.989999999999998</v>
      </c>
      <c r="S13" s="28">
        <v>16.95</v>
      </c>
      <c r="T13" s="28">
        <v>19.989999999999998</v>
      </c>
    </row>
    <row r="14" spans="1:21" s="75" customFormat="1" x14ac:dyDescent="0.35">
      <c r="A14" s="124">
        <v>9</v>
      </c>
      <c r="B14" s="120" t="s">
        <v>25</v>
      </c>
      <c r="C14" s="121"/>
      <c r="D14" s="121" t="s">
        <v>15</v>
      </c>
      <c r="E14" s="28">
        <v>28.07</v>
      </c>
      <c r="F14" s="28">
        <v>29.9</v>
      </c>
      <c r="G14" s="125">
        <v>31.75</v>
      </c>
      <c r="H14" s="125"/>
      <c r="I14" s="28">
        <v>36.36</v>
      </c>
      <c r="J14" s="28"/>
      <c r="K14" s="28"/>
      <c r="L14" s="28">
        <v>35.950000000000003</v>
      </c>
      <c r="M14" s="125"/>
      <c r="N14" s="125">
        <v>32.979999999999997</v>
      </c>
      <c r="O14" s="125">
        <v>34.950000000000003</v>
      </c>
      <c r="P14" s="125">
        <v>32.99</v>
      </c>
      <c r="Q14" s="125">
        <v>29.95</v>
      </c>
      <c r="R14" s="125">
        <v>32.99</v>
      </c>
      <c r="S14" s="28">
        <v>32.950000000000003</v>
      </c>
      <c r="T14" s="28">
        <v>32.99</v>
      </c>
    </row>
    <row r="15" spans="1:21" s="75" customFormat="1" x14ac:dyDescent="0.35">
      <c r="A15" s="124">
        <v>10</v>
      </c>
      <c r="B15" s="120" t="s">
        <v>26</v>
      </c>
      <c r="C15" s="121"/>
      <c r="D15" s="121" t="s">
        <v>15</v>
      </c>
      <c r="E15" s="28">
        <v>30.73</v>
      </c>
      <c r="F15" s="28">
        <v>28.35</v>
      </c>
      <c r="G15" s="125">
        <v>32.21</v>
      </c>
      <c r="H15" s="125">
        <v>27.95</v>
      </c>
      <c r="I15" s="28">
        <v>26</v>
      </c>
      <c r="J15" s="28">
        <v>30</v>
      </c>
      <c r="K15" s="28">
        <v>27</v>
      </c>
      <c r="L15" s="28"/>
      <c r="M15" s="125">
        <v>31.81</v>
      </c>
      <c r="N15" s="125">
        <v>29.39</v>
      </c>
      <c r="O15" s="125"/>
      <c r="P15" s="125">
        <v>31.18</v>
      </c>
      <c r="Q15" s="125">
        <v>24.95</v>
      </c>
      <c r="R15" s="125">
        <v>28.99</v>
      </c>
      <c r="S15" s="28">
        <v>29.95</v>
      </c>
      <c r="T15" s="28">
        <v>28.99</v>
      </c>
    </row>
    <row r="16" spans="1:21" s="75" customFormat="1" x14ac:dyDescent="0.35">
      <c r="A16" s="124">
        <v>11</v>
      </c>
      <c r="B16" s="120" t="s">
        <v>27</v>
      </c>
      <c r="C16" s="121" t="s">
        <v>28</v>
      </c>
      <c r="D16" s="121" t="s">
        <v>29</v>
      </c>
      <c r="E16" s="28">
        <v>15.25</v>
      </c>
      <c r="F16" s="28">
        <v>15</v>
      </c>
      <c r="G16" s="125">
        <v>16.350000000000001</v>
      </c>
      <c r="H16" s="125">
        <v>15.95</v>
      </c>
      <c r="I16" s="150">
        <v>13.75</v>
      </c>
      <c r="J16" s="28">
        <v>16</v>
      </c>
      <c r="K16" s="28"/>
      <c r="L16" s="28">
        <v>15.95</v>
      </c>
      <c r="M16" s="125">
        <v>14.99</v>
      </c>
      <c r="N16" s="125"/>
      <c r="O16" s="125">
        <v>15.5</v>
      </c>
      <c r="P16" s="125">
        <v>15.99</v>
      </c>
      <c r="Q16" s="125">
        <v>16.95</v>
      </c>
      <c r="R16" s="125">
        <v>15.99</v>
      </c>
      <c r="S16" s="28">
        <v>17.95</v>
      </c>
      <c r="T16" s="28"/>
    </row>
    <row r="17" spans="1:20" s="75" customFormat="1" x14ac:dyDescent="0.35">
      <c r="A17" s="124">
        <v>12</v>
      </c>
      <c r="B17" s="124" t="s">
        <v>306</v>
      </c>
      <c r="C17" s="121" t="s">
        <v>31</v>
      </c>
      <c r="D17" s="121" t="s">
        <v>15</v>
      </c>
      <c r="E17" s="28">
        <v>26.05</v>
      </c>
      <c r="F17" s="28">
        <v>27.2</v>
      </c>
      <c r="G17" s="125">
        <v>31.3</v>
      </c>
      <c r="H17" s="125"/>
      <c r="I17" s="28"/>
      <c r="J17" s="28"/>
      <c r="K17" s="28"/>
      <c r="L17" s="28">
        <v>29.95</v>
      </c>
      <c r="M17" s="125">
        <v>28.18</v>
      </c>
      <c r="N17" s="125">
        <v>27.05</v>
      </c>
      <c r="O17" s="125">
        <v>26.95</v>
      </c>
      <c r="P17" s="125">
        <v>27.05</v>
      </c>
      <c r="Q17" s="125">
        <v>29.95</v>
      </c>
      <c r="R17" s="125">
        <v>26.99</v>
      </c>
      <c r="S17" s="28">
        <v>25.95</v>
      </c>
      <c r="T17" s="28">
        <v>26.99</v>
      </c>
    </row>
    <row r="18" spans="1:20" s="75" customFormat="1" x14ac:dyDescent="0.35">
      <c r="A18" s="124">
        <v>13</v>
      </c>
      <c r="B18" s="124" t="s">
        <v>307</v>
      </c>
      <c r="C18" s="121" t="s">
        <v>32</v>
      </c>
      <c r="D18" s="121" t="s">
        <v>15</v>
      </c>
      <c r="E18" s="28"/>
      <c r="F18" s="28"/>
      <c r="G18" s="125"/>
      <c r="H18" s="125"/>
      <c r="I18" s="28"/>
      <c r="J18" s="28"/>
      <c r="K18" s="28"/>
      <c r="L18" s="28"/>
      <c r="M18" s="125"/>
      <c r="N18" s="125"/>
      <c r="O18" s="125"/>
      <c r="P18" s="125"/>
      <c r="Q18" s="125"/>
      <c r="R18" s="125"/>
      <c r="S18" s="28"/>
      <c r="T18" s="28"/>
    </row>
    <row r="19" spans="1:20" s="75" customFormat="1" x14ac:dyDescent="0.35">
      <c r="A19" s="124">
        <v>14</v>
      </c>
      <c r="B19" s="124" t="s">
        <v>304</v>
      </c>
      <c r="C19" s="121" t="s">
        <v>31</v>
      </c>
      <c r="D19" s="121" t="s">
        <v>15</v>
      </c>
      <c r="E19" s="28"/>
      <c r="F19" s="28"/>
      <c r="G19" s="125"/>
      <c r="H19" s="125"/>
      <c r="I19" s="28"/>
      <c r="J19" s="28"/>
      <c r="K19" s="28"/>
      <c r="L19" s="28"/>
      <c r="M19" s="125">
        <v>31.8</v>
      </c>
      <c r="N19" s="125"/>
      <c r="O19" s="125"/>
      <c r="P19" s="125"/>
      <c r="Q19" s="125">
        <v>39.950000000000003</v>
      </c>
      <c r="R19" s="125"/>
      <c r="S19" s="28">
        <v>30.95</v>
      </c>
      <c r="T19" s="28"/>
    </row>
    <row r="20" spans="1:20" s="75" customFormat="1" x14ac:dyDescent="0.35">
      <c r="A20" s="124">
        <v>15</v>
      </c>
      <c r="B20" s="124" t="s">
        <v>305</v>
      </c>
      <c r="C20" s="121" t="s">
        <v>32</v>
      </c>
      <c r="D20" s="121" t="s">
        <v>15</v>
      </c>
      <c r="E20" s="28"/>
      <c r="F20" s="28"/>
      <c r="G20" s="125"/>
      <c r="H20" s="125"/>
      <c r="I20" s="28">
        <v>38.950000000000003</v>
      </c>
      <c r="J20" s="28"/>
      <c r="K20" s="28">
        <v>39.950000000000003</v>
      </c>
      <c r="L20" s="28"/>
      <c r="M20" s="125"/>
      <c r="N20" s="125"/>
      <c r="O20" s="125"/>
      <c r="P20" s="125"/>
      <c r="Q20" s="125"/>
      <c r="R20" s="125"/>
      <c r="S20" s="28"/>
      <c r="T20" s="28"/>
    </row>
    <row r="21" spans="1:20" s="75" customFormat="1" x14ac:dyDescent="0.35">
      <c r="A21" s="124">
        <v>16</v>
      </c>
      <c r="B21" s="120" t="s">
        <v>34</v>
      </c>
      <c r="C21" s="121"/>
      <c r="D21" s="121" t="s">
        <v>15</v>
      </c>
      <c r="E21" s="28">
        <v>25.05</v>
      </c>
      <c r="F21" s="28">
        <v>21.95</v>
      </c>
      <c r="G21" s="125">
        <v>22.88</v>
      </c>
      <c r="H21" s="125">
        <v>32.950000000000003</v>
      </c>
      <c r="I21" s="28">
        <v>27.27</v>
      </c>
      <c r="J21" s="28">
        <v>25</v>
      </c>
      <c r="K21" s="28">
        <v>23.95</v>
      </c>
      <c r="L21" s="28">
        <v>28.95</v>
      </c>
      <c r="M21" s="125">
        <v>23.61</v>
      </c>
      <c r="N21" s="125">
        <v>27.05</v>
      </c>
      <c r="O21" s="125">
        <v>24.95</v>
      </c>
      <c r="P21" s="125">
        <v>27.05</v>
      </c>
      <c r="Q21" s="125">
        <v>26.95</v>
      </c>
      <c r="R21" s="125">
        <v>27</v>
      </c>
      <c r="S21" s="28">
        <v>26.95</v>
      </c>
      <c r="T21" s="28">
        <v>27</v>
      </c>
    </row>
    <row r="22" spans="1:20" s="75" customFormat="1" x14ac:dyDescent="0.35">
      <c r="A22" s="124">
        <v>17</v>
      </c>
      <c r="B22" s="120" t="s">
        <v>35</v>
      </c>
      <c r="C22" s="121" t="s">
        <v>36</v>
      </c>
      <c r="D22" s="121" t="s">
        <v>15</v>
      </c>
      <c r="E22" s="28">
        <v>62.95</v>
      </c>
      <c r="F22" s="28">
        <v>55.95</v>
      </c>
      <c r="G22" s="125">
        <v>59.6</v>
      </c>
      <c r="H22" s="125"/>
      <c r="I22" s="28">
        <v>58.25</v>
      </c>
      <c r="J22" s="28"/>
      <c r="K22" s="28">
        <v>57.95</v>
      </c>
      <c r="L22" s="28"/>
      <c r="M22" s="125"/>
      <c r="N22" s="125">
        <v>58.99</v>
      </c>
      <c r="O22" s="125">
        <v>58.5</v>
      </c>
      <c r="P22" s="125">
        <v>55.99</v>
      </c>
      <c r="Q22" s="125">
        <v>62.95</v>
      </c>
      <c r="R22" s="125">
        <v>58.99</v>
      </c>
      <c r="S22" s="28">
        <v>55.95</v>
      </c>
      <c r="T22" s="28"/>
    </row>
    <row r="23" spans="1:20" s="75" customFormat="1" x14ac:dyDescent="0.35">
      <c r="A23" s="124">
        <v>18</v>
      </c>
      <c r="B23" s="120" t="s">
        <v>37</v>
      </c>
      <c r="C23" s="121"/>
      <c r="D23" s="121" t="s">
        <v>15</v>
      </c>
      <c r="E23" s="28">
        <v>28</v>
      </c>
      <c r="F23" s="28">
        <v>29.95</v>
      </c>
      <c r="G23" s="125">
        <v>27.44</v>
      </c>
      <c r="H23" s="125">
        <v>29.95</v>
      </c>
      <c r="I23" s="28">
        <v>30</v>
      </c>
      <c r="J23" s="28">
        <v>30</v>
      </c>
      <c r="K23" s="28">
        <v>32</v>
      </c>
      <c r="L23" s="28">
        <v>29.95</v>
      </c>
      <c r="M23" s="125">
        <v>28.64</v>
      </c>
      <c r="N23" s="125">
        <v>32.06</v>
      </c>
      <c r="O23" s="125">
        <v>27.95</v>
      </c>
      <c r="P23" s="125">
        <v>32.06</v>
      </c>
      <c r="Q23" s="125">
        <v>29.95</v>
      </c>
      <c r="R23" s="125">
        <v>29</v>
      </c>
      <c r="S23" s="28">
        <v>29.95</v>
      </c>
      <c r="T23" s="28">
        <v>29</v>
      </c>
    </row>
    <row r="24" spans="1:20" s="75" customFormat="1" x14ac:dyDescent="0.35">
      <c r="A24" s="124">
        <v>19</v>
      </c>
      <c r="B24" s="120" t="s">
        <v>38</v>
      </c>
      <c r="C24" s="121" t="s">
        <v>39</v>
      </c>
      <c r="D24" s="121" t="s">
        <v>40</v>
      </c>
      <c r="E24" s="28"/>
      <c r="F24" s="28">
        <v>16.95</v>
      </c>
      <c r="G24" s="125">
        <v>15.29</v>
      </c>
      <c r="H24" s="125">
        <v>16.95</v>
      </c>
      <c r="I24" s="28">
        <v>14.95</v>
      </c>
      <c r="J24" s="28">
        <v>15</v>
      </c>
      <c r="K24" s="28">
        <v>15.95</v>
      </c>
      <c r="L24" s="28">
        <v>16.95</v>
      </c>
      <c r="M24" s="125">
        <v>16.8</v>
      </c>
      <c r="N24" s="125">
        <v>15.99</v>
      </c>
      <c r="O24" s="125">
        <v>14.95</v>
      </c>
      <c r="P24" s="125">
        <v>15.99</v>
      </c>
      <c r="Q24" s="125">
        <v>16.95</v>
      </c>
      <c r="R24" s="125">
        <v>15.99</v>
      </c>
      <c r="S24" s="28">
        <v>16.95</v>
      </c>
      <c r="T24" s="28">
        <v>15.99</v>
      </c>
    </row>
    <row r="25" spans="1:20" s="75" customFormat="1" x14ac:dyDescent="0.35">
      <c r="A25" s="124">
        <v>20</v>
      </c>
      <c r="B25" s="120" t="s">
        <v>38</v>
      </c>
      <c r="C25" s="121" t="s">
        <v>41</v>
      </c>
      <c r="D25" s="121" t="s">
        <v>40</v>
      </c>
      <c r="E25" s="28">
        <v>9.9499999999999993</v>
      </c>
      <c r="F25" s="28">
        <v>9.5</v>
      </c>
      <c r="G25" s="125">
        <v>10.4</v>
      </c>
      <c r="H25" s="125">
        <v>9.9499999999999993</v>
      </c>
      <c r="I25" s="28">
        <v>9.9499999999999993</v>
      </c>
      <c r="J25" s="28">
        <v>10</v>
      </c>
      <c r="K25" s="28">
        <v>9.5</v>
      </c>
      <c r="L25" s="28">
        <v>9.9499999999999993</v>
      </c>
      <c r="M25" s="125">
        <v>9.6</v>
      </c>
      <c r="N25" s="125">
        <v>9.99</v>
      </c>
      <c r="O25" s="125">
        <v>9.9499999999999993</v>
      </c>
      <c r="P25" s="125">
        <v>9.99</v>
      </c>
      <c r="Q25" s="125">
        <v>11.95</v>
      </c>
      <c r="R25" s="125"/>
      <c r="S25" s="28"/>
      <c r="T25" s="28">
        <v>9.99</v>
      </c>
    </row>
    <row r="26" spans="1:20" s="75" customFormat="1" x14ac:dyDescent="0.35">
      <c r="A26" s="124">
        <v>21</v>
      </c>
      <c r="B26" s="120" t="s">
        <v>42</v>
      </c>
      <c r="C26" s="121" t="s">
        <v>43</v>
      </c>
      <c r="D26" s="121" t="s">
        <v>40</v>
      </c>
      <c r="E26" s="28">
        <v>11.95</v>
      </c>
      <c r="F26" s="28">
        <v>13.25</v>
      </c>
      <c r="G26" s="125">
        <v>12.5</v>
      </c>
      <c r="H26" s="125">
        <v>12.95</v>
      </c>
      <c r="I26" s="28">
        <v>11.75</v>
      </c>
      <c r="J26" s="28">
        <v>11.5</v>
      </c>
      <c r="K26" s="28">
        <v>12.5</v>
      </c>
      <c r="L26" s="28">
        <v>12.95</v>
      </c>
      <c r="M26" s="125">
        <v>12.99</v>
      </c>
      <c r="N26" s="125">
        <v>10.99</v>
      </c>
      <c r="O26" s="125">
        <v>11.95</v>
      </c>
      <c r="P26" s="125">
        <v>10.99</v>
      </c>
      <c r="Q26" s="125">
        <v>12.95</v>
      </c>
      <c r="R26" s="125">
        <v>12.99</v>
      </c>
      <c r="S26" s="28">
        <v>11.95</v>
      </c>
      <c r="T26" s="28">
        <v>10.99</v>
      </c>
    </row>
    <row r="27" spans="1:20" s="75" customFormat="1" x14ac:dyDescent="0.35">
      <c r="A27" s="124">
        <v>22</v>
      </c>
      <c r="B27" s="120" t="s">
        <v>42</v>
      </c>
      <c r="C27" s="121" t="s">
        <v>44</v>
      </c>
      <c r="D27" s="121" t="s">
        <v>45</v>
      </c>
      <c r="E27" s="28">
        <v>31.95</v>
      </c>
      <c r="F27" s="28"/>
      <c r="G27" s="125">
        <v>32.49</v>
      </c>
      <c r="H27" s="125">
        <v>35.950000000000003</v>
      </c>
      <c r="I27" s="28">
        <v>31.75</v>
      </c>
      <c r="J27" s="28"/>
      <c r="K27" s="28">
        <v>33.950000000000003</v>
      </c>
      <c r="L27" s="28"/>
      <c r="M27" s="125">
        <v>34.950000000000003</v>
      </c>
      <c r="N27" s="125">
        <v>35.99</v>
      </c>
      <c r="O27" s="125">
        <v>35.950000000000003</v>
      </c>
      <c r="P27" s="125">
        <v>35.99</v>
      </c>
      <c r="Q27" s="125">
        <v>39.950000000000003</v>
      </c>
      <c r="R27" s="125">
        <v>35.99</v>
      </c>
      <c r="S27" s="28">
        <v>31.95</v>
      </c>
      <c r="T27" s="28">
        <v>35.99</v>
      </c>
    </row>
    <row r="28" spans="1:20" s="75" customFormat="1" x14ac:dyDescent="0.35">
      <c r="A28" s="124">
        <v>23</v>
      </c>
      <c r="B28" s="120" t="s">
        <v>46</v>
      </c>
      <c r="C28" s="121" t="s">
        <v>47</v>
      </c>
      <c r="D28" s="121" t="s">
        <v>48</v>
      </c>
      <c r="E28" s="28">
        <v>22</v>
      </c>
      <c r="F28" s="28">
        <v>23.95</v>
      </c>
      <c r="G28" s="125">
        <v>25.99</v>
      </c>
      <c r="H28" s="125">
        <v>21.95</v>
      </c>
      <c r="I28" s="28">
        <v>23.5</v>
      </c>
      <c r="J28" s="28">
        <v>22.95</v>
      </c>
      <c r="K28" s="28">
        <v>23.95</v>
      </c>
      <c r="L28" s="28">
        <v>21.95</v>
      </c>
      <c r="M28" s="125">
        <v>21</v>
      </c>
      <c r="N28" s="125">
        <v>24.99</v>
      </c>
      <c r="O28" s="125">
        <v>24.95</v>
      </c>
      <c r="P28" s="125">
        <v>24.99</v>
      </c>
      <c r="Q28" s="125">
        <v>22.95</v>
      </c>
      <c r="R28" s="125">
        <v>24.99</v>
      </c>
      <c r="S28" s="28">
        <v>23.95</v>
      </c>
      <c r="T28" s="28">
        <v>24.99</v>
      </c>
    </row>
    <row r="29" spans="1:20" s="75" customFormat="1" x14ac:dyDescent="0.35">
      <c r="A29" s="124">
        <v>24</v>
      </c>
      <c r="B29" s="120" t="s">
        <v>49</v>
      </c>
      <c r="C29" s="121" t="s">
        <v>50</v>
      </c>
      <c r="D29" s="121" t="s">
        <v>51</v>
      </c>
      <c r="E29" s="28">
        <v>15.95</v>
      </c>
      <c r="F29" s="28"/>
      <c r="G29" s="125">
        <v>16.75</v>
      </c>
      <c r="H29" s="125">
        <v>14.95</v>
      </c>
      <c r="I29" s="28">
        <v>14.95</v>
      </c>
      <c r="J29" s="28">
        <v>16</v>
      </c>
      <c r="K29" s="28">
        <v>17</v>
      </c>
      <c r="L29" s="28">
        <v>15.95</v>
      </c>
      <c r="M29" s="125">
        <v>16.989999999999998</v>
      </c>
      <c r="N29" s="125">
        <v>16.489999999999998</v>
      </c>
      <c r="O29" s="125">
        <v>15.5</v>
      </c>
      <c r="P29" s="125">
        <v>16.489999999999998</v>
      </c>
      <c r="Q29" s="125">
        <v>15.95</v>
      </c>
      <c r="R29" s="125">
        <v>15.99</v>
      </c>
      <c r="S29" s="28">
        <v>15.95</v>
      </c>
      <c r="T29" s="28">
        <v>15.99</v>
      </c>
    </row>
    <row r="30" spans="1:20" s="75" customFormat="1" x14ac:dyDescent="0.35">
      <c r="A30" s="124">
        <v>25</v>
      </c>
      <c r="B30" s="120" t="s">
        <v>52</v>
      </c>
      <c r="C30" s="121" t="s">
        <v>53</v>
      </c>
      <c r="D30" s="121" t="s">
        <v>51</v>
      </c>
      <c r="E30" s="28">
        <v>15.95</v>
      </c>
      <c r="F30" s="28"/>
      <c r="G30" s="125">
        <v>16.75</v>
      </c>
      <c r="H30" s="125">
        <v>15.95</v>
      </c>
      <c r="I30" s="28">
        <v>14.95</v>
      </c>
      <c r="J30" s="28">
        <v>15.5</v>
      </c>
      <c r="K30" s="28">
        <v>16.5</v>
      </c>
      <c r="L30" s="28">
        <v>15.95</v>
      </c>
      <c r="M30" s="125">
        <v>16.75</v>
      </c>
      <c r="N30" s="125">
        <v>15.99</v>
      </c>
      <c r="O30" s="125">
        <v>15.5</v>
      </c>
      <c r="P30" s="125">
        <v>15.99</v>
      </c>
      <c r="Q30" s="125">
        <v>15.95</v>
      </c>
      <c r="R30" s="125">
        <v>14.99</v>
      </c>
      <c r="S30" s="28">
        <v>15.95</v>
      </c>
      <c r="T30" s="28">
        <v>15.99</v>
      </c>
    </row>
    <row r="31" spans="1:20" s="75" customFormat="1" x14ac:dyDescent="0.35">
      <c r="A31" s="124">
        <v>26</v>
      </c>
      <c r="B31" s="120" t="s">
        <v>54</v>
      </c>
      <c r="C31" s="121" t="s">
        <v>55</v>
      </c>
      <c r="D31" s="121" t="s">
        <v>56</v>
      </c>
      <c r="E31" s="28">
        <v>52.95</v>
      </c>
      <c r="F31" s="28">
        <v>52.95</v>
      </c>
      <c r="G31" s="125">
        <v>52.99</v>
      </c>
      <c r="H31" s="125">
        <v>52.95</v>
      </c>
      <c r="I31" s="28">
        <v>52.95</v>
      </c>
      <c r="J31" s="28">
        <v>52.95</v>
      </c>
      <c r="K31" s="28">
        <v>52.95</v>
      </c>
      <c r="L31" s="28">
        <v>52.95</v>
      </c>
      <c r="M31" s="125">
        <v>52.95</v>
      </c>
      <c r="N31" s="125">
        <v>52.95</v>
      </c>
      <c r="O31" s="125">
        <v>52.95</v>
      </c>
      <c r="P31" s="125">
        <v>52.99</v>
      </c>
      <c r="Q31" s="125">
        <v>52.95</v>
      </c>
      <c r="R31" s="125">
        <v>52.95</v>
      </c>
      <c r="S31" s="28">
        <v>52.95</v>
      </c>
      <c r="T31" s="28">
        <v>52.99</v>
      </c>
    </row>
    <row r="32" spans="1:20" s="75" customFormat="1" x14ac:dyDescent="0.35">
      <c r="A32" s="124">
        <v>27</v>
      </c>
      <c r="B32" s="120" t="s">
        <v>54</v>
      </c>
      <c r="C32" s="121" t="s">
        <v>55</v>
      </c>
      <c r="D32" s="121" t="s">
        <v>57</v>
      </c>
      <c r="E32" s="28">
        <v>16.5</v>
      </c>
      <c r="F32" s="28">
        <v>16.5</v>
      </c>
      <c r="G32" s="125">
        <v>16.5</v>
      </c>
      <c r="H32" s="125"/>
      <c r="I32" s="28">
        <v>15.95</v>
      </c>
      <c r="J32" s="28">
        <v>16.5</v>
      </c>
      <c r="K32" s="28">
        <v>16.5</v>
      </c>
      <c r="L32" s="28">
        <v>16.95</v>
      </c>
      <c r="M32" s="125">
        <v>16.5</v>
      </c>
      <c r="N32" s="125">
        <v>16.5</v>
      </c>
      <c r="O32" s="125">
        <v>16.5</v>
      </c>
      <c r="P32" s="125">
        <v>16.5</v>
      </c>
      <c r="Q32" s="125">
        <v>16.5</v>
      </c>
      <c r="R32" s="125">
        <v>16.5</v>
      </c>
      <c r="S32" s="28">
        <v>16.5</v>
      </c>
      <c r="T32" s="28">
        <v>16.5</v>
      </c>
    </row>
    <row r="33" spans="1:20" s="75" customFormat="1" x14ac:dyDescent="0.35">
      <c r="A33" s="124">
        <v>28</v>
      </c>
      <c r="B33" s="120" t="s">
        <v>58</v>
      </c>
      <c r="C33" s="121" t="s">
        <v>55</v>
      </c>
      <c r="D33" s="121" t="s">
        <v>56</v>
      </c>
      <c r="E33" s="28">
        <v>57.95</v>
      </c>
      <c r="F33" s="28">
        <v>57.95</v>
      </c>
      <c r="G33" s="125">
        <v>57.99</v>
      </c>
      <c r="H33" s="125">
        <v>60.95</v>
      </c>
      <c r="I33" s="28">
        <v>57.95</v>
      </c>
      <c r="J33" s="28">
        <v>57.95</v>
      </c>
      <c r="K33" s="28">
        <v>57.95</v>
      </c>
      <c r="L33" s="28">
        <v>60.95</v>
      </c>
      <c r="M33" s="125">
        <v>57.95</v>
      </c>
      <c r="N33" s="125">
        <v>57.95</v>
      </c>
      <c r="O33" s="125">
        <v>57.95</v>
      </c>
      <c r="P33" s="125">
        <v>57.99</v>
      </c>
      <c r="Q33" s="125">
        <v>57.95</v>
      </c>
      <c r="R33" s="125">
        <v>57.99</v>
      </c>
      <c r="S33" s="28">
        <v>57.95</v>
      </c>
      <c r="T33" s="28">
        <v>57.95</v>
      </c>
    </row>
    <row r="34" spans="1:20" s="75" customFormat="1" x14ac:dyDescent="0.35">
      <c r="A34" s="124">
        <v>29</v>
      </c>
      <c r="B34" s="120" t="s">
        <v>58</v>
      </c>
      <c r="C34" s="121" t="s">
        <v>55</v>
      </c>
      <c r="D34" s="121" t="s">
        <v>59</v>
      </c>
      <c r="E34" s="28">
        <v>30.95</v>
      </c>
      <c r="F34" s="28">
        <v>30.95</v>
      </c>
      <c r="G34" s="125">
        <v>30.99</v>
      </c>
      <c r="H34" s="125">
        <v>30.95</v>
      </c>
      <c r="I34" s="28">
        <v>30.95</v>
      </c>
      <c r="J34" s="28">
        <v>30.95</v>
      </c>
      <c r="K34" s="28">
        <v>30.95</v>
      </c>
      <c r="L34" s="28">
        <v>30.95</v>
      </c>
      <c r="M34" s="125">
        <v>30.95</v>
      </c>
      <c r="N34" s="125">
        <v>30.95</v>
      </c>
      <c r="O34" s="125">
        <v>30.95</v>
      </c>
      <c r="P34" s="125">
        <v>30.99</v>
      </c>
      <c r="Q34" s="125">
        <v>30.95</v>
      </c>
      <c r="R34" s="125">
        <v>30.99</v>
      </c>
      <c r="S34" s="28">
        <v>32.950000000000003</v>
      </c>
      <c r="T34" s="28">
        <v>30.95</v>
      </c>
    </row>
    <row r="35" spans="1:20" s="75" customFormat="1" x14ac:dyDescent="0.35">
      <c r="A35" s="124">
        <v>30</v>
      </c>
      <c r="B35" s="120" t="s">
        <v>60</v>
      </c>
      <c r="C35" s="121" t="s">
        <v>61</v>
      </c>
      <c r="D35" s="121" t="s">
        <v>62</v>
      </c>
      <c r="E35" s="28">
        <v>12.25</v>
      </c>
      <c r="F35" s="28"/>
      <c r="G35" s="125">
        <v>11.75</v>
      </c>
      <c r="H35" s="125">
        <v>10.95</v>
      </c>
      <c r="I35" s="28">
        <v>11.75</v>
      </c>
      <c r="J35" s="28">
        <v>10.95</v>
      </c>
      <c r="K35" s="28"/>
      <c r="L35" s="28">
        <v>10.95</v>
      </c>
      <c r="M35" s="125">
        <v>11.75</v>
      </c>
      <c r="N35" s="125">
        <v>11.99</v>
      </c>
      <c r="O35" s="125">
        <v>10.95</v>
      </c>
      <c r="P35" s="142">
        <v>5.99</v>
      </c>
      <c r="Q35" s="125">
        <v>11.95</v>
      </c>
      <c r="R35" s="142">
        <v>5.95</v>
      </c>
      <c r="S35" s="28">
        <v>11.95</v>
      </c>
      <c r="T35" s="150">
        <v>5.99</v>
      </c>
    </row>
    <row r="36" spans="1:20" s="75" customFormat="1" x14ac:dyDescent="0.35">
      <c r="A36" s="124">
        <v>31</v>
      </c>
      <c r="B36" s="120" t="s">
        <v>63</v>
      </c>
      <c r="C36" s="121" t="s">
        <v>64</v>
      </c>
      <c r="D36" s="121" t="s">
        <v>65</v>
      </c>
      <c r="E36" s="28">
        <v>7</v>
      </c>
      <c r="F36" s="28">
        <v>6.75</v>
      </c>
      <c r="G36" s="125">
        <v>6.99</v>
      </c>
      <c r="H36" s="125">
        <v>6.5</v>
      </c>
      <c r="I36" s="150">
        <v>5</v>
      </c>
      <c r="J36" s="28">
        <v>7</v>
      </c>
      <c r="K36" s="28">
        <v>7</v>
      </c>
      <c r="L36" s="28"/>
      <c r="M36" s="125">
        <v>6.75</v>
      </c>
      <c r="N36" s="125">
        <v>6.99</v>
      </c>
      <c r="O36" s="125">
        <v>6.95</v>
      </c>
      <c r="P36" s="125">
        <v>6.99</v>
      </c>
      <c r="Q36" s="125">
        <v>6.95</v>
      </c>
      <c r="R36" s="125">
        <v>6.99</v>
      </c>
      <c r="S36" s="28">
        <v>6.95</v>
      </c>
      <c r="T36" s="28">
        <v>6.99</v>
      </c>
    </row>
    <row r="37" spans="1:20" s="75" customFormat="1" x14ac:dyDescent="0.35">
      <c r="A37" s="124">
        <v>32</v>
      </c>
      <c r="B37" s="120" t="s">
        <v>66</v>
      </c>
      <c r="C37" s="121" t="s">
        <v>50</v>
      </c>
      <c r="D37" s="121" t="s">
        <v>67</v>
      </c>
      <c r="E37" s="28">
        <v>12.95</v>
      </c>
      <c r="F37" s="28">
        <v>11.75</v>
      </c>
      <c r="G37" s="125">
        <v>12.5</v>
      </c>
      <c r="H37" s="125">
        <v>11.95</v>
      </c>
      <c r="I37" s="28">
        <v>12.5</v>
      </c>
      <c r="J37" s="28">
        <v>11.5</v>
      </c>
      <c r="K37" s="28">
        <v>12.95</v>
      </c>
      <c r="L37" s="28">
        <v>11.95</v>
      </c>
      <c r="M37" s="142">
        <v>10.5</v>
      </c>
      <c r="N37" s="125">
        <v>12.99</v>
      </c>
      <c r="O37" s="125">
        <v>11.5</v>
      </c>
      <c r="P37" s="125">
        <v>12.99</v>
      </c>
      <c r="Q37" s="125">
        <v>12.95</v>
      </c>
      <c r="R37" s="125">
        <v>12.99</v>
      </c>
      <c r="S37" s="28">
        <v>12.95</v>
      </c>
      <c r="T37" s="28">
        <v>12.99</v>
      </c>
    </row>
    <row r="38" spans="1:20" s="75" customFormat="1" x14ac:dyDescent="0.35">
      <c r="A38" s="124">
        <v>33</v>
      </c>
      <c r="B38" s="120" t="s">
        <v>66</v>
      </c>
      <c r="C38" s="121" t="s">
        <v>68</v>
      </c>
      <c r="D38" s="121" t="s">
        <v>67</v>
      </c>
      <c r="E38" s="28">
        <v>10.95</v>
      </c>
      <c r="F38" s="28"/>
      <c r="G38" s="125">
        <v>11.65</v>
      </c>
      <c r="H38" s="125">
        <v>10.95</v>
      </c>
      <c r="I38" s="28">
        <v>11.5</v>
      </c>
      <c r="J38" s="28">
        <v>8.9499999999999993</v>
      </c>
      <c r="K38" s="28"/>
      <c r="L38" s="28">
        <v>11.95</v>
      </c>
      <c r="M38" s="125">
        <v>10.95</v>
      </c>
      <c r="N38" s="125">
        <v>10.99</v>
      </c>
      <c r="O38" s="125">
        <v>7.95</v>
      </c>
      <c r="P38" s="125">
        <v>10.99</v>
      </c>
      <c r="Q38" s="125">
        <v>11.95</v>
      </c>
      <c r="R38" s="125"/>
      <c r="S38" s="28">
        <v>8.9499999999999993</v>
      </c>
      <c r="T38" s="28"/>
    </row>
    <row r="39" spans="1:20" s="75" customFormat="1" x14ac:dyDescent="0.35">
      <c r="A39" s="124">
        <v>35</v>
      </c>
      <c r="B39" s="120" t="s">
        <v>69</v>
      </c>
      <c r="C39" s="121" t="s">
        <v>70</v>
      </c>
      <c r="D39" s="121" t="s">
        <v>59</v>
      </c>
      <c r="E39" s="28">
        <v>6.95</v>
      </c>
      <c r="F39" s="28">
        <v>6.95</v>
      </c>
      <c r="G39" s="125">
        <v>7.25</v>
      </c>
      <c r="H39" s="125">
        <v>7.95</v>
      </c>
      <c r="I39" s="28">
        <v>7.25</v>
      </c>
      <c r="J39" s="28">
        <v>7</v>
      </c>
      <c r="K39" s="150">
        <v>4.95</v>
      </c>
      <c r="L39" s="28">
        <v>7.95</v>
      </c>
      <c r="M39" s="125">
        <v>6.99</v>
      </c>
      <c r="N39" s="125">
        <v>6.99</v>
      </c>
      <c r="O39" s="125">
        <v>5.95</v>
      </c>
      <c r="P39" s="125">
        <v>6.99</v>
      </c>
      <c r="Q39" s="125">
        <v>6.95</v>
      </c>
      <c r="R39" s="125">
        <v>6.99</v>
      </c>
      <c r="S39" s="28">
        <v>6.95</v>
      </c>
      <c r="T39" s="28">
        <v>6.99</v>
      </c>
    </row>
    <row r="40" spans="1:20" s="75" customFormat="1" x14ac:dyDescent="0.35">
      <c r="A40" s="124">
        <v>36</v>
      </c>
      <c r="B40" s="120" t="s">
        <v>71</v>
      </c>
      <c r="C40" s="121" t="s">
        <v>70</v>
      </c>
      <c r="D40" s="121" t="s">
        <v>59</v>
      </c>
      <c r="E40" s="28"/>
      <c r="F40" s="28">
        <v>7.95</v>
      </c>
      <c r="G40" s="125">
        <v>7.1</v>
      </c>
      <c r="H40" s="125">
        <v>8.9499999999999993</v>
      </c>
      <c r="I40" s="28">
        <v>8.5</v>
      </c>
      <c r="J40" s="28">
        <v>7.5</v>
      </c>
      <c r="K40" s="28"/>
      <c r="L40" s="28">
        <v>6.95</v>
      </c>
      <c r="M40" s="125">
        <v>7.99</v>
      </c>
      <c r="N40" s="125">
        <v>7.99</v>
      </c>
      <c r="O40" s="125">
        <v>7.95</v>
      </c>
      <c r="P40" s="125">
        <v>7.99</v>
      </c>
      <c r="Q40" s="125">
        <v>8.9499999999999993</v>
      </c>
      <c r="R40" s="125"/>
      <c r="S40" s="28">
        <v>8.9499999999999993</v>
      </c>
      <c r="T40" s="28">
        <v>7.99</v>
      </c>
    </row>
    <row r="41" spans="1:20" s="75" customFormat="1" x14ac:dyDescent="0.35">
      <c r="A41" s="124">
        <v>37</v>
      </c>
      <c r="B41" s="120" t="s">
        <v>72</v>
      </c>
      <c r="C41" s="121" t="s">
        <v>73</v>
      </c>
      <c r="D41" s="121" t="s">
        <v>15</v>
      </c>
      <c r="E41" s="28">
        <v>10.95</v>
      </c>
      <c r="F41" s="28">
        <v>11.95</v>
      </c>
      <c r="G41" s="125">
        <v>10.5</v>
      </c>
      <c r="H41" s="125">
        <v>10.95</v>
      </c>
      <c r="I41" s="28">
        <v>10.75</v>
      </c>
      <c r="J41" s="150">
        <v>10.5</v>
      </c>
      <c r="K41" s="28">
        <v>10.95</v>
      </c>
      <c r="L41" s="28">
        <v>10.95</v>
      </c>
      <c r="M41" s="125">
        <v>10.5</v>
      </c>
      <c r="N41" s="125">
        <v>10.99</v>
      </c>
      <c r="O41" s="125">
        <v>10</v>
      </c>
      <c r="P41" s="125">
        <v>10.99</v>
      </c>
      <c r="Q41" s="125">
        <v>11.95</v>
      </c>
      <c r="R41" s="125">
        <v>10.99</v>
      </c>
      <c r="S41" s="28">
        <v>11.95</v>
      </c>
      <c r="T41" s="28">
        <v>10.99</v>
      </c>
    </row>
    <row r="42" spans="1:20" s="75" customFormat="1" x14ac:dyDescent="0.35">
      <c r="A42" s="124">
        <v>38</v>
      </c>
      <c r="B42" s="120" t="s">
        <v>74</v>
      </c>
      <c r="C42" s="121" t="s">
        <v>75</v>
      </c>
      <c r="D42" s="121" t="s">
        <v>76</v>
      </c>
      <c r="E42" s="28">
        <v>18.95</v>
      </c>
      <c r="F42" s="28">
        <v>19.25</v>
      </c>
      <c r="G42" s="125">
        <v>19.75</v>
      </c>
      <c r="H42" s="125">
        <v>18.95</v>
      </c>
      <c r="I42" s="28">
        <v>18.75</v>
      </c>
      <c r="J42" s="28">
        <v>21</v>
      </c>
      <c r="K42" s="28">
        <v>18.95</v>
      </c>
      <c r="L42" s="28">
        <v>18.95</v>
      </c>
      <c r="M42" s="125">
        <v>19.350000000000001</v>
      </c>
      <c r="N42" s="125">
        <v>21.99</v>
      </c>
      <c r="O42" s="125">
        <v>18.75</v>
      </c>
      <c r="P42" s="125">
        <v>21.99</v>
      </c>
      <c r="Q42" s="125">
        <v>19.95</v>
      </c>
      <c r="R42" s="125">
        <v>21.99</v>
      </c>
      <c r="S42" s="28">
        <v>19.95</v>
      </c>
      <c r="T42" s="28">
        <v>21.99</v>
      </c>
    </row>
    <row r="43" spans="1:20" s="75" customFormat="1" x14ac:dyDescent="0.35">
      <c r="A43" s="124">
        <v>39</v>
      </c>
      <c r="B43" s="120" t="s">
        <v>77</v>
      </c>
      <c r="C43" s="121" t="s">
        <v>75</v>
      </c>
      <c r="D43" s="121" t="s">
        <v>78</v>
      </c>
      <c r="E43" s="28">
        <v>95</v>
      </c>
      <c r="F43" s="28">
        <v>96.5</v>
      </c>
      <c r="G43" s="125"/>
      <c r="H43" s="125">
        <v>93.95</v>
      </c>
      <c r="I43" s="28">
        <v>89.95</v>
      </c>
      <c r="J43" s="28">
        <v>90</v>
      </c>
      <c r="K43" s="28">
        <v>94.5</v>
      </c>
      <c r="L43" s="28">
        <v>93.95</v>
      </c>
      <c r="M43" s="125">
        <v>97.5</v>
      </c>
      <c r="N43" s="125">
        <v>96.99</v>
      </c>
      <c r="O43" s="125">
        <v>94</v>
      </c>
      <c r="P43" s="125">
        <v>92.99</v>
      </c>
      <c r="Q43" s="125">
        <v>92.95</v>
      </c>
      <c r="R43" s="125">
        <v>92.99</v>
      </c>
      <c r="S43" s="28">
        <v>89.95</v>
      </c>
      <c r="T43" s="28">
        <v>92.99</v>
      </c>
    </row>
    <row r="44" spans="1:20" s="75" customFormat="1" x14ac:dyDescent="0.35">
      <c r="A44" s="124">
        <v>40</v>
      </c>
      <c r="B44" s="120" t="s">
        <v>79</v>
      </c>
      <c r="C44" s="121" t="s">
        <v>80</v>
      </c>
      <c r="D44" s="121" t="s">
        <v>81</v>
      </c>
      <c r="E44" s="28"/>
      <c r="F44" s="28"/>
      <c r="G44" s="125">
        <v>26.75</v>
      </c>
      <c r="H44" s="125"/>
      <c r="I44" s="150">
        <v>21.95</v>
      </c>
      <c r="J44" s="28">
        <v>25</v>
      </c>
      <c r="K44" s="28">
        <v>24.5</v>
      </c>
      <c r="L44" s="28"/>
      <c r="M44" s="125">
        <v>27.35</v>
      </c>
      <c r="N44" s="125">
        <v>24.99</v>
      </c>
      <c r="O44" s="125">
        <v>22.5</v>
      </c>
      <c r="P44" s="125">
        <v>24.99</v>
      </c>
      <c r="Q44" s="125">
        <v>24.95</v>
      </c>
      <c r="R44" s="125">
        <v>24.99</v>
      </c>
      <c r="S44" s="28">
        <v>24.95</v>
      </c>
      <c r="T44" s="28">
        <v>24.99</v>
      </c>
    </row>
    <row r="45" spans="1:20" s="75" customFormat="1" x14ac:dyDescent="0.35">
      <c r="A45" s="124">
        <v>41</v>
      </c>
      <c r="B45" s="120" t="s">
        <v>79</v>
      </c>
      <c r="C45" s="121" t="s">
        <v>286</v>
      </c>
      <c r="D45" s="121" t="s">
        <v>76</v>
      </c>
      <c r="E45" s="28"/>
      <c r="F45" s="28">
        <v>27.5</v>
      </c>
      <c r="G45" s="125">
        <v>28.05</v>
      </c>
      <c r="H45" s="125"/>
      <c r="I45" s="28"/>
      <c r="J45" s="28"/>
      <c r="K45" s="28"/>
      <c r="L45" s="28"/>
      <c r="M45" s="125">
        <v>27.5</v>
      </c>
      <c r="N45" s="125"/>
      <c r="O45" s="125">
        <v>27</v>
      </c>
      <c r="P45" s="125"/>
      <c r="Q45" s="125"/>
      <c r="R45" s="125"/>
      <c r="S45" s="28"/>
      <c r="T45" s="28"/>
    </row>
    <row r="46" spans="1:20" s="75" customFormat="1" x14ac:dyDescent="0.35">
      <c r="A46" s="124">
        <v>42</v>
      </c>
      <c r="B46" s="120" t="s">
        <v>79</v>
      </c>
      <c r="C46" s="121" t="s">
        <v>286</v>
      </c>
      <c r="D46" s="121" t="s">
        <v>83</v>
      </c>
      <c r="E46" s="28"/>
      <c r="F46" s="28">
        <v>13.75</v>
      </c>
      <c r="G46" s="125">
        <v>14.4</v>
      </c>
      <c r="H46" s="125"/>
      <c r="I46" s="28"/>
      <c r="J46" s="28"/>
      <c r="K46" s="28"/>
      <c r="L46" s="28"/>
      <c r="M46" s="125">
        <v>13.75</v>
      </c>
      <c r="N46" s="125"/>
      <c r="O46" s="125"/>
      <c r="P46" s="125"/>
      <c r="Q46" s="125"/>
      <c r="R46" s="125"/>
      <c r="S46" s="28"/>
      <c r="T46" s="28"/>
    </row>
    <row r="47" spans="1:20" s="75" customFormat="1" x14ac:dyDescent="0.35">
      <c r="A47" s="124">
        <v>43</v>
      </c>
      <c r="B47" s="120" t="s">
        <v>84</v>
      </c>
      <c r="C47" s="121" t="s">
        <v>85</v>
      </c>
      <c r="D47" s="121" t="s">
        <v>86</v>
      </c>
      <c r="E47" s="28">
        <v>5.95</v>
      </c>
      <c r="F47" s="125">
        <v>8.9499999999999993</v>
      </c>
      <c r="G47" s="125">
        <v>6.05</v>
      </c>
      <c r="H47" s="125">
        <v>5.95</v>
      </c>
      <c r="I47" s="28">
        <v>5.75</v>
      </c>
      <c r="J47" s="28">
        <v>6</v>
      </c>
      <c r="K47" s="28">
        <v>5.95</v>
      </c>
      <c r="L47" s="28">
        <v>5.95</v>
      </c>
      <c r="M47" s="125">
        <v>5.75</v>
      </c>
      <c r="N47" s="125">
        <v>5.99</v>
      </c>
      <c r="O47" s="125">
        <v>5.5</v>
      </c>
      <c r="P47" s="125">
        <v>5.99</v>
      </c>
      <c r="Q47" s="125">
        <v>4.95</v>
      </c>
      <c r="R47" s="125">
        <v>5.99</v>
      </c>
      <c r="S47" s="28">
        <v>6.95</v>
      </c>
      <c r="T47" s="28">
        <v>5.99</v>
      </c>
    </row>
    <row r="48" spans="1:20" s="75" customFormat="1" x14ac:dyDescent="0.35">
      <c r="A48" s="124">
        <v>44</v>
      </c>
      <c r="B48" s="120" t="s">
        <v>87</v>
      </c>
      <c r="C48" s="121" t="s">
        <v>88</v>
      </c>
      <c r="D48" s="121" t="s">
        <v>89</v>
      </c>
      <c r="E48" s="28"/>
      <c r="F48" s="28">
        <v>9.9499999999999993</v>
      </c>
      <c r="G48" s="125">
        <v>10.25</v>
      </c>
      <c r="H48" s="125">
        <v>8.9499999999999993</v>
      </c>
      <c r="I48" s="28">
        <v>9.9499999999999993</v>
      </c>
      <c r="J48" s="28">
        <v>10</v>
      </c>
      <c r="K48" s="28"/>
      <c r="L48" s="28">
        <v>9.9499999999999993</v>
      </c>
      <c r="M48" s="125">
        <v>8.75</v>
      </c>
      <c r="N48" s="125">
        <v>9.99</v>
      </c>
      <c r="O48" s="125">
        <v>8.9499999999999993</v>
      </c>
      <c r="P48" s="125">
        <v>9.99</v>
      </c>
      <c r="Q48" s="125">
        <v>7.95</v>
      </c>
      <c r="R48" s="125">
        <v>9.99</v>
      </c>
      <c r="S48" s="28">
        <v>8.9499999999999993</v>
      </c>
      <c r="T48" s="28"/>
    </row>
    <row r="49" spans="1:20" s="75" customFormat="1" x14ac:dyDescent="0.35">
      <c r="A49" s="124">
        <v>45</v>
      </c>
      <c r="B49" s="120" t="s">
        <v>90</v>
      </c>
      <c r="C49" s="121" t="s">
        <v>91</v>
      </c>
      <c r="D49" s="121" t="s">
        <v>15</v>
      </c>
      <c r="E49" s="28">
        <v>7.5</v>
      </c>
      <c r="F49" s="28"/>
      <c r="G49" s="125">
        <v>8.1</v>
      </c>
      <c r="H49" s="125"/>
      <c r="I49" s="28">
        <v>7.75</v>
      </c>
      <c r="J49" s="28">
        <v>8.5</v>
      </c>
      <c r="K49" s="28">
        <v>7.95</v>
      </c>
      <c r="L49" s="28"/>
      <c r="M49" s="125">
        <v>7.99</v>
      </c>
      <c r="N49" s="125">
        <v>7.99</v>
      </c>
      <c r="O49" s="125">
        <v>9.9499999999999993</v>
      </c>
      <c r="P49" s="125">
        <v>7.99</v>
      </c>
      <c r="Q49" s="125"/>
      <c r="R49" s="125">
        <v>7.99</v>
      </c>
      <c r="S49" s="28">
        <v>7.95</v>
      </c>
      <c r="T49" s="28"/>
    </row>
    <row r="50" spans="1:20" s="75" customFormat="1" x14ac:dyDescent="0.35">
      <c r="A50" s="124">
        <v>46</v>
      </c>
      <c r="B50" s="120" t="s">
        <v>92</v>
      </c>
      <c r="C50" s="121" t="s">
        <v>93</v>
      </c>
      <c r="D50" s="121" t="s">
        <v>94</v>
      </c>
      <c r="E50" s="28">
        <v>14.5</v>
      </c>
      <c r="F50" s="28">
        <v>14.5</v>
      </c>
      <c r="G50" s="125">
        <v>14.5</v>
      </c>
      <c r="H50" s="125">
        <v>14.5</v>
      </c>
      <c r="I50" s="28">
        <v>14.5</v>
      </c>
      <c r="J50" s="28">
        <v>14.5</v>
      </c>
      <c r="K50" s="28">
        <v>14.5</v>
      </c>
      <c r="L50" s="28">
        <v>14.5</v>
      </c>
      <c r="M50" s="125">
        <v>14.5</v>
      </c>
      <c r="N50" s="125">
        <v>14.5</v>
      </c>
      <c r="O50" s="125">
        <v>14.5</v>
      </c>
      <c r="P50" s="125">
        <v>14.5</v>
      </c>
      <c r="Q50" s="125">
        <v>14.95</v>
      </c>
      <c r="R50" s="125">
        <v>14.5</v>
      </c>
      <c r="S50" s="28">
        <v>14.95</v>
      </c>
      <c r="T50" s="28">
        <v>14.5</v>
      </c>
    </row>
    <row r="51" spans="1:20" s="75" customFormat="1" x14ac:dyDescent="0.35">
      <c r="A51" s="124">
        <v>47</v>
      </c>
      <c r="B51" s="120" t="s">
        <v>95</v>
      </c>
      <c r="C51" s="121"/>
      <c r="D51" s="121" t="s">
        <v>15</v>
      </c>
      <c r="E51" s="28">
        <v>4.5</v>
      </c>
      <c r="F51" s="150">
        <v>4.5</v>
      </c>
      <c r="G51" s="125"/>
      <c r="H51" s="125">
        <v>2.95</v>
      </c>
      <c r="I51" s="28"/>
      <c r="J51" s="28">
        <v>4.5</v>
      </c>
      <c r="K51" s="28"/>
      <c r="L51" s="28">
        <v>3.95</v>
      </c>
      <c r="M51" s="125">
        <v>5.35</v>
      </c>
      <c r="N51" s="125"/>
      <c r="O51" s="125"/>
      <c r="P51" s="125"/>
      <c r="Q51" s="125">
        <v>7.95</v>
      </c>
      <c r="R51" s="125">
        <v>5.99</v>
      </c>
      <c r="S51" s="28">
        <v>5.95</v>
      </c>
      <c r="T51" s="28">
        <v>4.5</v>
      </c>
    </row>
    <row r="52" spans="1:20" s="75" customFormat="1" x14ac:dyDescent="0.35">
      <c r="A52" s="124">
        <v>48</v>
      </c>
      <c r="B52" s="120" t="s">
        <v>95</v>
      </c>
      <c r="C52" s="121"/>
      <c r="D52" s="121" t="s">
        <v>59</v>
      </c>
      <c r="E52" s="28"/>
      <c r="F52" s="28"/>
      <c r="G52" s="125"/>
      <c r="H52" s="125"/>
      <c r="I52" s="28">
        <v>5.5</v>
      </c>
      <c r="J52" s="28"/>
      <c r="K52" s="28"/>
      <c r="L52" s="28"/>
      <c r="M52" s="125"/>
      <c r="N52" s="125">
        <v>4.5</v>
      </c>
      <c r="O52" s="125">
        <v>4.5</v>
      </c>
      <c r="P52" s="125">
        <v>4.5</v>
      </c>
      <c r="Q52" s="125"/>
      <c r="R52" s="125"/>
      <c r="S52" s="28"/>
      <c r="T52" s="28"/>
    </row>
    <row r="53" spans="1:20" s="75" customFormat="1" x14ac:dyDescent="0.35">
      <c r="A53" s="124">
        <v>49</v>
      </c>
      <c r="B53" s="120" t="s">
        <v>96</v>
      </c>
      <c r="C53" s="121" t="s">
        <v>97</v>
      </c>
      <c r="D53" s="121" t="s">
        <v>15</v>
      </c>
      <c r="E53" s="28">
        <v>8.9499999999999993</v>
      </c>
      <c r="F53" s="150">
        <v>7.95</v>
      </c>
      <c r="G53" s="125"/>
      <c r="H53" s="125">
        <v>8.9499999999999993</v>
      </c>
      <c r="I53" s="28"/>
      <c r="J53" s="28">
        <v>8</v>
      </c>
      <c r="K53" s="28"/>
      <c r="L53" s="28">
        <v>8.9499999999999993</v>
      </c>
      <c r="M53" s="125">
        <v>10.99</v>
      </c>
      <c r="N53" s="125"/>
      <c r="O53" s="125"/>
      <c r="P53" s="125"/>
      <c r="Q53" s="125">
        <v>9.9499999999999993</v>
      </c>
      <c r="R53" s="125">
        <v>9.99</v>
      </c>
      <c r="S53" s="28">
        <v>11.95</v>
      </c>
      <c r="T53" s="28">
        <v>8.99</v>
      </c>
    </row>
    <row r="54" spans="1:20" s="75" customFormat="1" x14ac:dyDescent="0.35">
      <c r="A54" s="124">
        <v>50</v>
      </c>
      <c r="B54" s="120" t="s">
        <v>96</v>
      </c>
      <c r="C54" s="121"/>
      <c r="D54" s="121" t="s">
        <v>59</v>
      </c>
      <c r="E54" s="28"/>
      <c r="F54" s="28"/>
      <c r="G54" s="125"/>
      <c r="H54" s="125"/>
      <c r="I54" s="28">
        <v>10.25</v>
      </c>
      <c r="J54" s="28"/>
      <c r="K54" s="28"/>
      <c r="L54" s="28"/>
      <c r="M54" s="125"/>
      <c r="N54" s="125">
        <v>8.99</v>
      </c>
      <c r="O54" s="125">
        <v>6.95</v>
      </c>
      <c r="P54" s="125">
        <v>8.99</v>
      </c>
      <c r="Q54" s="125"/>
      <c r="R54" s="125"/>
      <c r="S54" s="28"/>
      <c r="T54" s="28"/>
    </row>
    <row r="55" spans="1:20" s="75" customFormat="1" x14ac:dyDescent="0.35">
      <c r="A55" s="124">
        <v>51</v>
      </c>
      <c r="B55" s="120" t="s">
        <v>98</v>
      </c>
      <c r="C55" s="121"/>
      <c r="D55" s="121" t="s">
        <v>15</v>
      </c>
      <c r="E55" s="28">
        <v>8.9499999999999993</v>
      </c>
      <c r="F55" s="28"/>
      <c r="G55" s="125"/>
      <c r="H55" s="125">
        <v>9.9499999999999993</v>
      </c>
      <c r="I55" s="28"/>
      <c r="J55" s="28"/>
      <c r="K55" s="28"/>
      <c r="L55" s="28">
        <v>9.9499999999999993</v>
      </c>
      <c r="M55" s="125">
        <v>9.75</v>
      </c>
      <c r="N55" s="125"/>
      <c r="O55" s="125"/>
      <c r="P55" s="125"/>
      <c r="Q55" s="125">
        <v>8.9499999999999993</v>
      </c>
      <c r="R55" s="125">
        <v>8.99</v>
      </c>
      <c r="S55" s="28">
        <v>8.9499999999999993</v>
      </c>
      <c r="T55" s="28">
        <v>8.99</v>
      </c>
    </row>
    <row r="56" spans="1:20" s="75" customFormat="1" x14ac:dyDescent="0.35">
      <c r="A56" s="124">
        <v>52</v>
      </c>
      <c r="B56" s="120" t="s">
        <v>98</v>
      </c>
      <c r="C56" s="121"/>
      <c r="D56" s="121" t="s">
        <v>59</v>
      </c>
      <c r="E56" s="28"/>
      <c r="F56" s="28"/>
      <c r="G56" s="125"/>
      <c r="H56" s="125"/>
      <c r="I56" s="28">
        <v>9.5</v>
      </c>
      <c r="J56" s="28">
        <v>10.95</v>
      </c>
      <c r="K56" s="28">
        <v>9</v>
      </c>
      <c r="L56" s="28"/>
      <c r="M56" s="125"/>
      <c r="N56" s="125">
        <v>9.99</v>
      </c>
      <c r="O56" s="125"/>
      <c r="P56" s="125"/>
      <c r="Q56" s="125"/>
      <c r="R56" s="125"/>
      <c r="S56" s="28"/>
      <c r="T56" s="28"/>
    </row>
    <row r="57" spans="1:20" s="75" customFormat="1" x14ac:dyDescent="0.35">
      <c r="A57" s="124">
        <v>53</v>
      </c>
      <c r="B57" s="120" t="s">
        <v>99</v>
      </c>
      <c r="C57" s="121" t="s">
        <v>47</v>
      </c>
      <c r="D57" s="121" t="s">
        <v>15</v>
      </c>
      <c r="E57" s="28">
        <v>8.9499999999999993</v>
      </c>
      <c r="F57" s="150">
        <v>7.95</v>
      </c>
      <c r="G57" s="125"/>
      <c r="H57" s="125">
        <v>9.9499999999999993</v>
      </c>
      <c r="I57" s="28"/>
      <c r="J57" s="28">
        <v>9</v>
      </c>
      <c r="K57" s="28"/>
      <c r="L57" s="28">
        <v>9.9499999999999993</v>
      </c>
      <c r="M57" s="125">
        <v>10.25</v>
      </c>
      <c r="N57" s="125"/>
      <c r="O57" s="125"/>
      <c r="P57" s="125"/>
      <c r="Q57" s="125"/>
      <c r="R57" s="125">
        <v>8.99</v>
      </c>
      <c r="S57" s="28">
        <v>11.95</v>
      </c>
      <c r="T57" s="28">
        <v>8.99</v>
      </c>
    </row>
    <row r="58" spans="1:20" s="75" customFormat="1" x14ac:dyDescent="0.35">
      <c r="A58" s="124">
        <v>54</v>
      </c>
      <c r="B58" s="120" t="s">
        <v>99</v>
      </c>
      <c r="C58" s="121"/>
      <c r="D58" s="121" t="s">
        <v>59</v>
      </c>
      <c r="E58" s="28"/>
      <c r="F58" s="28"/>
      <c r="G58" s="125"/>
      <c r="H58" s="125"/>
      <c r="I58" s="28">
        <v>9.25</v>
      </c>
      <c r="J58" s="28"/>
      <c r="K58" s="28"/>
      <c r="L58" s="28"/>
      <c r="M58" s="125"/>
      <c r="N58" s="125">
        <v>8.99</v>
      </c>
      <c r="O58" s="125">
        <v>8.5</v>
      </c>
      <c r="P58" s="125">
        <v>5.99</v>
      </c>
      <c r="Q58" s="125"/>
      <c r="R58" s="125"/>
      <c r="S58" s="28"/>
      <c r="T58" s="28">
        <v>6.49</v>
      </c>
    </row>
    <row r="59" spans="1:20" s="75" customFormat="1" x14ac:dyDescent="0.35">
      <c r="A59" s="124">
        <v>55</v>
      </c>
      <c r="B59" s="120" t="s">
        <v>100</v>
      </c>
      <c r="C59" s="121"/>
      <c r="D59" s="121" t="s">
        <v>15</v>
      </c>
      <c r="E59" s="28">
        <v>8.9499999999999993</v>
      </c>
      <c r="F59" s="150">
        <v>7.5</v>
      </c>
      <c r="G59" s="125"/>
      <c r="H59" s="125">
        <v>7.95</v>
      </c>
      <c r="I59" s="28"/>
      <c r="J59" s="28">
        <v>7.5</v>
      </c>
      <c r="K59" s="28"/>
      <c r="L59" s="28">
        <v>7.95</v>
      </c>
      <c r="M59" s="125">
        <v>8.9499999999999993</v>
      </c>
      <c r="N59" s="125"/>
      <c r="O59" s="125"/>
      <c r="P59" s="125"/>
      <c r="Q59" s="125">
        <v>8.9499999999999993</v>
      </c>
      <c r="R59" s="125">
        <v>6.49</v>
      </c>
      <c r="S59" s="28">
        <v>6.95</v>
      </c>
      <c r="T59" s="28">
        <v>6.49</v>
      </c>
    </row>
    <row r="60" spans="1:20" s="75" customFormat="1" x14ac:dyDescent="0.35">
      <c r="A60" s="124">
        <v>56</v>
      </c>
      <c r="B60" s="120" t="s">
        <v>100</v>
      </c>
      <c r="C60" s="121"/>
      <c r="D60" s="121" t="s">
        <v>59</v>
      </c>
      <c r="E60" s="28"/>
      <c r="F60" s="28"/>
      <c r="G60" s="125"/>
      <c r="H60" s="125"/>
      <c r="I60" s="28">
        <v>7.75</v>
      </c>
      <c r="J60" s="28"/>
      <c r="K60" s="28">
        <v>9.48</v>
      </c>
      <c r="L60" s="28"/>
      <c r="M60" s="125"/>
      <c r="N60" s="125">
        <v>6.49</v>
      </c>
      <c r="O60" s="125">
        <v>7.95</v>
      </c>
      <c r="P60" s="125">
        <v>6.49</v>
      </c>
      <c r="Q60" s="125"/>
      <c r="R60" s="125"/>
      <c r="S60" s="28"/>
      <c r="T60" s="28"/>
    </row>
    <row r="61" spans="1:20" s="75" customFormat="1" x14ac:dyDescent="0.35">
      <c r="A61" s="124">
        <v>57</v>
      </c>
      <c r="B61" s="120" t="s">
        <v>101</v>
      </c>
      <c r="C61" s="121"/>
      <c r="D61" s="121" t="s">
        <v>15</v>
      </c>
      <c r="E61" s="28">
        <v>7.95</v>
      </c>
      <c r="F61" s="150">
        <v>6.95</v>
      </c>
      <c r="G61" s="125"/>
      <c r="H61" s="125">
        <v>3.95</v>
      </c>
      <c r="I61" s="28"/>
      <c r="J61" s="28">
        <v>6.5</v>
      </c>
      <c r="K61" s="28"/>
      <c r="L61" s="28">
        <v>3.95</v>
      </c>
      <c r="M61" s="125">
        <v>7.99</v>
      </c>
      <c r="N61" s="125"/>
      <c r="O61" s="125"/>
      <c r="P61" s="125"/>
      <c r="Q61" s="125">
        <v>7.95</v>
      </c>
      <c r="R61" s="125">
        <v>5.99</v>
      </c>
      <c r="S61" s="28">
        <v>8.9499999999999993</v>
      </c>
      <c r="T61" s="28">
        <v>5.99</v>
      </c>
    </row>
    <row r="62" spans="1:20" s="75" customFormat="1" x14ac:dyDescent="0.35">
      <c r="A62" s="124">
        <v>57</v>
      </c>
      <c r="B62" s="120" t="s">
        <v>101</v>
      </c>
      <c r="C62" s="121"/>
      <c r="D62" s="121" t="s">
        <v>59</v>
      </c>
      <c r="E62" s="28"/>
      <c r="F62" s="28"/>
      <c r="G62" s="125"/>
      <c r="H62" s="125"/>
      <c r="I62" s="28">
        <v>7.75</v>
      </c>
      <c r="J62" s="28"/>
      <c r="K62" s="28">
        <v>8.1300000000000008</v>
      </c>
      <c r="L62" s="28"/>
      <c r="M62" s="125"/>
      <c r="N62" s="125">
        <v>5.99</v>
      </c>
      <c r="O62" s="125">
        <v>6.5</v>
      </c>
      <c r="P62" s="125">
        <v>5.99</v>
      </c>
      <c r="Q62" s="125"/>
      <c r="R62" s="125"/>
      <c r="S62" s="28"/>
      <c r="T62" s="28"/>
    </row>
    <row r="63" spans="1:20" s="75" customFormat="1" x14ac:dyDescent="0.35">
      <c r="A63" s="124">
        <v>58</v>
      </c>
      <c r="B63" s="120" t="s">
        <v>102</v>
      </c>
      <c r="C63" s="121" t="s">
        <v>103</v>
      </c>
      <c r="D63" s="121" t="s">
        <v>59</v>
      </c>
      <c r="E63" s="28"/>
      <c r="F63" s="28"/>
      <c r="G63" s="125">
        <v>6.4</v>
      </c>
      <c r="H63" s="125"/>
      <c r="I63" s="28"/>
      <c r="J63" s="28"/>
      <c r="K63" s="28"/>
      <c r="L63" s="28"/>
      <c r="M63" s="125">
        <v>5.25</v>
      </c>
      <c r="N63" s="125"/>
      <c r="O63" s="125">
        <v>4.95</v>
      </c>
      <c r="P63" s="125"/>
      <c r="Q63" s="125"/>
      <c r="R63" s="125"/>
      <c r="S63" s="28"/>
      <c r="T63" s="28"/>
    </row>
    <row r="64" spans="1:20" s="75" customFormat="1" x14ac:dyDescent="0.35">
      <c r="A64" s="124">
        <v>59</v>
      </c>
      <c r="B64" s="120" t="s">
        <v>104</v>
      </c>
      <c r="C64" s="121" t="s">
        <v>103</v>
      </c>
      <c r="D64" s="121" t="s">
        <v>59</v>
      </c>
      <c r="E64" s="28"/>
      <c r="F64" s="28"/>
      <c r="G64" s="125">
        <v>11.1</v>
      </c>
      <c r="H64" s="125"/>
      <c r="I64" s="28"/>
      <c r="J64" s="28"/>
      <c r="K64" s="28"/>
      <c r="L64" s="28"/>
      <c r="M64" s="125">
        <v>11.25</v>
      </c>
      <c r="N64" s="125">
        <v>10.99</v>
      </c>
      <c r="O64" s="125">
        <v>9.9499999999999993</v>
      </c>
      <c r="P64" s="125"/>
      <c r="Q64" s="125"/>
      <c r="R64" s="125"/>
      <c r="S64" s="28"/>
      <c r="T64" s="28">
        <v>10.99</v>
      </c>
    </row>
    <row r="65" spans="1:20" s="75" customFormat="1" x14ac:dyDescent="0.35">
      <c r="A65" s="124">
        <v>60</v>
      </c>
      <c r="B65" s="120" t="s">
        <v>105</v>
      </c>
      <c r="C65" s="121" t="s">
        <v>103</v>
      </c>
      <c r="D65" s="121" t="s">
        <v>59</v>
      </c>
      <c r="E65" s="28"/>
      <c r="F65" s="28"/>
      <c r="G65" s="125">
        <v>11.1</v>
      </c>
      <c r="H65" s="125"/>
      <c r="I65" s="28"/>
      <c r="J65" s="28"/>
      <c r="K65" s="28"/>
      <c r="L65" s="28"/>
      <c r="M65" s="125"/>
      <c r="N65" s="125"/>
      <c r="O65" s="125">
        <v>8.9499999999999993</v>
      </c>
      <c r="P65" s="125"/>
      <c r="Q65" s="125"/>
      <c r="R65" s="125"/>
      <c r="S65" s="28"/>
      <c r="T65" s="28"/>
    </row>
    <row r="66" spans="1:20" s="75" customFormat="1" x14ac:dyDescent="0.35">
      <c r="A66" s="124">
        <v>61</v>
      </c>
      <c r="B66" s="120" t="s">
        <v>106</v>
      </c>
      <c r="C66" s="121" t="s">
        <v>103</v>
      </c>
      <c r="D66" s="121" t="s">
        <v>59</v>
      </c>
      <c r="E66" s="28"/>
      <c r="F66" s="28"/>
      <c r="G66" s="125">
        <v>11.1</v>
      </c>
      <c r="H66" s="125"/>
      <c r="I66" s="28"/>
      <c r="J66" s="28"/>
      <c r="K66" s="28"/>
      <c r="L66" s="28"/>
      <c r="M66" s="125"/>
      <c r="N66" s="125"/>
      <c r="O66" s="125"/>
      <c r="P66" s="125"/>
      <c r="Q66" s="125"/>
      <c r="R66" s="125"/>
      <c r="S66" s="28"/>
      <c r="T66" s="28"/>
    </row>
    <row r="67" spans="1:20" s="75" customFormat="1" x14ac:dyDescent="0.35">
      <c r="A67" s="124">
        <v>62</v>
      </c>
      <c r="B67" s="120" t="s">
        <v>107</v>
      </c>
      <c r="C67" s="121" t="s">
        <v>103</v>
      </c>
      <c r="D67" s="121" t="s">
        <v>59</v>
      </c>
      <c r="E67" s="28"/>
      <c r="F67" s="28"/>
      <c r="G67" s="125">
        <v>9.99</v>
      </c>
      <c r="H67" s="125"/>
      <c r="I67" s="28"/>
      <c r="J67" s="28"/>
      <c r="K67" s="28"/>
      <c r="L67" s="28"/>
      <c r="M67" s="125">
        <v>7.99</v>
      </c>
      <c r="N67" s="125">
        <v>9.99</v>
      </c>
      <c r="O67" s="125">
        <v>7.5</v>
      </c>
      <c r="P67" s="125">
        <v>8.99</v>
      </c>
      <c r="Q67" s="125"/>
      <c r="R67" s="125">
        <v>9.99</v>
      </c>
      <c r="S67" s="28"/>
      <c r="T67" s="28"/>
    </row>
    <row r="68" spans="1:20" s="75" customFormat="1" x14ac:dyDescent="0.35">
      <c r="A68" s="124">
        <v>63</v>
      </c>
      <c r="B68" s="120" t="s">
        <v>108</v>
      </c>
      <c r="C68" s="121" t="s">
        <v>103</v>
      </c>
      <c r="D68" s="121" t="s">
        <v>59</v>
      </c>
      <c r="E68" s="28"/>
      <c r="F68" s="28"/>
      <c r="G68" s="125">
        <v>9.6</v>
      </c>
      <c r="H68" s="125"/>
      <c r="I68" s="28"/>
      <c r="J68" s="28"/>
      <c r="K68" s="28"/>
      <c r="L68" s="28"/>
      <c r="M68" s="125">
        <v>7.99</v>
      </c>
      <c r="N68" s="125"/>
      <c r="O68" s="125">
        <v>7.5</v>
      </c>
      <c r="P68" s="125"/>
      <c r="Q68" s="125"/>
      <c r="R68" s="125"/>
      <c r="S68" s="28"/>
      <c r="T68" s="28">
        <v>8.99</v>
      </c>
    </row>
    <row r="69" spans="1:20" s="75" customFormat="1" x14ac:dyDescent="0.35">
      <c r="A69" s="124">
        <v>64</v>
      </c>
      <c r="B69" s="120" t="s">
        <v>109</v>
      </c>
      <c r="C69" s="121" t="s">
        <v>110</v>
      </c>
      <c r="D69" s="121" t="s">
        <v>111</v>
      </c>
      <c r="E69" s="28">
        <v>12</v>
      </c>
      <c r="F69" s="28">
        <v>11.95</v>
      </c>
      <c r="G69" s="125">
        <v>11.99</v>
      </c>
      <c r="H69" s="125">
        <v>11.95</v>
      </c>
      <c r="I69" s="28">
        <v>11.95</v>
      </c>
      <c r="J69" s="28">
        <v>12</v>
      </c>
      <c r="K69" s="28"/>
      <c r="L69" s="28">
        <v>11.95</v>
      </c>
      <c r="M69" s="125">
        <v>12</v>
      </c>
      <c r="N69" s="125">
        <v>11.99</v>
      </c>
      <c r="O69" s="125">
        <v>11.25</v>
      </c>
      <c r="P69" s="125">
        <v>11.99</v>
      </c>
      <c r="Q69" s="125">
        <v>11.95</v>
      </c>
      <c r="R69" s="125">
        <v>11.99</v>
      </c>
      <c r="S69" s="28">
        <v>11.95</v>
      </c>
      <c r="T69" s="28">
        <v>11.99</v>
      </c>
    </row>
    <row r="70" spans="1:20" s="75" customFormat="1" x14ac:dyDescent="0.35">
      <c r="A70" s="124">
        <v>65</v>
      </c>
      <c r="B70" s="120" t="s">
        <v>112</v>
      </c>
      <c r="C70" s="121" t="s">
        <v>113</v>
      </c>
      <c r="D70" s="121" t="s">
        <v>51</v>
      </c>
      <c r="E70" s="28">
        <v>6.95</v>
      </c>
      <c r="F70" s="28">
        <v>8.5</v>
      </c>
      <c r="G70" s="125">
        <v>9.25</v>
      </c>
      <c r="H70" s="125">
        <v>7.95</v>
      </c>
      <c r="I70" s="28">
        <v>6.95</v>
      </c>
      <c r="J70" s="28">
        <v>7.5</v>
      </c>
      <c r="K70" s="28"/>
      <c r="L70" s="28">
        <v>7.95</v>
      </c>
      <c r="M70" s="125">
        <v>9.75</v>
      </c>
      <c r="N70" s="125">
        <v>9.99</v>
      </c>
      <c r="O70" s="125">
        <v>6.95</v>
      </c>
      <c r="P70" s="125"/>
      <c r="Q70" s="125">
        <v>8.9499999999999993</v>
      </c>
      <c r="R70" s="125">
        <v>9.99</v>
      </c>
      <c r="S70" s="28">
        <v>8.9499999999999993</v>
      </c>
      <c r="T70" s="28"/>
    </row>
    <row r="71" spans="1:20" s="75" customFormat="1" x14ac:dyDescent="0.35">
      <c r="A71" s="124">
        <v>66</v>
      </c>
      <c r="B71" s="120" t="s">
        <v>114</v>
      </c>
      <c r="C71" s="121"/>
      <c r="D71" s="121" t="s">
        <v>15</v>
      </c>
      <c r="E71" s="28">
        <v>2.5</v>
      </c>
      <c r="F71" s="28">
        <v>2.5</v>
      </c>
      <c r="G71" s="125">
        <v>3.52</v>
      </c>
      <c r="H71" s="125">
        <v>2.95</v>
      </c>
      <c r="I71" s="28">
        <v>2.25</v>
      </c>
      <c r="J71" s="28">
        <v>2.5</v>
      </c>
      <c r="K71" s="28">
        <v>2.5</v>
      </c>
      <c r="L71" s="28">
        <v>3</v>
      </c>
      <c r="M71" s="125">
        <v>3.32</v>
      </c>
      <c r="N71" s="125">
        <v>3</v>
      </c>
      <c r="O71" s="125">
        <v>3</v>
      </c>
      <c r="P71" s="125">
        <v>3</v>
      </c>
      <c r="Q71" s="125">
        <v>2.95</v>
      </c>
      <c r="R71" s="125">
        <v>3</v>
      </c>
      <c r="S71" s="28">
        <v>3.95</v>
      </c>
      <c r="T71" s="28">
        <v>2.99</v>
      </c>
    </row>
    <row r="72" spans="1:20" s="75" customFormat="1" x14ac:dyDescent="0.35">
      <c r="A72" s="124">
        <v>67</v>
      </c>
      <c r="B72" s="120" t="s">
        <v>115</v>
      </c>
      <c r="C72" s="121"/>
      <c r="D72" s="121" t="s">
        <v>15</v>
      </c>
      <c r="E72" s="28">
        <v>3.95</v>
      </c>
      <c r="F72" s="28">
        <v>2.95</v>
      </c>
      <c r="G72" s="125">
        <v>5.28</v>
      </c>
      <c r="H72" s="125">
        <v>2.95</v>
      </c>
      <c r="I72" s="28">
        <v>2.5</v>
      </c>
      <c r="J72" s="28">
        <v>3</v>
      </c>
      <c r="K72" s="28">
        <v>3.25</v>
      </c>
      <c r="L72" s="28">
        <v>2.95</v>
      </c>
      <c r="M72" s="125">
        <v>3.99</v>
      </c>
      <c r="N72" s="125">
        <v>3</v>
      </c>
      <c r="O72" s="125">
        <v>3</v>
      </c>
      <c r="P72" s="125">
        <v>3</v>
      </c>
      <c r="Q72" s="125">
        <v>2.95</v>
      </c>
      <c r="R72" s="125">
        <v>3</v>
      </c>
      <c r="S72" s="28">
        <v>3.95</v>
      </c>
      <c r="T72" s="28">
        <v>2.99</v>
      </c>
    </row>
    <row r="73" spans="1:20" s="75" customFormat="1" x14ac:dyDescent="0.35">
      <c r="A73" s="124">
        <v>68</v>
      </c>
      <c r="B73" s="120" t="s">
        <v>116</v>
      </c>
      <c r="C73" s="121"/>
      <c r="D73" s="121" t="s">
        <v>15</v>
      </c>
      <c r="E73" s="28">
        <v>12.95</v>
      </c>
      <c r="F73" s="28">
        <v>16.5</v>
      </c>
      <c r="G73" s="125">
        <v>15.15</v>
      </c>
      <c r="H73" s="125">
        <v>7.95</v>
      </c>
      <c r="I73" s="28">
        <v>7.25</v>
      </c>
      <c r="J73" s="28">
        <v>8.9499999999999993</v>
      </c>
      <c r="K73" s="28">
        <v>11</v>
      </c>
      <c r="L73" s="28">
        <v>7.95</v>
      </c>
      <c r="M73" s="125"/>
      <c r="N73" s="125">
        <v>8.99</v>
      </c>
      <c r="O73" s="125">
        <v>8</v>
      </c>
      <c r="P73" s="125">
        <v>9</v>
      </c>
      <c r="Q73" s="125">
        <v>11.95</v>
      </c>
      <c r="R73" s="125">
        <v>8.99</v>
      </c>
      <c r="S73" s="28">
        <v>11.95</v>
      </c>
      <c r="T73" s="28">
        <v>13.99</v>
      </c>
    </row>
    <row r="74" spans="1:20" s="75" customFormat="1" x14ac:dyDescent="0.35">
      <c r="A74" s="124">
        <v>69</v>
      </c>
      <c r="B74" s="120" t="s">
        <v>116</v>
      </c>
      <c r="C74" s="121"/>
      <c r="D74" s="121" t="s">
        <v>40</v>
      </c>
      <c r="E74" s="28"/>
      <c r="F74" s="28"/>
      <c r="G74" s="125"/>
      <c r="H74" s="125"/>
      <c r="I74" s="28"/>
      <c r="J74" s="28"/>
      <c r="K74" s="28">
        <v>5.5</v>
      </c>
      <c r="L74" s="28"/>
      <c r="M74" s="125">
        <v>4.99</v>
      </c>
      <c r="N74" s="125">
        <v>4.99</v>
      </c>
      <c r="O74" s="125">
        <v>4</v>
      </c>
      <c r="P74" s="125">
        <v>5</v>
      </c>
      <c r="Q74" s="125">
        <v>5.95</v>
      </c>
      <c r="R74" s="125">
        <v>4.99</v>
      </c>
      <c r="S74" s="28">
        <v>6.95</v>
      </c>
      <c r="T74" s="28">
        <v>8.99</v>
      </c>
    </row>
    <row r="75" spans="1:20" s="75" customFormat="1" x14ac:dyDescent="0.35">
      <c r="A75" s="124">
        <v>70</v>
      </c>
      <c r="B75" s="120" t="s">
        <v>117</v>
      </c>
      <c r="C75" s="121" t="s">
        <v>118</v>
      </c>
      <c r="D75" s="121" t="s">
        <v>15</v>
      </c>
      <c r="E75" s="28">
        <v>4.95</v>
      </c>
      <c r="F75" s="28"/>
      <c r="G75" s="125"/>
      <c r="H75" s="125">
        <v>4</v>
      </c>
      <c r="I75" s="28"/>
      <c r="J75" s="28"/>
      <c r="K75" s="28"/>
      <c r="L75" s="28">
        <v>4</v>
      </c>
      <c r="M75" s="125">
        <v>4.6900000000000004</v>
      </c>
      <c r="N75" s="125">
        <v>4.59</v>
      </c>
      <c r="O75" s="125"/>
      <c r="P75" s="125">
        <v>3.99</v>
      </c>
      <c r="Q75" s="125"/>
      <c r="R75" s="125"/>
      <c r="S75" s="28"/>
      <c r="T75" s="28">
        <v>3.99</v>
      </c>
    </row>
    <row r="76" spans="1:20" s="75" customFormat="1" x14ac:dyDescent="0.35">
      <c r="A76" s="124">
        <v>71</v>
      </c>
      <c r="B76" s="120" t="s">
        <v>119</v>
      </c>
      <c r="C76" s="121" t="s">
        <v>120</v>
      </c>
      <c r="D76" s="121" t="s">
        <v>81</v>
      </c>
      <c r="E76" s="28"/>
      <c r="F76" s="28"/>
      <c r="G76" s="125">
        <v>21.99</v>
      </c>
      <c r="H76" s="125">
        <v>19.95</v>
      </c>
      <c r="I76" s="28">
        <v>22.95</v>
      </c>
      <c r="J76" s="28">
        <v>20.95</v>
      </c>
      <c r="K76" s="28">
        <v>19</v>
      </c>
      <c r="L76" s="28">
        <v>19.95</v>
      </c>
      <c r="M76" s="125"/>
      <c r="N76" s="125"/>
      <c r="O76" s="125"/>
      <c r="P76" s="125">
        <v>22.99</v>
      </c>
      <c r="Q76" s="125"/>
      <c r="R76" s="125"/>
      <c r="S76" s="28"/>
      <c r="T76" s="28"/>
    </row>
    <row r="77" spans="1:20" s="75" customFormat="1" x14ac:dyDescent="0.35">
      <c r="A77" s="124">
        <v>72</v>
      </c>
      <c r="B77" s="120" t="s">
        <v>121</v>
      </c>
      <c r="C77" s="121" t="s">
        <v>122</v>
      </c>
      <c r="D77" s="121" t="s">
        <v>81</v>
      </c>
      <c r="E77" s="28"/>
      <c r="F77" s="28">
        <v>21.95</v>
      </c>
      <c r="G77" s="125">
        <v>18.2</v>
      </c>
      <c r="H77" s="125">
        <v>22.95</v>
      </c>
      <c r="I77" s="28">
        <v>20.95</v>
      </c>
      <c r="J77" s="28">
        <v>20</v>
      </c>
      <c r="K77" s="28">
        <v>20.95</v>
      </c>
      <c r="L77" s="28">
        <v>22.95</v>
      </c>
      <c r="M77" s="125">
        <v>21.95</v>
      </c>
      <c r="N77" s="125">
        <v>21.99</v>
      </c>
      <c r="O77" s="125">
        <v>19.95</v>
      </c>
      <c r="P77" s="125"/>
      <c r="Q77" s="125">
        <v>21.95</v>
      </c>
      <c r="R77" s="125">
        <v>21.99</v>
      </c>
      <c r="S77" s="28">
        <v>19.95</v>
      </c>
      <c r="T77" s="28"/>
    </row>
    <row r="78" spans="1:20" s="75" customFormat="1" x14ac:dyDescent="0.35">
      <c r="A78" s="124">
        <v>73</v>
      </c>
      <c r="B78" s="120" t="s">
        <v>123</v>
      </c>
      <c r="C78" s="121" t="s">
        <v>124</v>
      </c>
      <c r="D78" s="121" t="s">
        <v>125</v>
      </c>
      <c r="E78" s="28">
        <v>4.95</v>
      </c>
      <c r="F78" s="28"/>
      <c r="G78" s="125">
        <v>5.05</v>
      </c>
      <c r="H78" s="125">
        <v>4.95</v>
      </c>
      <c r="I78" s="28">
        <v>4.95</v>
      </c>
      <c r="J78" s="28">
        <v>5</v>
      </c>
      <c r="K78" s="28"/>
      <c r="L78" s="28"/>
      <c r="M78" s="125"/>
      <c r="N78" s="125">
        <v>4.99</v>
      </c>
      <c r="O78" s="125">
        <v>4.95</v>
      </c>
      <c r="P78" s="125">
        <v>4.99</v>
      </c>
      <c r="Q78" s="125"/>
      <c r="R78" s="125">
        <v>4.99</v>
      </c>
      <c r="S78" s="28">
        <v>4.95</v>
      </c>
      <c r="T78" s="28"/>
    </row>
    <row r="79" spans="1:20" s="75" customFormat="1" x14ac:dyDescent="0.35">
      <c r="A79" s="124">
        <v>74</v>
      </c>
      <c r="B79" s="120" t="s">
        <v>123</v>
      </c>
      <c r="C79" s="121" t="s">
        <v>126</v>
      </c>
      <c r="D79" s="121" t="s">
        <v>56</v>
      </c>
      <c r="E79" s="28">
        <v>3.95</v>
      </c>
      <c r="F79" s="28">
        <v>3.95</v>
      </c>
      <c r="G79" s="125"/>
      <c r="H79" s="125">
        <v>3.95</v>
      </c>
      <c r="I79" s="28">
        <v>3</v>
      </c>
      <c r="J79" s="28">
        <v>3.5</v>
      </c>
      <c r="K79" s="28"/>
      <c r="L79" s="28">
        <v>3.95</v>
      </c>
      <c r="M79" s="125"/>
      <c r="N79" s="125">
        <v>3.5</v>
      </c>
      <c r="O79" s="125">
        <v>4</v>
      </c>
      <c r="P79" s="125">
        <v>3.5</v>
      </c>
      <c r="Q79" s="125"/>
      <c r="R79" s="125">
        <v>3.5</v>
      </c>
      <c r="S79" s="28"/>
      <c r="T79" s="28"/>
    </row>
    <row r="80" spans="1:20" s="75" customFormat="1" x14ac:dyDescent="0.35">
      <c r="A80" s="124">
        <v>75</v>
      </c>
      <c r="B80" s="120" t="s">
        <v>127</v>
      </c>
      <c r="C80" s="121" t="s">
        <v>128</v>
      </c>
      <c r="D80" s="121" t="s">
        <v>129</v>
      </c>
      <c r="E80" s="28">
        <v>239.95</v>
      </c>
      <c r="F80" s="28"/>
      <c r="G80" s="125">
        <v>224.5</v>
      </c>
      <c r="H80" s="125">
        <v>211.95</v>
      </c>
      <c r="I80" s="28"/>
      <c r="J80" s="28">
        <v>225</v>
      </c>
      <c r="K80" s="28"/>
      <c r="L80" s="28">
        <v>230.95</v>
      </c>
      <c r="M80" s="125">
        <v>225.25</v>
      </c>
      <c r="N80" s="125">
        <v>227.99</v>
      </c>
      <c r="O80" s="125">
        <v>231</v>
      </c>
      <c r="P80" s="125"/>
      <c r="Q80" s="125"/>
      <c r="R80" s="125">
        <v>207.99</v>
      </c>
      <c r="S80" s="28"/>
      <c r="T80" s="28">
        <v>250.99</v>
      </c>
    </row>
    <row r="81" spans="1:20" s="75" customFormat="1" x14ac:dyDescent="0.35">
      <c r="A81" s="124">
        <v>76</v>
      </c>
      <c r="B81" s="120" t="s">
        <v>127</v>
      </c>
      <c r="C81" s="121" t="s">
        <v>130</v>
      </c>
      <c r="D81" s="121" t="s">
        <v>129</v>
      </c>
      <c r="E81" s="28">
        <v>149.94999999999999</v>
      </c>
      <c r="F81" s="28">
        <v>159.94999999999999</v>
      </c>
      <c r="G81" s="125">
        <v>164.99</v>
      </c>
      <c r="H81" s="125">
        <v>166.95</v>
      </c>
      <c r="I81" s="28">
        <v>144.94999999999999</v>
      </c>
      <c r="J81" s="28">
        <v>140</v>
      </c>
      <c r="K81" s="28"/>
      <c r="L81" s="28">
        <v>159.94999999999999</v>
      </c>
      <c r="M81" s="125">
        <v>155.5</v>
      </c>
      <c r="N81" s="125">
        <v>156.99</v>
      </c>
      <c r="O81" s="125">
        <v>134.94999999999999</v>
      </c>
      <c r="P81" s="125"/>
      <c r="Q81" s="125"/>
      <c r="R81" s="125"/>
      <c r="S81" s="28">
        <v>144.94999999999999</v>
      </c>
      <c r="T81" s="28">
        <v>156.99</v>
      </c>
    </row>
    <row r="82" spans="1:20" s="75" customFormat="1" x14ac:dyDescent="0.35">
      <c r="A82" s="124">
        <v>77</v>
      </c>
      <c r="B82" s="120" t="s">
        <v>127</v>
      </c>
      <c r="C82" s="121" t="s">
        <v>131</v>
      </c>
      <c r="D82" s="121" t="s">
        <v>56</v>
      </c>
      <c r="E82" s="28">
        <v>76.95</v>
      </c>
      <c r="F82" s="28">
        <v>82.5</v>
      </c>
      <c r="G82" s="125">
        <v>83.5</v>
      </c>
      <c r="H82" s="125"/>
      <c r="I82" s="28">
        <v>74.95</v>
      </c>
      <c r="J82" s="28">
        <v>75</v>
      </c>
      <c r="K82" s="28">
        <v>86</v>
      </c>
      <c r="L82" s="28">
        <v>74.95</v>
      </c>
      <c r="M82" s="125">
        <v>82.5</v>
      </c>
      <c r="N82" s="125">
        <v>75.989999999999995</v>
      </c>
      <c r="O82" s="125">
        <v>71</v>
      </c>
      <c r="P82" s="125">
        <v>75.989999999999995</v>
      </c>
      <c r="Q82" s="125">
        <v>72.95</v>
      </c>
      <c r="R82" s="125">
        <v>75.989999999999995</v>
      </c>
      <c r="S82" s="28">
        <v>72.95</v>
      </c>
      <c r="T82" s="28">
        <v>75.989999999999995</v>
      </c>
    </row>
    <row r="83" spans="1:20" s="75" customFormat="1" x14ac:dyDescent="0.35">
      <c r="A83" s="124">
        <v>78</v>
      </c>
      <c r="B83" s="120" t="s">
        <v>132</v>
      </c>
      <c r="C83" s="121" t="s">
        <v>133</v>
      </c>
      <c r="D83" s="121" t="s">
        <v>134</v>
      </c>
      <c r="E83" s="28">
        <v>23.95</v>
      </c>
      <c r="F83" s="28"/>
      <c r="G83" s="125">
        <v>25.99</v>
      </c>
      <c r="H83" s="125">
        <v>28.95</v>
      </c>
      <c r="I83" s="28">
        <v>23.95</v>
      </c>
      <c r="J83" s="28">
        <v>25.95</v>
      </c>
      <c r="K83" s="28"/>
      <c r="L83" s="28">
        <v>26.95</v>
      </c>
      <c r="M83" s="125">
        <v>28.75</v>
      </c>
      <c r="N83" s="125">
        <v>24.99</v>
      </c>
      <c r="O83" s="125">
        <v>25.5</v>
      </c>
      <c r="P83" s="125"/>
      <c r="Q83" s="125">
        <v>26.95</v>
      </c>
      <c r="R83" s="125">
        <v>27.99</v>
      </c>
      <c r="S83" s="28">
        <v>24.95</v>
      </c>
      <c r="T83" s="28">
        <v>27.99</v>
      </c>
    </row>
    <row r="84" spans="1:20" s="75" customFormat="1" x14ac:dyDescent="0.35">
      <c r="A84" s="124">
        <v>79</v>
      </c>
      <c r="B84" s="120" t="s">
        <v>132</v>
      </c>
      <c r="C84" s="121" t="s">
        <v>135</v>
      </c>
      <c r="D84" s="121" t="s">
        <v>134</v>
      </c>
      <c r="E84" s="28">
        <v>25.95</v>
      </c>
      <c r="F84" s="28">
        <v>27.5</v>
      </c>
      <c r="G84" s="125">
        <v>27.99</v>
      </c>
      <c r="H84" s="125">
        <v>28.95</v>
      </c>
      <c r="I84" s="28">
        <v>25.5</v>
      </c>
      <c r="J84" s="28">
        <v>25.95</v>
      </c>
      <c r="K84" s="28"/>
      <c r="L84" s="28">
        <v>29.95</v>
      </c>
      <c r="M84" s="125">
        <v>28.75</v>
      </c>
      <c r="N84" s="125">
        <v>28.99</v>
      </c>
      <c r="O84" s="125">
        <v>26.95</v>
      </c>
      <c r="P84" s="125">
        <v>28.99</v>
      </c>
      <c r="Q84" s="125">
        <v>29.95</v>
      </c>
      <c r="R84" s="125">
        <v>28.99</v>
      </c>
      <c r="S84" s="28"/>
      <c r="T84" s="28">
        <v>28.99</v>
      </c>
    </row>
    <row r="85" spans="1:20" s="75" customFormat="1" x14ac:dyDescent="0.35">
      <c r="A85" s="124">
        <v>80</v>
      </c>
      <c r="B85" s="120" t="s">
        <v>136</v>
      </c>
      <c r="C85" s="121" t="s">
        <v>137</v>
      </c>
      <c r="D85" s="121" t="s">
        <v>138</v>
      </c>
      <c r="E85" s="28">
        <v>14.5</v>
      </c>
      <c r="F85" s="28">
        <v>13.95</v>
      </c>
      <c r="G85" s="125">
        <v>15.15</v>
      </c>
      <c r="H85" s="125"/>
      <c r="I85" s="150">
        <v>10.95</v>
      </c>
      <c r="J85" s="28">
        <v>15</v>
      </c>
      <c r="K85" s="28">
        <v>14</v>
      </c>
      <c r="L85" s="28"/>
      <c r="M85" s="125"/>
      <c r="N85" s="125">
        <v>11.99</v>
      </c>
      <c r="O85" s="125"/>
      <c r="P85" s="125">
        <v>11.99</v>
      </c>
      <c r="Q85" s="125"/>
      <c r="R85" s="125">
        <v>11.99</v>
      </c>
      <c r="S85" s="28"/>
      <c r="T85" s="28">
        <v>11.99</v>
      </c>
    </row>
    <row r="86" spans="1:20" s="75" customFormat="1" x14ac:dyDescent="0.35">
      <c r="A86" s="124">
        <v>81</v>
      </c>
      <c r="B86" s="120" t="s">
        <v>139</v>
      </c>
      <c r="C86" s="121" t="s">
        <v>140</v>
      </c>
      <c r="D86" s="121" t="s">
        <v>141</v>
      </c>
      <c r="E86" s="28"/>
      <c r="F86" s="28">
        <v>16.5</v>
      </c>
      <c r="G86" s="125">
        <v>17.2</v>
      </c>
      <c r="H86" s="125">
        <v>16.95</v>
      </c>
      <c r="I86" s="28">
        <v>16.95</v>
      </c>
      <c r="J86" s="28">
        <v>15</v>
      </c>
      <c r="K86" s="28">
        <v>16</v>
      </c>
      <c r="L86" s="28">
        <v>16.95</v>
      </c>
      <c r="M86" s="125">
        <v>16.25</v>
      </c>
      <c r="N86" s="125">
        <v>14.99</v>
      </c>
      <c r="O86" s="125"/>
      <c r="P86" s="125">
        <v>16.989999999999998</v>
      </c>
      <c r="Q86" s="125"/>
      <c r="R86" s="125">
        <v>14.99</v>
      </c>
      <c r="S86" s="28">
        <v>16.95</v>
      </c>
      <c r="T86" s="28">
        <v>14.99</v>
      </c>
    </row>
    <row r="87" spans="1:20" s="75" customFormat="1" x14ac:dyDescent="0.35">
      <c r="A87" s="124">
        <v>82</v>
      </c>
      <c r="B87" s="120" t="s">
        <v>142</v>
      </c>
      <c r="C87" s="121" t="s">
        <v>143</v>
      </c>
      <c r="D87" s="121" t="s">
        <v>144</v>
      </c>
      <c r="E87" s="28">
        <v>20.95</v>
      </c>
      <c r="F87" s="28">
        <v>23.95</v>
      </c>
      <c r="G87" s="125"/>
      <c r="H87" s="125">
        <v>22.95</v>
      </c>
      <c r="I87" s="28">
        <v>23.75</v>
      </c>
      <c r="J87" s="28">
        <v>21.95</v>
      </c>
      <c r="K87" s="28">
        <v>21.5</v>
      </c>
      <c r="L87" s="28">
        <v>18.95</v>
      </c>
      <c r="M87" s="125">
        <v>23.6</v>
      </c>
      <c r="N87" s="125">
        <v>25.99</v>
      </c>
      <c r="O87" s="125">
        <v>26.5</v>
      </c>
      <c r="P87" s="125">
        <v>22.99</v>
      </c>
      <c r="Q87" s="125">
        <v>22.95</v>
      </c>
      <c r="R87" s="125">
        <v>25.99</v>
      </c>
      <c r="S87" s="28">
        <v>18.95</v>
      </c>
      <c r="T87" s="28">
        <v>16.989999999999998</v>
      </c>
    </row>
    <row r="88" spans="1:20" s="75" customFormat="1" x14ac:dyDescent="0.35">
      <c r="A88" s="124">
        <v>83</v>
      </c>
      <c r="B88" s="120" t="s">
        <v>145</v>
      </c>
      <c r="C88" s="121" t="s">
        <v>146</v>
      </c>
      <c r="D88" s="121" t="s">
        <v>147</v>
      </c>
      <c r="E88" s="28">
        <v>17.95</v>
      </c>
      <c r="F88" s="28"/>
      <c r="G88" s="125">
        <v>19.7</v>
      </c>
      <c r="H88" s="125"/>
      <c r="I88" s="28">
        <v>18.75</v>
      </c>
      <c r="J88" s="28">
        <v>17.95</v>
      </c>
      <c r="K88" s="28">
        <v>17.95</v>
      </c>
      <c r="L88" s="28">
        <v>18.95</v>
      </c>
      <c r="M88" s="125">
        <v>17.989999999999998</v>
      </c>
      <c r="N88" s="125">
        <v>17.989999999999998</v>
      </c>
      <c r="O88" s="125">
        <v>16.95</v>
      </c>
      <c r="P88" s="125">
        <v>17.989999999999998</v>
      </c>
      <c r="Q88" s="125">
        <v>17.95</v>
      </c>
      <c r="R88" s="125"/>
      <c r="S88" s="28"/>
      <c r="T88" s="28">
        <v>17.989999999999998</v>
      </c>
    </row>
    <row r="89" spans="1:20" s="75" customFormat="1" x14ac:dyDescent="0.35">
      <c r="A89" s="124">
        <v>84</v>
      </c>
      <c r="B89" s="120" t="s">
        <v>148</v>
      </c>
      <c r="C89" s="121" t="s">
        <v>149</v>
      </c>
      <c r="D89" s="121" t="s">
        <v>150</v>
      </c>
      <c r="E89" s="28"/>
      <c r="F89" s="28"/>
      <c r="G89" s="125"/>
      <c r="H89" s="125"/>
      <c r="I89" s="28"/>
      <c r="J89" s="28"/>
      <c r="K89" s="28"/>
      <c r="L89" s="28"/>
      <c r="M89" s="125"/>
      <c r="N89" s="125"/>
      <c r="O89" s="125"/>
      <c r="P89" s="125"/>
      <c r="Q89" s="125"/>
      <c r="R89" s="125"/>
      <c r="S89" s="28"/>
      <c r="T89" s="28"/>
    </row>
    <row r="90" spans="1:20" s="75" customFormat="1" x14ac:dyDescent="0.35">
      <c r="A90" s="124">
        <v>85</v>
      </c>
      <c r="B90" s="120" t="s">
        <v>148</v>
      </c>
      <c r="C90" s="121" t="s">
        <v>149</v>
      </c>
      <c r="D90" s="121" t="s">
        <v>129</v>
      </c>
      <c r="E90" s="28">
        <v>34.950000000000003</v>
      </c>
      <c r="F90" s="28">
        <v>34.950000000000003</v>
      </c>
      <c r="G90" s="125">
        <v>41.25</v>
      </c>
      <c r="H90" s="125">
        <v>34.950000000000003</v>
      </c>
      <c r="I90" s="28">
        <v>37.25</v>
      </c>
      <c r="J90" s="28">
        <v>35</v>
      </c>
      <c r="K90" s="28">
        <v>36.950000000000003</v>
      </c>
      <c r="L90" s="28">
        <v>34.950000000000003</v>
      </c>
      <c r="M90" s="125">
        <v>36.950000000000003</v>
      </c>
      <c r="N90" s="125">
        <v>34.99</v>
      </c>
      <c r="O90" s="125">
        <v>35.950000000000003</v>
      </c>
      <c r="P90" s="125">
        <v>34.99</v>
      </c>
      <c r="Q90" s="125"/>
      <c r="R90" s="125">
        <v>34.99</v>
      </c>
      <c r="S90" s="28">
        <v>36.950000000000003</v>
      </c>
      <c r="T90" s="28">
        <v>39.99</v>
      </c>
    </row>
    <row r="91" spans="1:20" s="75" customFormat="1" x14ac:dyDescent="0.35">
      <c r="A91" s="124">
        <v>86</v>
      </c>
      <c r="B91" s="120" t="s">
        <v>148</v>
      </c>
      <c r="C91" s="121" t="s">
        <v>149</v>
      </c>
      <c r="D91" s="121" t="s">
        <v>151</v>
      </c>
      <c r="E91" s="28"/>
      <c r="F91" s="28"/>
      <c r="G91" s="125"/>
      <c r="H91" s="125"/>
      <c r="I91" s="28"/>
      <c r="J91" s="28"/>
      <c r="K91" s="28"/>
      <c r="L91" s="28"/>
      <c r="M91" s="125"/>
      <c r="N91" s="125"/>
      <c r="O91" s="125"/>
      <c r="P91" s="125"/>
      <c r="Q91" s="125"/>
      <c r="R91" s="125"/>
      <c r="S91" s="28"/>
      <c r="T91" s="28"/>
    </row>
    <row r="92" spans="1:20" s="75" customFormat="1" x14ac:dyDescent="0.35">
      <c r="A92" s="124">
        <v>87</v>
      </c>
      <c r="B92" s="120" t="s">
        <v>148</v>
      </c>
      <c r="C92" s="121" t="s">
        <v>152</v>
      </c>
      <c r="D92" s="121" t="s">
        <v>150</v>
      </c>
      <c r="E92" s="28"/>
      <c r="F92" s="28"/>
      <c r="G92" s="125"/>
      <c r="H92" s="125"/>
      <c r="I92" s="28"/>
      <c r="J92" s="28"/>
      <c r="K92" s="28"/>
      <c r="L92" s="28"/>
      <c r="M92" s="125"/>
      <c r="N92" s="125"/>
      <c r="O92" s="125"/>
      <c r="P92" s="125"/>
      <c r="Q92" s="125"/>
      <c r="R92" s="125"/>
      <c r="S92" s="28"/>
      <c r="T92" s="28"/>
    </row>
    <row r="93" spans="1:20" s="75" customFormat="1" x14ac:dyDescent="0.35">
      <c r="A93" s="124">
        <v>88</v>
      </c>
      <c r="B93" s="120" t="s">
        <v>148</v>
      </c>
      <c r="C93" s="121" t="s">
        <v>152</v>
      </c>
      <c r="D93" s="121" t="s">
        <v>129</v>
      </c>
      <c r="E93" s="28">
        <v>24.5</v>
      </c>
      <c r="F93" s="28"/>
      <c r="G93" s="125">
        <v>22.5</v>
      </c>
      <c r="H93" s="125"/>
      <c r="I93" s="28">
        <v>25.25</v>
      </c>
      <c r="J93" s="28"/>
      <c r="K93" s="28"/>
      <c r="L93" s="28">
        <v>24.95</v>
      </c>
      <c r="M93" s="125">
        <v>24.5</v>
      </c>
      <c r="N93" s="125">
        <v>22.99</v>
      </c>
      <c r="O93" s="125">
        <v>22.95</v>
      </c>
      <c r="P93" s="125"/>
      <c r="Q93" s="125">
        <v>23.95</v>
      </c>
      <c r="R93" s="125">
        <v>22.99</v>
      </c>
      <c r="S93" s="28"/>
      <c r="T93" s="28">
        <v>22.99</v>
      </c>
    </row>
    <row r="94" spans="1:20" s="75" customFormat="1" x14ac:dyDescent="0.35">
      <c r="A94" s="124">
        <v>89</v>
      </c>
      <c r="B94" s="120" t="s">
        <v>154</v>
      </c>
      <c r="C94" s="121" t="s">
        <v>155</v>
      </c>
      <c r="D94" s="121" t="s">
        <v>156</v>
      </c>
      <c r="E94" s="28">
        <v>10.95</v>
      </c>
      <c r="F94" s="28">
        <v>10.95</v>
      </c>
      <c r="G94" s="125">
        <v>11.75</v>
      </c>
      <c r="H94" s="125">
        <v>11.95</v>
      </c>
      <c r="I94" s="28">
        <v>10.75</v>
      </c>
      <c r="J94" s="28">
        <v>10.95</v>
      </c>
      <c r="K94" s="28">
        <v>10.5</v>
      </c>
      <c r="L94" s="28">
        <v>10.95</v>
      </c>
      <c r="M94" s="125">
        <v>9.99</v>
      </c>
      <c r="N94" s="125">
        <v>10.99</v>
      </c>
      <c r="O94" s="125">
        <v>9.9499999999999993</v>
      </c>
      <c r="P94" s="125">
        <v>10.99</v>
      </c>
      <c r="Q94" s="125">
        <v>11.95</v>
      </c>
      <c r="R94" s="125">
        <v>11.5</v>
      </c>
      <c r="S94" s="28">
        <v>10.95</v>
      </c>
      <c r="T94" s="28">
        <v>10.99</v>
      </c>
    </row>
    <row r="95" spans="1:20" s="75" customFormat="1" x14ac:dyDescent="0.35">
      <c r="A95" s="124">
        <v>90</v>
      </c>
      <c r="B95" s="120" t="s">
        <v>157</v>
      </c>
      <c r="C95" s="121" t="s">
        <v>155</v>
      </c>
      <c r="D95" s="121" t="s">
        <v>158</v>
      </c>
      <c r="E95" s="28">
        <v>8.9499999999999993</v>
      </c>
      <c r="F95" s="28"/>
      <c r="G95" s="125">
        <v>9.5</v>
      </c>
      <c r="H95" s="125">
        <v>8.9499999999999993</v>
      </c>
      <c r="I95" s="28">
        <v>8.5</v>
      </c>
      <c r="J95" s="28">
        <v>8.9499999999999993</v>
      </c>
      <c r="K95" s="28">
        <v>9.5</v>
      </c>
      <c r="L95" s="28">
        <v>8.9499999999999993</v>
      </c>
      <c r="M95" s="125">
        <v>8.99</v>
      </c>
      <c r="N95" s="125">
        <v>8.99</v>
      </c>
      <c r="O95" s="125">
        <v>8.5</v>
      </c>
      <c r="P95" s="125">
        <v>8.99</v>
      </c>
      <c r="Q95" s="125">
        <v>8.9499999999999993</v>
      </c>
      <c r="R95" s="125">
        <v>8.99</v>
      </c>
      <c r="S95" s="28">
        <v>6.95</v>
      </c>
      <c r="T95" s="28">
        <v>8.99</v>
      </c>
    </row>
    <row r="96" spans="1:20" s="75" customFormat="1" x14ac:dyDescent="0.35">
      <c r="A96" s="124">
        <v>91</v>
      </c>
      <c r="B96" s="120" t="s">
        <v>159</v>
      </c>
      <c r="C96" s="121" t="s">
        <v>155</v>
      </c>
      <c r="D96" s="121" t="s">
        <v>158</v>
      </c>
      <c r="E96" s="28">
        <v>8.9499999999999993</v>
      </c>
      <c r="F96" s="28"/>
      <c r="G96" s="125">
        <v>9.5</v>
      </c>
      <c r="H96" s="125">
        <v>9.9499999999999993</v>
      </c>
      <c r="I96" s="28">
        <v>8.5</v>
      </c>
      <c r="J96" s="28">
        <v>8.9499999999999993</v>
      </c>
      <c r="K96" s="28">
        <v>9.5</v>
      </c>
      <c r="L96" s="28">
        <v>8.9499999999999993</v>
      </c>
      <c r="M96" s="125">
        <v>8.99</v>
      </c>
      <c r="N96" s="125">
        <v>8.49</v>
      </c>
      <c r="O96" s="125">
        <v>8.5</v>
      </c>
      <c r="P96" s="125">
        <v>8.99</v>
      </c>
      <c r="Q96" s="125">
        <v>8.9499999999999993</v>
      </c>
      <c r="R96" s="125">
        <v>8.99</v>
      </c>
      <c r="S96" s="28">
        <v>7.95</v>
      </c>
      <c r="T96" s="28">
        <v>8.99</v>
      </c>
    </row>
    <row r="97" spans="1:20" s="75" customFormat="1" x14ac:dyDescent="0.35">
      <c r="A97" s="124">
        <v>92</v>
      </c>
      <c r="B97" s="120" t="s">
        <v>160</v>
      </c>
      <c r="C97" s="121" t="s">
        <v>161</v>
      </c>
      <c r="D97" s="121" t="s">
        <v>162</v>
      </c>
      <c r="E97" s="28">
        <v>5.95</v>
      </c>
      <c r="F97" s="28">
        <v>5.25</v>
      </c>
      <c r="G97" s="125">
        <v>5.85</v>
      </c>
      <c r="H97" s="125">
        <v>5.95</v>
      </c>
      <c r="I97" s="28">
        <v>5.5</v>
      </c>
      <c r="J97" s="28">
        <v>5.5</v>
      </c>
      <c r="K97" s="28"/>
      <c r="L97" s="28">
        <v>5.95</v>
      </c>
      <c r="M97" s="125">
        <v>5.75</v>
      </c>
      <c r="N97" s="125">
        <v>5.99</v>
      </c>
      <c r="O97" s="125"/>
      <c r="P97" s="125">
        <v>5.99</v>
      </c>
      <c r="Q97" s="125">
        <v>6.95</v>
      </c>
      <c r="R97" s="125">
        <v>5.99</v>
      </c>
      <c r="S97" s="28">
        <v>6.95</v>
      </c>
      <c r="T97" s="28">
        <v>5.99</v>
      </c>
    </row>
    <row r="98" spans="1:20" s="75" customFormat="1" x14ac:dyDescent="0.35">
      <c r="A98" s="124">
        <v>93</v>
      </c>
      <c r="B98" s="122" t="s">
        <v>163</v>
      </c>
      <c r="C98" s="123" t="s">
        <v>164</v>
      </c>
      <c r="D98" s="123" t="s">
        <v>165</v>
      </c>
      <c r="E98" s="28">
        <v>25.95</v>
      </c>
      <c r="F98" s="28">
        <v>25.5</v>
      </c>
      <c r="G98" s="125">
        <v>22.5</v>
      </c>
      <c r="H98" s="125">
        <v>26.95</v>
      </c>
      <c r="I98" s="28">
        <v>26.75</v>
      </c>
      <c r="J98" s="28"/>
      <c r="K98" s="28">
        <v>24.5</v>
      </c>
      <c r="L98" s="28">
        <v>26.95</v>
      </c>
      <c r="M98" s="125">
        <v>25.5</v>
      </c>
      <c r="N98" s="125">
        <v>25.99</v>
      </c>
      <c r="O98" s="125">
        <v>22.95</v>
      </c>
      <c r="P98" s="125">
        <v>25.99</v>
      </c>
      <c r="Q98" s="142">
        <v>21.95</v>
      </c>
      <c r="R98" s="125">
        <v>25.99</v>
      </c>
      <c r="S98" s="150">
        <v>21.95</v>
      </c>
      <c r="T98" s="28">
        <v>25.99</v>
      </c>
    </row>
    <row r="99" spans="1:20" s="75" customFormat="1" x14ac:dyDescent="0.35">
      <c r="A99" s="124">
        <v>94</v>
      </c>
      <c r="B99" s="120" t="s">
        <v>166</v>
      </c>
      <c r="C99" s="121"/>
      <c r="D99" s="121" t="s">
        <v>59</v>
      </c>
      <c r="E99" s="28">
        <v>52.95</v>
      </c>
      <c r="F99" s="28">
        <v>51.95</v>
      </c>
      <c r="G99" s="125">
        <v>50.99</v>
      </c>
      <c r="H99" s="125"/>
      <c r="I99" s="28">
        <v>51.95</v>
      </c>
      <c r="J99" s="28">
        <v>45</v>
      </c>
      <c r="K99" s="28">
        <v>51.5</v>
      </c>
      <c r="L99" s="28">
        <v>47.95</v>
      </c>
      <c r="M99" s="142">
        <v>43.75</v>
      </c>
      <c r="N99" s="125">
        <v>49.99</v>
      </c>
      <c r="O99" s="125">
        <v>43.95</v>
      </c>
      <c r="P99" s="125">
        <v>49.99</v>
      </c>
      <c r="Q99" s="125">
        <v>49.95</v>
      </c>
      <c r="R99" s="125">
        <v>49.99</v>
      </c>
      <c r="S99" s="28">
        <v>42.95</v>
      </c>
      <c r="T99" s="28">
        <v>51.99</v>
      </c>
    </row>
    <row r="100" spans="1:20" s="75" customFormat="1" x14ac:dyDescent="0.35">
      <c r="A100" s="124">
        <v>95</v>
      </c>
      <c r="B100" s="120" t="s">
        <v>167</v>
      </c>
      <c r="C100" s="121" t="s">
        <v>168</v>
      </c>
      <c r="D100" s="121" t="s">
        <v>125</v>
      </c>
      <c r="E100" s="28"/>
      <c r="F100" s="28"/>
      <c r="G100" s="125">
        <v>30.89</v>
      </c>
      <c r="H100" s="125">
        <v>30.95</v>
      </c>
      <c r="I100" s="125">
        <v>29.95</v>
      </c>
      <c r="J100" s="28">
        <v>28.95</v>
      </c>
      <c r="K100" s="28">
        <v>29.95</v>
      </c>
      <c r="L100" s="28">
        <v>30.95</v>
      </c>
      <c r="M100" s="125">
        <v>29.99</v>
      </c>
      <c r="N100" s="125">
        <v>29.99</v>
      </c>
      <c r="O100" s="125">
        <v>28.95</v>
      </c>
      <c r="P100" s="125">
        <v>29.99</v>
      </c>
      <c r="Q100" s="125">
        <v>29.95</v>
      </c>
      <c r="R100" s="125">
        <v>29.99</v>
      </c>
      <c r="S100" s="28">
        <v>29.95</v>
      </c>
      <c r="T100" s="28">
        <v>29.99</v>
      </c>
    </row>
    <row r="101" spans="1:20" s="75" customFormat="1" x14ac:dyDescent="0.35">
      <c r="A101" s="124">
        <v>96</v>
      </c>
      <c r="B101" s="120" t="s">
        <v>169</v>
      </c>
      <c r="C101" s="121"/>
      <c r="D101" s="121" t="s">
        <v>170</v>
      </c>
      <c r="E101" s="28">
        <v>34.950000000000003</v>
      </c>
      <c r="F101" s="28">
        <v>34.75</v>
      </c>
      <c r="G101" s="125">
        <v>35.99</v>
      </c>
      <c r="H101" s="125">
        <v>35.950000000000003</v>
      </c>
      <c r="I101" s="28">
        <v>36.25</v>
      </c>
      <c r="J101" s="28">
        <v>35</v>
      </c>
      <c r="K101" s="28">
        <v>34.950000000000003</v>
      </c>
      <c r="L101" s="28">
        <v>35.950000000000003</v>
      </c>
      <c r="M101" s="125">
        <v>34.99</v>
      </c>
      <c r="N101" s="125">
        <v>34.99</v>
      </c>
      <c r="O101" s="125">
        <v>34.950000000000003</v>
      </c>
      <c r="P101" s="125">
        <v>34.99</v>
      </c>
      <c r="Q101" s="125">
        <v>34.950000000000003</v>
      </c>
      <c r="R101" s="125">
        <v>34.99</v>
      </c>
      <c r="S101" s="28"/>
      <c r="T101" s="28">
        <v>34.99</v>
      </c>
    </row>
    <row r="102" spans="1:20" s="75" customFormat="1" x14ac:dyDescent="0.35">
      <c r="A102" s="124">
        <v>97</v>
      </c>
      <c r="B102" s="120" t="s">
        <v>171</v>
      </c>
      <c r="C102" s="121" t="s">
        <v>172</v>
      </c>
      <c r="D102" s="121" t="s">
        <v>173</v>
      </c>
      <c r="E102" s="28"/>
      <c r="F102" s="28"/>
      <c r="G102" s="125"/>
      <c r="H102" s="125"/>
      <c r="I102" s="28">
        <v>31.95</v>
      </c>
      <c r="J102" s="28">
        <v>36.950000000000003</v>
      </c>
      <c r="K102" s="28">
        <v>36.950000000000003</v>
      </c>
      <c r="L102" s="28"/>
      <c r="M102" s="125">
        <v>36.99</v>
      </c>
      <c r="N102" s="125">
        <v>34.99</v>
      </c>
      <c r="O102" s="125">
        <v>30.95</v>
      </c>
      <c r="P102" s="125"/>
      <c r="Q102" s="125"/>
      <c r="R102" s="125">
        <v>27.99</v>
      </c>
      <c r="S102" s="28"/>
      <c r="T102" s="28"/>
    </row>
    <row r="103" spans="1:20" s="75" customFormat="1" x14ac:dyDescent="0.35">
      <c r="A103" s="124">
        <v>98</v>
      </c>
      <c r="B103" s="120" t="s">
        <v>174</v>
      </c>
      <c r="C103" s="121" t="s">
        <v>172</v>
      </c>
      <c r="D103" s="121" t="s">
        <v>175</v>
      </c>
      <c r="E103" s="149">
        <v>28.95</v>
      </c>
      <c r="F103" s="149">
        <v>28.95</v>
      </c>
      <c r="G103" s="126">
        <v>27.99</v>
      </c>
      <c r="H103" s="126">
        <v>28.95</v>
      </c>
      <c r="I103" s="149">
        <v>28.5</v>
      </c>
      <c r="J103" s="149"/>
      <c r="K103" s="149">
        <v>28.5</v>
      </c>
      <c r="L103" s="149">
        <v>28.95</v>
      </c>
      <c r="M103" s="126">
        <v>27.25</v>
      </c>
      <c r="N103" s="126">
        <v>27.99</v>
      </c>
      <c r="O103" s="126">
        <v>27.25</v>
      </c>
      <c r="P103" s="126">
        <v>27.99</v>
      </c>
      <c r="Q103" s="126">
        <v>26.95</v>
      </c>
      <c r="R103" s="126">
        <v>34.99</v>
      </c>
      <c r="S103" s="149">
        <v>26.95</v>
      </c>
      <c r="T103" s="149">
        <v>27.99</v>
      </c>
    </row>
    <row r="104" spans="1:20" s="75" customFormat="1" x14ac:dyDescent="0.35">
      <c r="A104" s="124">
        <v>99</v>
      </c>
      <c r="B104" s="120" t="s">
        <v>174</v>
      </c>
      <c r="C104" s="121" t="s">
        <v>176</v>
      </c>
      <c r="D104" s="121" t="s">
        <v>177</v>
      </c>
      <c r="E104" s="28">
        <v>24.95</v>
      </c>
      <c r="F104" s="28"/>
      <c r="G104" s="125">
        <v>27</v>
      </c>
      <c r="H104" s="125"/>
      <c r="I104" s="28">
        <v>25.95</v>
      </c>
      <c r="J104" s="28">
        <v>26</v>
      </c>
      <c r="K104" s="28">
        <v>25</v>
      </c>
      <c r="L104" s="28">
        <v>29.95</v>
      </c>
      <c r="M104" s="125">
        <v>26.25</v>
      </c>
      <c r="N104" s="125">
        <v>25.99</v>
      </c>
      <c r="O104" s="125">
        <v>24.95</v>
      </c>
      <c r="P104" s="125">
        <v>25.99</v>
      </c>
      <c r="Q104" s="125">
        <v>24.95</v>
      </c>
      <c r="R104" s="125">
        <v>25.99</v>
      </c>
      <c r="S104" s="28">
        <v>26.95</v>
      </c>
      <c r="T104" s="28">
        <v>25.99</v>
      </c>
    </row>
    <row r="105" spans="1:20" s="75" customFormat="1" x14ac:dyDescent="0.35">
      <c r="A105" s="124">
        <v>100</v>
      </c>
      <c r="B105" s="120" t="s">
        <v>178</v>
      </c>
      <c r="C105" s="121" t="s">
        <v>50</v>
      </c>
      <c r="D105" s="121" t="s">
        <v>179</v>
      </c>
      <c r="E105" s="28">
        <v>32</v>
      </c>
      <c r="F105" s="28">
        <v>34.5</v>
      </c>
      <c r="G105" s="125">
        <v>36.35</v>
      </c>
      <c r="H105" s="125">
        <v>35.950000000000003</v>
      </c>
      <c r="I105" s="28">
        <v>35.950000000000003</v>
      </c>
      <c r="J105" s="28">
        <v>35</v>
      </c>
      <c r="K105" s="28">
        <v>34.5</v>
      </c>
      <c r="L105" s="28">
        <v>35.950000000000003</v>
      </c>
      <c r="M105" s="125">
        <v>34.5</v>
      </c>
      <c r="N105" s="125">
        <v>34.99</v>
      </c>
      <c r="O105" s="125">
        <v>31.95</v>
      </c>
      <c r="P105" s="125">
        <v>34.99</v>
      </c>
      <c r="Q105" s="125">
        <v>34.950000000000003</v>
      </c>
      <c r="R105" s="125">
        <v>34.99</v>
      </c>
      <c r="S105" s="28">
        <v>34.99</v>
      </c>
      <c r="T105" s="28">
        <v>34.99</v>
      </c>
    </row>
    <row r="106" spans="1:20" s="75" customFormat="1" x14ac:dyDescent="0.35">
      <c r="A106" s="124">
        <v>101</v>
      </c>
      <c r="B106" s="120" t="s">
        <v>178</v>
      </c>
      <c r="C106" s="121" t="s">
        <v>180</v>
      </c>
      <c r="D106" s="121" t="s">
        <v>111</v>
      </c>
      <c r="E106" s="28"/>
      <c r="F106" s="28"/>
      <c r="G106" s="125">
        <v>25.99</v>
      </c>
      <c r="H106" s="125"/>
      <c r="I106" s="28">
        <v>26.95</v>
      </c>
      <c r="J106" s="28">
        <v>25.956</v>
      </c>
      <c r="K106" s="28"/>
      <c r="L106" s="28"/>
      <c r="M106" s="125">
        <v>25.95</v>
      </c>
      <c r="N106" s="125">
        <v>25.99</v>
      </c>
      <c r="O106" s="125">
        <v>25.95</v>
      </c>
      <c r="P106" s="125">
        <v>25.99</v>
      </c>
      <c r="Q106" s="125">
        <v>24.95</v>
      </c>
      <c r="R106" s="125">
        <v>25.99</v>
      </c>
      <c r="S106" s="28">
        <v>24.95</v>
      </c>
      <c r="T106" s="28">
        <v>25.99</v>
      </c>
    </row>
    <row r="107" spans="1:20" s="75" customFormat="1" x14ac:dyDescent="0.35">
      <c r="A107" s="124">
        <v>102</v>
      </c>
      <c r="B107" s="120" t="s">
        <v>181</v>
      </c>
      <c r="C107" s="121" t="s">
        <v>182</v>
      </c>
      <c r="D107" s="121" t="s">
        <v>183</v>
      </c>
      <c r="E107" s="28"/>
      <c r="F107" s="28"/>
      <c r="G107" s="125">
        <v>16.7</v>
      </c>
      <c r="H107" s="125">
        <v>17.95</v>
      </c>
      <c r="I107" s="28">
        <v>16.75</v>
      </c>
      <c r="J107" s="28">
        <v>13.95</v>
      </c>
      <c r="K107" s="28"/>
      <c r="L107" s="28"/>
      <c r="M107" s="125">
        <v>15.99</v>
      </c>
      <c r="N107" s="125">
        <v>15.99</v>
      </c>
      <c r="O107" s="125">
        <v>16.95</v>
      </c>
      <c r="P107" s="125">
        <v>15.99</v>
      </c>
      <c r="Q107" s="125">
        <v>16.95</v>
      </c>
      <c r="R107" s="125">
        <v>15.99</v>
      </c>
      <c r="S107" s="28">
        <v>16.95</v>
      </c>
      <c r="T107" s="28">
        <v>15.99</v>
      </c>
    </row>
    <row r="108" spans="1:20" s="75" customFormat="1" x14ac:dyDescent="0.35">
      <c r="A108" s="124">
        <v>103</v>
      </c>
      <c r="B108" s="120" t="s">
        <v>184</v>
      </c>
      <c r="C108" s="121" t="s">
        <v>185</v>
      </c>
      <c r="D108" s="121" t="s">
        <v>65</v>
      </c>
      <c r="E108" s="28">
        <v>4.5</v>
      </c>
      <c r="F108" s="28"/>
      <c r="G108" s="125">
        <v>4.25</v>
      </c>
      <c r="H108" s="125">
        <v>4.95</v>
      </c>
      <c r="I108" s="28">
        <v>4</v>
      </c>
      <c r="J108" s="28">
        <v>4.5</v>
      </c>
      <c r="K108" s="28"/>
      <c r="L108" s="28">
        <v>4.95</v>
      </c>
      <c r="M108" s="125">
        <v>4.5</v>
      </c>
      <c r="N108" s="125">
        <v>4.5</v>
      </c>
      <c r="O108" s="125">
        <v>4.5</v>
      </c>
      <c r="P108" s="125">
        <v>4.5</v>
      </c>
      <c r="Q108" s="125">
        <v>5.95</v>
      </c>
      <c r="R108" s="125">
        <v>4.5</v>
      </c>
      <c r="S108" s="28">
        <v>4.95</v>
      </c>
      <c r="T108" s="28">
        <v>4.5</v>
      </c>
    </row>
    <row r="109" spans="1:20" s="75" customFormat="1" x14ac:dyDescent="0.35">
      <c r="A109" s="124">
        <v>104</v>
      </c>
      <c r="B109" s="120" t="s">
        <v>184</v>
      </c>
      <c r="C109" s="121" t="s">
        <v>185</v>
      </c>
      <c r="D109" s="121" t="s">
        <v>51</v>
      </c>
      <c r="E109" s="28">
        <v>11.95</v>
      </c>
      <c r="F109" s="28"/>
      <c r="G109" s="125">
        <v>11.99</v>
      </c>
      <c r="H109" s="125">
        <v>13.95</v>
      </c>
      <c r="I109" s="28">
        <v>10.95</v>
      </c>
      <c r="J109" s="28">
        <v>12.5</v>
      </c>
      <c r="K109" s="28">
        <v>12.5</v>
      </c>
      <c r="L109" s="28">
        <v>13.95</v>
      </c>
      <c r="M109" s="125">
        <v>12.5</v>
      </c>
      <c r="N109" s="125">
        <v>12.99</v>
      </c>
      <c r="O109" s="125">
        <v>11.95</v>
      </c>
      <c r="P109" s="125">
        <v>12.99</v>
      </c>
      <c r="Q109" s="125">
        <v>12.95</v>
      </c>
      <c r="R109" s="125">
        <v>12.99</v>
      </c>
      <c r="S109" s="28">
        <v>12.95</v>
      </c>
      <c r="T109" s="28">
        <v>12.99</v>
      </c>
    </row>
    <row r="110" spans="1:20" s="75" customFormat="1" x14ac:dyDescent="0.35">
      <c r="A110" s="124">
        <v>105</v>
      </c>
      <c r="B110" s="120" t="s">
        <v>186</v>
      </c>
      <c r="C110" s="121" t="s">
        <v>185</v>
      </c>
      <c r="D110" s="121" t="s">
        <v>51</v>
      </c>
      <c r="E110" s="28">
        <v>12.95</v>
      </c>
      <c r="F110" s="28"/>
      <c r="G110" s="125">
        <v>11.99</v>
      </c>
      <c r="H110" s="125">
        <v>13.95</v>
      </c>
      <c r="I110" s="28">
        <v>10.95</v>
      </c>
      <c r="J110" s="28">
        <v>11.95</v>
      </c>
      <c r="K110" s="28">
        <v>12.5</v>
      </c>
      <c r="L110" s="28">
        <v>13.95</v>
      </c>
      <c r="M110" s="125">
        <v>12.5</v>
      </c>
      <c r="N110" s="125">
        <v>12.99</v>
      </c>
      <c r="O110" s="125">
        <v>11.95</v>
      </c>
      <c r="P110" s="125">
        <v>12.99</v>
      </c>
      <c r="Q110" s="125">
        <v>12.95</v>
      </c>
      <c r="R110" s="125">
        <v>12.99</v>
      </c>
      <c r="S110" s="28">
        <v>12.95</v>
      </c>
      <c r="T110" s="28">
        <v>12.99</v>
      </c>
    </row>
    <row r="111" spans="1:20" s="75" customFormat="1" x14ac:dyDescent="0.35">
      <c r="A111" s="124">
        <v>106</v>
      </c>
      <c r="B111" s="120" t="s">
        <v>187</v>
      </c>
      <c r="C111" s="121" t="s">
        <v>188</v>
      </c>
      <c r="D111" s="121" t="s">
        <v>189</v>
      </c>
      <c r="E111" s="28">
        <v>10.95</v>
      </c>
      <c r="F111" s="28">
        <v>11.95</v>
      </c>
      <c r="G111" s="125">
        <v>12.9</v>
      </c>
      <c r="H111" s="125">
        <v>12.95</v>
      </c>
      <c r="I111" s="150">
        <v>10.95</v>
      </c>
      <c r="J111" s="28">
        <v>12.95</v>
      </c>
      <c r="K111" s="28">
        <v>14.5</v>
      </c>
      <c r="L111" s="28">
        <v>12.95</v>
      </c>
      <c r="M111" s="125">
        <v>12.5</v>
      </c>
      <c r="N111" s="125">
        <v>11.99</v>
      </c>
      <c r="O111" s="125">
        <v>11.5</v>
      </c>
      <c r="P111" s="125">
        <v>9.99</v>
      </c>
      <c r="Q111" s="125">
        <v>12.95</v>
      </c>
      <c r="R111" s="125">
        <v>11.99</v>
      </c>
      <c r="S111" s="28">
        <v>12.95</v>
      </c>
      <c r="T111" s="28">
        <v>10.99</v>
      </c>
    </row>
    <row r="112" spans="1:20" s="75" customFormat="1" x14ac:dyDescent="0.35">
      <c r="A112" s="124">
        <v>107</v>
      </c>
      <c r="B112" s="120" t="s">
        <v>274</v>
      </c>
      <c r="C112" s="121" t="s">
        <v>190</v>
      </c>
      <c r="D112" s="121" t="s">
        <v>191</v>
      </c>
      <c r="E112" s="28">
        <v>13.95</v>
      </c>
      <c r="F112" s="28"/>
      <c r="G112" s="125">
        <v>14.65</v>
      </c>
      <c r="H112" s="125"/>
      <c r="I112" s="28">
        <v>14.5</v>
      </c>
      <c r="J112" s="28"/>
      <c r="K112" s="28"/>
      <c r="L112" s="28">
        <v>14.95</v>
      </c>
      <c r="M112" s="125">
        <v>13.99</v>
      </c>
      <c r="N112" s="125">
        <v>13.99</v>
      </c>
      <c r="O112" s="125">
        <v>12.5</v>
      </c>
      <c r="P112" s="125"/>
      <c r="Q112" s="125">
        <v>13.95</v>
      </c>
      <c r="R112" s="142">
        <v>6.99</v>
      </c>
      <c r="S112" s="28"/>
      <c r="T112" s="28">
        <v>13.99</v>
      </c>
    </row>
    <row r="113" spans="1:20" s="75" customFormat="1" x14ac:dyDescent="0.35">
      <c r="A113" s="124">
        <v>108</v>
      </c>
      <c r="B113" s="120" t="s">
        <v>192</v>
      </c>
      <c r="C113" s="121" t="s">
        <v>188</v>
      </c>
      <c r="D113" s="121" t="s">
        <v>189</v>
      </c>
      <c r="E113" s="28">
        <v>10.95</v>
      </c>
      <c r="F113" s="28">
        <v>11.95</v>
      </c>
      <c r="G113" s="125">
        <v>12.9</v>
      </c>
      <c r="H113" s="125">
        <v>11.95</v>
      </c>
      <c r="I113" s="28">
        <v>12.5</v>
      </c>
      <c r="J113" s="28">
        <v>12.95</v>
      </c>
      <c r="K113" s="28">
        <v>14.5</v>
      </c>
      <c r="L113" s="28">
        <v>12.95</v>
      </c>
      <c r="M113" s="125">
        <v>12.5</v>
      </c>
      <c r="N113" s="125">
        <v>11.99</v>
      </c>
      <c r="O113" s="125">
        <v>11.5</v>
      </c>
      <c r="P113" s="125">
        <v>11.99</v>
      </c>
      <c r="Q113" s="125">
        <v>13.95</v>
      </c>
      <c r="R113" s="125">
        <v>11.99</v>
      </c>
      <c r="S113" s="28">
        <v>11.95</v>
      </c>
      <c r="T113" s="28">
        <v>11.99</v>
      </c>
    </row>
    <row r="114" spans="1:20" s="75" customFormat="1" x14ac:dyDescent="0.35">
      <c r="A114" s="124">
        <v>109</v>
      </c>
      <c r="B114" s="120" t="s">
        <v>193</v>
      </c>
      <c r="C114" s="121" t="s">
        <v>182</v>
      </c>
      <c r="D114" s="121" t="s">
        <v>125</v>
      </c>
      <c r="E114" s="150">
        <v>16</v>
      </c>
      <c r="F114" s="28"/>
      <c r="G114" s="125">
        <v>22.95</v>
      </c>
      <c r="H114" s="125">
        <v>22.95</v>
      </c>
      <c r="I114" s="28">
        <v>18.95</v>
      </c>
      <c r="J114" s="28">
        <v>18.95</v>
      </c>
      <c r="K114" s="28">
        <v>18.5</v>
      </c>
      <c r="L114" s="28">
        <v>22.95</v>
      </c>
      <c r="M114" s="125">
        <v>18.75</v>
      </c>
      <c r="N114" s="125">
        <v>18.989999999999998</v>
      </c>
      <c r="O114" s="125">
        <v>18.25</v>
      </c>
      <c r="P114" s="125">
        <v>18.989999999999998</v>
      </c>
      <c r="Q114" s="125">
        <v>19.95</v>
      </c>
      <c r="R114" s="125">
        <v>18.989999999999998</v>
      </c>
      <c r="S114" s="28">
        <v>16.95</v>
      </c>
      <c r="T114" s="28">
        <v>18.989999999999998</v>
      </c>
    </row>
    <row r="115" spans="1:20" s="75" customFormat="1" x14ac:dyDescent="0.35">
      <c r="A115" s="124">
        <v>110</v>
      </c>
      <c r="B115" s="120" t="s">
        <v>194</v>
      </c>
      <c r="C115" s="121" t="s">
        <v>195</v>
      </c>
      <c r="D115" s="121" t="s">
        <v>196</v>
      </c>
      <c r="E115" s="28"/>
      <c r="F115" s="28"/>
      <c r="G115" s="125"/>
      <c r="H115" s="125"/>
      <c r="I115" s="28">
        <v>23.5</v>
      </c>
      <c r="J115" s="28"/>
      <c r="K115" s="28"/>
      <c r="L115" s="28"/>
      <c r="M115" s="125">
        <v>25.45</v>
      </c>
      <c r="N115" s="125">
        <v>25.99</v>
      </c>
      <c r="O115" s="125">
        <v>20.95</v>
      </c>
      <c r="P115" s="125"/>
      <c r="Q115" s="125"/>
      <c r="R115" s="125">
        <v>25.99</v>
      </c>
      <c r="S115" s="28"/>
      <c r="T115" s="28"/>
    </row>
    <row r="116" spans="1:20" s="75" customFormat="1" x14ac:dyDescent="0.35">
      <c r="A116" s="124">
        <v>111</v>
      </c>
      <c r="B116" s="120" t="s">
        <v>197</v>
      </c>
      <c r="C116" s="121" t="s">
        <v>68</v>
      </c>
      <c r="D116" s="121" t="s">
        <v>196</v>
      </c>
      <c r="E116" s="28">
        <v>25.95</v>
      </c>
      <c r="F116" s="28"/>
      <c r="G116" s="125">
        <v>27.99</v>
      </c>
      <c r="H116" s="125"/>
      <c r="I116" s="28">
        <v>26.95</v>
      </c>
      <c r="J116" s="28"/>
      <c r="K116" s="28">
        <v>24</v>
      </c>
      <c r="L116" s="28">
        <v>26.95</v>
      </c>
      <c r="M116" s="142">
        <v>23.99</v>
      </c>
      <c r="N116" s="125">
        <v>25.99</v>
      </c>
      <c r="O116" s="125">
        <v>21.5</v>
      </c>
      <c r="P116" s="125">
        <v>25.99</v>
      </c>
      <c r="Q116" s="125">
        <v>26.95</v>
      </c>
      <c r="R116" s="125">
        <v>25.99</v>
      </c>
      <c r="S116" s="28">
        <v>24.95</v>
      </c>
      <c r="T116" s="28"/>
    </row>
    <row r="117" spans="1:20" s="75" customFormat="1" x14ac:dyDescent="0.35">
      <c r="A117" s="124">
        <v>112</v>
      </c>
      <c r="B117" s="120" t="s">
        <v>197</v>
      </c>
      <c r="C117" s="121" t="s">
        <v>80</v>
      </c>
      <c r="D117" s="121" t="s">
        <v>198</v>
      </c>
      <c r="E117" s="28"/>
      <c r="F117" s="28"/>
      <c r="G117" s="125"/>
      <c r="H117" s="125"/>
      <c r="I117" s="142">
        <v>84.5</v>
      </c>
      <c r="J117" s="142">
        <v>85</v>
      </c>
      <c r="K117" s="28">
        <v>99.95</v>
      </c>
      <c r="L117" s="28"/>
      <c r="M117" s="125"/>
      <c r="N117" s="125">
        <v>113.99</v>
      </c>
      <c r="O117" s="125">
        <v>96.5</v>
      </c>
      <c r="P117" s="125">
        <v>113.99</v>
      </c>
      <c r="Q117" s="125">
        <v>109.95</v>
      </c>
      <c r="R117" s="125">
        <v>113.99</v>
      </c>
      <c r="S117" s="28">
        <v>99.95</v>
      </c>
      <c r="T117" s="28"/>
    </row>
    <row r="118" spans="1:20" s="75" customFormat="1" x14ac:dyDescent="0.35">
      <c r="A118" s="124">
        <v>113</v>
      </c>
      <c r="B118" s="120" t="s">
        <v>199</v>
      </c>
      <c r="C118" s="121" t="s">
        <v>200</v>
      </c>
      <c r="D118" s="121" t="s">
        <v>196</v>
      </c>
      <c r="E118" s="28">
        <v>42.95</v>
      </c>
      <c r="F118" s="28">
        <v>45.5</v>
      </c>
      <c r="G118" s="125">
        <v>47.99</v>
      </c>
      <c r="H118" s="125">
        <v>47.95</v>
      </c>
      <c r="I118" s="28">
        <v>47.5</v>
      </c>
      <c r="J118" s="28">
        <v>35</v>
      </c>
      <c r="K118" s="28">
        <v>36.25</v>
      </c>
      <c r="L118" s="28">
        <v>47.95</v>
      </c>
      <c r="M118" s="125">
        <v>42.75</v>
      </c>
      <c r="N118" s="125">
        <v>45.99</v>
      </c>
      <c r="O118" s="125">
        <v>45.5</v>
      </c>
      <c r="P118" s="125"/>
      <c r="Q118" s="125">
        <v>44.95</v>
      </c>
      <c r="R118" s="125">
        <v>45.99</v>
      </c>
      <c r="S118" s="28">
        <v>44.95</v>
      </c>
      <c r="T118" s="28">
        <v>45.99</v>
      </c>
    </row>
    <row r="119" spans="1:20" s="75" customFormat="1" x14ac:dyDescent="0.35">
      <c r="A119" s="124">
        <v>114</v>
      </c>
      <c r="B119" s="120" t="s">
        <v>201</v>
      </c>
      <c r="C119" s="121" t="s">
        <v>202</v>
      </c>
      <c r="D119" s="121" t="s">
        <v>51</v>
      </c>
      <c r="E119" s="28"/>
      <c r="F119" s="28">
        <v>111.95</v>
      </c>
      <c r="G119" s="125"/>
      <c r="H119" s="125">
        <v>108.95</v>
      </c>
      <c r="I119" s="28">
        <v>129.94999999999999</v>
      </c>
      <c r="J119" s="28">
        <v>99</v>
      </c>
      <c r="K119" s="28">
        <v>120</v>
      </c>
      <c r="L119" s="28">
        <v>108.95</v>
      </c>
      <c r="M119" s="125">
        <v>117</v>
      </c>
      <c r="N119" s="125">
        <v>104.99</v>
      </c>
      <c r="O119" s="125">
        <v>104.5</v>
      </c>
      <c r="P119" s="125">
        <v>104.99</v>
      </c>
      <c r="Q119" s="125">
        <v>124.95</v>
      </c>
      <c r="R119" s="125">
        <v>104.95</v>
      </c>
      <c r="S119" s="28">
        <v>119.95</v>
      </c>
      <c r="T119" s="28">
        <v>105.99</v>
      </c>
    </row>
    <row r="120" spans="1:20" s="75" customFormat="1" x14ac:dyDescent="0.35">
      <c r="A120" s="124">
        <v>115</v>
      </c>
      <c r="B120" s="120" t="s">
        <v>203</v>
      </c>
      <c r="C120" s="121" t="s">
        <v>204</v>
      </c>
      <c r="D120" s="121" t="s">
        <v>205</v>
      </c>
      <c r="E120" s="28">
        <v>12.95</v>
      </c>
      <c r="F120" s="28">
        <v>12.95</v>
      </c>
      <c r="G120" s="125">
        <v>12.99</v>
      </c>
      <c r="H120" s="125">
        <v>12.95</v>
      </c>
      <c r="I120" s="28">
        <v>13.5</v>
      </c>
      <c r="J120" s="28">
        <v>12.5</v>
      </c>
      <c r="K120" s="28">
        <v>12</v>
      </c>
      <c r="L120" s="28">
        <v>12</v>
      </c>
      <c r="M120" s="125">
        <v>12.95</v>
      </c>
      <c r="N120" s="125">
        <v>12.99</v>
      </c>
      <c r="O120" s="125">
        <v>12.95</v>
      </c>
      <c r="P120" s="125">
        <v>11.99</v>
      </c>
      <c r="Q120" s="125">
        <v>11.95</v>
      </c>
      <c r="R120" s="125">
        <v>12.99</v>
      </c>
      <c r="S120" s="28">
        <v>12.95</v>
      </c>
      <c r="T120" s="28">
        <v>12.99</v>
      </c>
    </row>
    <row r="121" spans="1:20" s="75" customFormat="1" x14ac:dyDescent="0.35">
      <c r="A121" s="124">
        <v>116</v>
      </c>
      <c r="B121" s="120" t="s">
        <v>203</v>
      </c>
      <c r="C121" s="121" t="s">
        <v>277</v>
      </c>
      <c r="D121" s="121" t="s">
        <v>205</v>
      </c>
      <c r="E121" s="28"/>
      <c r="F121" s="28">
        <v>9.9499999999999993</v>
      </c>
      <c r="G121" s="125">
        <v>9.99</v>
      </c>
      <c r="H121" s="125">
        <v>12.95</v>
      </c>
      <c r="I121" s="28">
        <v>10.5</v>
      </c>
      <c r="J121" s="28">
        <v>10.5</v>
      </c>
      <c r="K121" s="28"/>
      <c r="L121" s="28">
        <v>9.9499999999999993</v>
      </c>
      <c r="M121" s="125">
        <v>8.9499999999999993</v>
      </c>
      <c r="N121" s="125">
        <v>9.99</v>
      </c>
      <c r="O121" s="125">
        <v>9.9499999999999993</v>
      </c>
      <c r="P121" s="125">
        <v>9.99</v>
      </c>
      <c r="Q121" s="125">
        <v>11.95</v>
      </c>
      <c r="R121" s="125">
        <v>9.99</v>
      </c>
      <c r="S121" s="28">
        <v>11.95</v>
      </c>
      <c r="T121" s="28">
        <v>9.99</v>
      </c>
    </row>
    <row r="122" spans="1:20" s="75" customFormat="1" x14ac:dyDescent="0.35">
      <c r="A122" s="124">
        <v>117</v>
      </c>
      <c r="B122" s="120" t="s">
        <v>203</v>
      </c>
      <c r="C122" s="121" t="s">
        <v>204</v>
      </c>
      <c r="D122" s="121" t="s">
        <v>206</v>
      </c>
      <c r="E122" s="28">
        <v>27.95</v>
      </c>
      <c r="F122" s="28">
        <v>27.95</v>
      </c>
      <c r="G122" s="125">
        <v>27.99</v>
      </c>
      <c r="H122" s="125">
        <v>27.95</v>
      </c>
      <c r="I122" s="28">
        <v>28.95</v>
      </c>
      <c r="J122" s="28">
        <v>28.95</v>
      </c>
      <c r="K122" s="28">
        <v>26</v>
      </c>
      <c r="L122" s="28">
        <v>27.95</v>
      </c>
      <c r="M122" s="125">
        <v>27.95</v>
      </c>
      <c r="N122" s="125">
        <v>27.99</v>
      </c>
      <c r="O122" s="125">
        <v>27.95</v>
      </c>
      <c r="P122" s="125">
        <v>25.99</v>
      </c>
      <c r="Q122" s="125">
        <v>29.95</v>
      </c>
      <c r="R122" s="125">
        <v>27.99</v>
      </c>
      <c r="S122" s="28">
        <v>27.95</v>
      </c>
      <c r="T122" s="28">
        <v>27.99</v>
      </c>
    </row>
    <row r="123" spans="1:20" s="75" customFormat="1" x14ac:dyDescent="0.35">
      <c r="A123" s="124">
        <v>118</v>
      </c>
      <c r="B123" s="120" t="s">
        <v>203</v>
      </c>
      <c r="C123" s="121" t="s">
        <v>277</v>
      </c>
      <c r="D123" s="121" t="s">
        <v>206</v>
      </c>
      <c r="E123" s="28">
        <v>22.25</v>
      </c>
      <c r="F123" s="28"/>
      <c r="G123" s="125">
        <v>21.99</v>
      </c>
      <c r="H123" s="125">
        <v>27.95</v>
      </c>
      <c r="I123" s="28">
        <v>22.95</v>
      </c>
      <c r="J123" s="28">
        <v>22.95</v>
      </c>
      <c r="K123" s="28">
        <v>22</v>
      </c>
      <c r="L123" s="28">
        <v>22</v>
      </c>
      <c r="M123" s="142">
        <v>20</v>
      </c>
      <c r="N123" s="125">
        <v>21.99</v>
      </c>
      <c r="O123" s="125">
        <v>22.5</v>
      </c>
      <c r="P123" s="125">
        <v>21.99</v>
      </c>
      <c r="Q123" s="125"/>
      <c r="R123" s="125"/>
      <c r="S123" s="28"/>
      <c r="T123" s="28">
        <v>21.99</v>
      </c>
    </row>
    <row r="124" spans="1:20" s="75" customFormat="1" x14ac:dyDescent="0.35">
      <c r="A124" s="124">
        <v>119</v>
      </c>
      <c r="B124" s="120" t="s">
        <v>207</v>
      </c>
      <c r="C124" s="121" t="s">
        <v>204</v>
      </c>
      <c r="D124" s="121" t="s">
        <v>276</v>
      </c>
      <c r="E124" s="28">
        <v>16.95</v>
      </c>
      <c r="F124" s="28">
        <v>16.95</v>
      </c>
      <c r="G124" s="125">
        <v>16.989999999999998</v>
      </c>
      <c r="H124" s="125">
        <v>16.95</v>
      </c>
      <c r="I124" s="28">
        <v>17.75</v>
      </c>
      <c r="J124" s="28">
        <v>17.95</v>
      </c>
      <c r="K124" s="28">
        <v>16</v>
      </c>
      <c r="L124" s="28">
        <v>16.95</v>
      </c>
      <c r="M124" s="125">
        <v>16.95</v>
      </c>
      <c r="N124" s="125">
        <v>16.989999999999998</v>
      </c>
      <c r="O124" s="125"/>
      <c r="P124" s="125">
        <v>15.99</v>
      </c>
      <c r="Q124" s="125">
        <v>16.95</v>
      </c>
      <c r="R124" s="125">
        <v>16.989999999999998</v>
      </c>
      <c r="S124" s="28"/>
      <c r="T124" s="28"/>
    </row>
    <row r="125" spans="1:20" s="75" customFormat="1" x14ac:dyDescent="0.35">
      <c r="A125" s="124">
        <v>120</v>
      </c>
      <c r="B125" s="120" t="s">
        <v>207</v>
      </c>
      <c r="C125" s="121" t="s">
        <v>277</v>
      </c>
      <c r="D125" s="121" t="s">
        <v>276</v>
      </c>
      <c r="E125" s="28">
        <v>12.95</v>
      </c>
      <c r="F125" s="28"/>
      <c r="G125" s="125"/>
      <c r="H125" s="125">
        <v>16.95</v>
      </c>
      <c r="I125" s="28">
        <v>13.5</v>
      </c>
      <c r="J125" s="28">
        <v>13.5</v>
      </c>
      <c r="K125" s="28"/>
      <c r="L125" s="28">
        <v>12.95</v>
      </c>
      <c r="M125" s="125"/>
      <c r="N125" s="125"/>
      <c r="O125" s="125"/>
      <c r="P125" s="125">
        <v>12.99</v>
      </c>
      <c r="Q125" s="125"/>
      <c r="R125" s="125"/>
      <c r="S125" s="28">
        <v>13.95</v>
      </c>
      <c r="T125" s="28"/>
    </row>
    <row r="126" spans="1:20" s="75" customFormat="1" x14ac:dyDescent="0.35">
      <c r="A126" s="124">
        <v>121</v>
      </c>
      <c r="B126" s="120" t="s">
        <v>207</v>
      </c>
      <c r="C126" s="121" t="s">
        <v>204</v>
      </c>
      <c r="D126" s="121" t="s">
        <v>208</v>
      </c>
      <c r="E126" s="28">
        <v>29.95</v>
      </c>
      <c r="F126" s="28"/>
      <c r="G126" s="125">
        <v>29.99</v>
      </c>
      <c r="H126" s="125">
        <v>29.95</v>
      </c>
      <c r="I126" s="28">
        <v>31.25</v>
      </c>
      <c r="J126" s="28"/>
      <c r="K126" s="28"/>
      <c r="L126" s="28">
        <v>29.95</v>
      </c>
      <c r="M126" s="125">
        <v>29.95</v>
      </c>
      <c r="N126" s="125">
        <v>29.99</v>
      </c>
      <c r="O126" s="125">
        <v>29.95</v>
      </c>
      <c r="P126" s="125">
        <v>29.99</v>
      </c>
      <c r="Q126" s="125"/>
      <c r="R126" s="125"/>
      <c r="S126" s="28"/>
      <c r="T126" s="28"/>
    </row>
    <row r="127" spans="1:20" s="75" customFormat="1" x14ac:dyDescent="0.35">
      <c r="A127" s="124">
        <v>122</v>
      </c>
      <c r="B127" s="120" t="s">
        <v>209</v>
      </c>
      <c r="C127" s="121" t="s">
        <v>210</v>
      </c>
      <c r="D127" s="121" t="s">
        <v>15</v>
      </c>
      <c r="E127" s="28">
        <v>23.95</v>
      </c>
      <c r="F127" s="28"/>
      <c r="G127" s="125">
        <v>34.6</v>
      </c>
      <c r="H127" s="125">
        <v>27.95</v>
      </c>
      <c r="I127" s="28">
        <v>32.5</v>
      </c>
      <c r="J127" s="28"/>
      <c r="K127" s="28">
        <v>31.5</v>
      </c>
      <c r="L127" s="28">
        <v>27.95</v>
      </c>
      <c r="M127" s="125">
        <v>31.25</v>
      </c>
      <c r="N127" s="125">
        <v>31.99</v>
      </c>
      <c r="O127" s="125">
        <v>31.25</v>
      </c>
      <c r="P127" s="125">
        <v>31.99</v>
      </c>
      <c r="Q127" s="125"/>
      <c r="R127" s="125">
        <v>31.99</v>
      </c>
      <c r="S127" s="28"/>
      <c r="T127" s="28">
        <v>31.99</v>
      </c>
    </row>
    <row r="128" spans="1:20" s="75" customFormat="1" x14ac:dyDescent="0.35">
      <c r="A128" s="124">
        <v>123</v>
      </c>
      <c r="B128" s="120" t="s">
        <v>209</v>
      </c>
      <c r="C128" s="121" t="s">
        <v>211</v>
      </c>
      <c r="D128" s="121" t="s">
        <v>212</v>
      </c>
      <c r="E128" s="28">
        <v>11.95</v>
      </c>
      <c r="F128" s="28"/>
      <c r="G128" s="127">
        <v>12.44</v>
      </c>
      <c r="H128" s="127">
        <v>11.95</v>
      </c>
      <c r="I128" s="28">
        <v>11.95</v>
      </c>
      <c r="J128" s="28">
        <v>12</v>
      </c>
      <c r="K128" s="28">
        <v>12</v>
      </c>
      <c r="L128" s="28">
        <v>13.95</v>
      </c>
      <c r="M128" s="127">
        <v>11.5</v>
      </c>
      <c r="N128" s="127"/>
      <c r="O128" s="127">
        <v>12.95</v>
      </c>
      <c r="P128" s="127"/>
      <c r="Q128" s="127">
        <v>12.95</v>
      </c>
      <c r="R128" s="127">
        <v>11.99</v>
      </c>
      <c r="S128" s="28">
        <v>11.95</v>
      </c>
      <c r="T128" s="28">
        <v>12.99</v>
      </c>
    </row>
    <row r="129" spans="1:20" s="75" customFormat="1" x14ac:dyDescent="0.35">
      <c r="A129" s="124">
        <v>124</v>
      </c>
      <c r="B129" s="120" t="s">
        <v>213</v>
      </c>
      <c r="C129" s="121" t="s">
        <v>214</v>
      </c>
      <c r="D129" s="121" t="s">
        <v>215</v>
      </c>
      <c r="E129" s="28">
        <v>8.5</v>
      </c>
      <c r="F129" s="28">
        <v>8.9499999999999993</v>
      </c>
      <c r="G129" s="125">
        <v>9.75</v>
      </c>
      <c r="H129" s="125">
        <v>8.9499999999999993</v>
      </c>
      <c r="I129" s="28">
        <v>9.5</v>
      </c>
      <c r="J129" s="28">
        <v>8.9499999999999993</v>
      </c>
      <c r="K129" s="28"/>
      <c r="L129" s="28">
        <v>9.9499999999999993</v>
      </c>
      <c r="M129" s="125">
        <v>6.25</v>
      </c>
      <c r="N129" s="125"/>
      <c r="O129" s="125">
        <v>7.95</v>
      </c>
      <c r="P129" s="125">
        <v>8.99</v>
      </c>
      <c r="Q129" s="125">
        <v>8.9499999999999993</v>
      </c>
      <c r="R129" s="125">
        <v>8.99</v>
      </c>
      <c r="S129" s="28">
        <v>8.9499999999999993</v>
      </c>
      <c r="T129" s="28"/>
    </row>
    <row r="130" spans="1:20" s="75" customFormat="1" x14ac:dyDescent="0.35">
      <c r="A130" s="124">
        <v>125</v>
      </c>
      <c r="B130" s="120" t="s">
        <v>216</v>
      </c>
      <c r="C130" s="121" t="s">
        <v>214</v>
      </c>
      <c r="D130" s="121" t="s">
        <v>215</v>
      </c>
      <c r="E130" s="28">
        <v>8.5</v>
      </c>
      <c r="F130" s="28">
        <v>8.9499999999999993</v>
      </c>
      <c r="G130" s="125">
        <v>9.25</v>
      </c>
      <c r="H130" s="125">
        <v>8.9499999999999993</v>
      </c>
      <c r="I130" s="28">
        <v>8.9499999999999993</v>
      </c>
      <c r="J130" s="28">
        <v>8.5</v>
      </c>
      <c r="K130" s="28"/>
      <c r="L130" s="28">
        <v>8.9499999999999993</v>
      </c>
      <c r="M130" s="125">
        <v>8.75</v>
      </c>
      <c r="N130" s="125">
        <v>8.49</v>
      </c>
      <c r="O130" s="125">
        <v>7.5</v>
      </c>
      <c r="P130" s="125">
        <v>8.49</v>
      </c>
      <c r="Q130" s="125">
        <v>8.9499999999999993</v>
      </c>
      <c r="R130" s="125">
        <v>8.99</v>
      </c>
      <c r="S130" s="28">
        <v>7.95</v>
      </c>
      <c r="T130" s="28"/>
    </row>
    <row r="131" spans="1:20" s="75" customFormat="1" x14ac:dyDescent="0.35">
      <c r="A131" s="124">
        <v>126</v>
      </c>
      <c r="B131" s="120" t="s">
        <v>217</v>
      </c>
      <c r="C131" s="121" t="s">
        <v>214</v>
      </c>
      <c r="D131" s="121" t="s">
        <v>215</v>
      </c>
      <c r="E131" s="28"/>
      <c r="F131" s="28">
        <v>9.9499999999999993</v>
      </c>
      <c r="G131" s="125"/>
      <c r="H131" s="125"/>
      <c r="I131" s="28">
        <v>9.5</v>
      </c>
      <c r="J131" s="28">
        <v>9.5</v>
      </c>
      <c r="K131" s="28"/>
      <c r="L131" s="28"/>
      <c r="M131" s="125"/>
      <c r="N131" s="125">
        <v>9.99</v>
      </c>
      <c r="O131" s="125"/>
      <c r="P131" s="125">
        <v>9.99</v>
      </c>
      <c r="Q131" s="125">
        <v>8.9499999999999993</v>
      </c>
      <c r="R131" s="125"/>
      <c r="S131" s="28"/>
      <c r="T131" s="28"/>
    </row>
    <row r="132" spans="1:20" s="75" customFormat="1" x14ac:dyDescent="0.35">
      <c r="A132" s="124">
        <v>127</v>
      </c>
      <c r="B132" s="120" t="s">
        <v>218</v>
      </c>
      <c r="C132" s="121" t="s">
        <v>214</v>
      </c>
      <c r="D132" s="121" t="s">
        <v>215</v>
      </c>
      <c r="E132" s="28"/>
      <c r="F132" s="28"/>
      <c r="G132" s="125"/>
      <c r="H132" s="125"/>
      <c r="I132" s="28"/>
      <c r="J132" s="28"/>
      <c r="K132" s="28"/>
      <c r="L132" s="28"/>
      <c r="M132" s="125">
        <v>7.25</v>
      </c>
      <c r="N132" s="125"/>
      <c r="O132" s="125"/>
      <c r="P132" s="125"/>
      <c r="Q132" s="125"/>
      <c r="R132" s="125"/>
      <c r="S132" s="28"/>
      <c r="T132" s="28"/>
    </row>
    <row r="133" spans="1:20" s="75" customFormat="1" x14ac:dyDescent="0.35">
      <c r="A133" s="124">
        <v>128</v>
      </c>
      <c r="B133" s="120" t="s">
        <v>219</v>
      </c>
      <c r="C133" s="121" t="s">
        <v>214</v>
      </c>
      <c r="D133" s="121" t="s">
        <v>215</v>
      </c>
      <c r="E133" s="28">
        <v>10.5</v>
      </c>
      <c r="F133" s="28">
        <v>10.25</v>
      </c>
      <c r="G133" s="125">
        <v>10.75</v>
      </c>
      <c r="H133" s="125"/>
      <c r="I133" s="28">
        <v>9.5</v>
      </c>
      <c r="J133" s="28">
        <v>10.5</v>
      </c>
      <c r="K133" s="28">
        <v>10.5</v>
      </c>
      <c r="L133" s="28">
        <v>10.95</v>
      </c>
      <c r="M133" s="125">
        <v>9.99</v>
      </c>
      <c r="N133" s="125">
        <v>10.99</v>
      </c>
      <c r="O133" s="125">
        <v>8.9499999999999993</v>
      </c>
      <c r="P133" s="125">
        <v>10.99</v>
      </c>
      <c r="Q133" s="125">
        <v>11.95</v>
      </c>
      <c r="R133" s="125"/>
      <c r="S133" s="28"/>
      <c r="T133" s="28"/>
    </row>
    <row r="134" spans="1:20" s="75" customFormat="1" x14ac:dyDescent="0.35">
      <c r="A134" s="124">
        <v>129</v>
      </c>
      <c r="B134" s="120" t="s">
        <v>220</v>
      </c>
      <c r="C134" s="121" t="s">
        <v>182</v>
      </c>
      <c r="D134" s="121" t="s">
        <v>183</v>
      </c>
      <c r="E134" s="28">
        <v>11.95</v>
      </c>
      <c r="F134" s="28"/>
      <c r="G134" s="125">
        <v>13.9</v>
      </c>
      <c r="H134" s="125">
        <v>13.95</v>
      </c>
      <c r="I134" s="28">
        <v>13.75</v>
      </c>
      <c r="J134" s="28">
        <v>12</v>
      </c>
      <c r="K134" s="28"/>
      <c r="L134" s="28">
        <v>13.95</v>
      </c>
      <c r="M134" s="125">
        <v>12.99</v>
      </c>
      <c r="N134" s="125">
        <v>13.99</v>
      </c>
      <c r="O134" s="125">
        <v>12.95</v>
      </c>
      <c r="P134" s="125">
        <v>13.99</v>
      </c>
      <c r="Q134" s="125">
        <v>12.95</v>
      </c>
      <c r="R134" s="125">
        <v>13.99</v>
      </c>
      <c r="S134" s="28">
        <v>12.95</v>
      </c>
      <c r="T134" s="28"/>
    </row>
    <row r="135" spans="1:20" s="75" customFormat="1" x14ac:dyDescent="0.35">
      <c r="A135" s="124">
        <v>130</v>
      </c>
      <c r="B135" s="120" t="s">
        <v>221</v>
      </c>
      <c r="C135" s="121" t="s">
        <v>70</v>
      </c>
      <c r="D135" s="121" t="s">
        <v>183</v>
      </c>
      <c r="E135" s="28">
        <v>10.5</v>
      </c>
      <c r="F135" s="28"/>
      <c r="G135" s="125">
        <v>10.99</v>
      </c>
      <c r="H135" s="125">
        <v>10.95</v>
      </c>
      <c r="I135" s="28">
        <v>10.95</v>
      </c>
      <c r="J135" s="28">
        <v>10.5</v>
      </c>
      <c r="K135" s="28"/>
      <c r="L135" s="28"/>
      <c r="M135" s="125">
        <v>10.5</v>
      </c>
      <c r="N135" s="125">
        <v>10.99</v>
      </c>
      <c r="O135" s="125">
        <v>10.5</v>
      </c>
      <c r="P135" s="125">
        <v>10.99</v>
      </c>
      <c r="Q135" s="125">
        <v>11.95</v>
      </c>
      <c r="R135" s="125"/>
      <c r="S135" s="28">
        <v>11.95</v>
      </c>
      <c r="T135" s="28">
        <v>12.99</v>
      </c>
    </row>
    <row r="136" spans="1:20" s="75" customFormat="1" x14ac:dyDescent="0.35">
      <c r="A136" s="124">
        <v>131</v>
      </c>
      <c r="B136" s="120" t="s">
        <v>222</v>
      </c>
      <c r="C136" s="121" t="s">
        <v>70</v>
      </c>
      <c r="D136" s="121" t="s">
        <v>223</v>
      </c>
      <c r="E136" s="28"/>
      <c r="F136" s="28">
        <v>11.95</v>
      </c>
      <c r="G136" s="125">
        <v>12.65</v>
      </c>
      <c r="H136" s="125">
        <v>12.95</v>
      </c>
      <c r="I136" s="28">
        <v>12.5</v>
      </c>
      <c r="J136" s="28">
        <v>12.5</v>
      </c>
      <c r="K136" s="28">
        <v>11.95</v>
      </c>
      <c r="L136" s="28">
        <v>12.95</v>
      </c>
      <c r="M136" s="125">
        <v>11.99</v>
      </c>
      <c r="N136" s="125">
        <v>11.99</v>
      </c>
      <c r="O136" s="125">
        <v>11.95</v>
      </c>
      <c r="P136" s="125"/>
      <c r="Q136" s="125"/>
      <c r="R136" s="125"/>
      <c r="S136" s="28">
        <v>11.95</v>
      </c>
      <c r="T136" s="28">
        <v>11.99</v>
      </c>
    </row>
    <row r="137" spans="1:20" s="75" customFormat="1" x14ac:dyDescent="0.35">
      <c r="A137" s="128">
        <v>132</v>
      </c>
      <c r="B137" s="120" t="s">
        <v>224</v>
      </c>
      <c r="C137" s="121" t="s">
        <v>182</v>
      </c>
      <c r="D137" s="121" t="s">
        <v>225</v>
      </c>
      <c r="E137" s="28">
        <v>15.95</v>
      </c>
      <c r="F137" s="28">
        <v>17.95</v>
      </c>
      <c r="G137" s="125"/>
      <c r="H137" s="125">
        <v>14.95</v>
      </c>
      <c r="I137" s="28">
        <v>17.75</v>
      </c>
      <c r="J137" s="28">
        <v>15.95</v>
      </c>
      <c r="K137" s="28">
        <v>14.25</v>
      </c>
      <c r="L137" s="28"/>
      <c r="M137" s="125">
        <v>14.99</v>
      </c>
      <c r="N137" s="125">
        <v>17.989999999999998</v>
      </c>
      <c r="O137" s="125">
        <v>14.95</v>
      </c>
      <c r="P137" s="125">
        <v>17.989999999999998</v>
      </c>
      <c r="Q137" s="125">
        <v>14.95</v>
      </c>
      <c r="R137" s="125">
        <v>17.989999999999998</v>
      </c>
      <c r="S137" s="28">
        <v>17.95</v>
      </c>
      <c r="T137" s="28"/>
    </row>
    <row r="138" spans="1:20" s="75" customFormat="1" x14ac:dyDescent="0.35">
      <c r="A138" s="128">
        <v>133</v>
      </c>
      <c r="B138" s="120" t="s">
        <v>226</v>
      </c>
      <c r="C138" s="121"/>
      <c r="D138" s="121" t="s">
        <v>15</v>
      </c>
      <c r="E138" s="28"/>
      <c r="F138" s="28"/>
      <c r="G138" s="125">
        <v>24.11</v>
      </c>
      <c r="H138" s="125"/>
      <c r="I138" s="28"/>
      <c r="J138" s="28"/>
      <c r="K138" s="28"/>
      <c r="L138" s="28"/>
      <c r="M138" s="125"/>
      <c r="N138" s="125"/>
      <c r="O138" s="125"/>
      <c r="P138" s="125"/>
      <c r="Q138" s="125"/>
      <c r="R138" s="125"/>
      <c r="S138" s="28">
        <v>28.95</v>
      </c>
      <c r="T138" s="28"/>
    </row>
    <row r="139" spans="1:20" s="75" customFormat="1" x14ac:dyDescent="0.35">
      <c r="A139" s="128">
        <v>134</v>
      </c>
      <c r="B139" s="120" t="s">
        <v>227</v>
      </c>
      <c r="C139" s="121"/>
      <c r="D139" s="121" t="s">
        <v>15</v>
      </c>
      <c r="E139" s="28">
        <v>22.05</v>
      </c>
      <c r="F139" s="28"/>
      <c r="G139" s="125">
        <v>28</v>
      </c>
      <c r="H139" s="125"/>
      <c r="I139" s="28"/>
      <c r="J139" s="28"/>
      <c r="K139" s="28"/>
      <c r="L139" s="28"/>
      <c r="M139" s="125"/>
      <c r="N139" s="125"/>
      <c r="O139" s="125"/>
      <c r="P139" s="125"/>
      <c r="Q139" s="125">
        <v>26.95</v>
      </c>
      <c r="R139" s="125"/>
      <c r="S139" s="28"/>
      <c r="T139" s="28"/>
    </row>
    <row r="140" spans="1:20" s="75" customFormat="1" x14ac:dyDescent="0.35">
      <c r="A140" s="128">
        <v>135</v>
      </c>
      <c r="B140" s="120" t="s">
        <v>228</v>
      </c>
      <c r="C140" s="121"/>
      <c r="D140" s="121" t="s">
        <v>15</v>
      </c>
      <c r="E140" s="28"/>
      <c r="F140" s="28"/>
      <c r="G140" s="125">
        <v>18.82</v>
      </c>
      <c r="H140" s="125"/>
      <c r="I140" s="28"/>
      <c r="J140" s="28"/>
      <c r="K140" s="28"/>
      <c r="L140" s="28"/>
      <c r="M140" s="125"/>
      <c r="N140" s="125"/>
      <c r="O140" s="125">
        <v>15.95</v>
      </c>
      <c r="P140" s="125"/>
      <c r="Q140" s="125"/>
      <c r="R140" s="125"/>
      <c r="S140" s="28"/>
      <c r="T140" s="28"/>
    </row>
    <row r="141" spans="1:20" s="75" customFormat="1" x14ac:dyDescent="0.35">
      <c r="A141" s="128">
        <v>136</v>
      </c>
      <c r="B141" s="120" t="s">
        <v>229</v>
      </c>
      <c r="C141" s="121"/>
      <c r="D141" s="121" t="s">
        <v>15</v>
      </c>
      <c r="E141" s="28">
        <v>24.05</v>
      </c>
      <c r="F141" s="28"/>
      <c r="G141" s="125">
        <v>28.93</v>
      </c>
      <c r="H141" s="125"/>
      <c r="I141" s="28"/>
      <c r="J141" s="28"/>
      <c r="K141" s="28"/>
      <c r="L141" s="28">
        <v>22.95</v>
      </c>
      <c r="M141" s="125">
        <v>16.59</v>
      </c>
      <c r="N141" s="125"/>
      <c r="O141" s="125"/>
      <c r="P141" s="125">
        <v>17</v>
      </c>
      <c r="Q141" s="125">
        <v>29.95</v>
      </c>
      <c r="R141" s="125">
        <v>28.99</v>
      </c>
      <c r="S141" s="28">
        <v>27.95</v>
      </c>
      <c r="T141" s="28"/>
    </row>
  </sheetData>
  <autoFilter ref="B2:B141"/>
  <mergeCells count="11">
    <mergeCell ref="A1:B1"/>
    <mergeCell ref="O2:P2"/>
    <mergeCell ref="I4:J4"/>
    <mergeCell ref="K4:L4"/>
    <mergeCell ref="G4:H4"/>
    <mergeCell ref="A3:T3"/>
    <mergeCell ref="Q4:R4"/>
    <mergeCell ref="S4:T4"/>
    <mergeCell ref="M4:N4"/>
    <mergeCell ref="O4:P4"/>
    <mergeCell ref="E4:F4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L101" sqref="L101"/>
    </sheetView>
  </sheetViews>
  <sheetFormatPr defaultRowHeight="14.5" x14ac:dyDescent="0.35"/>
  <cols>
    <col min="1" max="1" width="4.54296875" customWidth="1"/>
    <col min="2" max="2" width="31.1796875" customWidth="1"/>
    <col min="3" max="3" width="23" customWidth="1"/>
    <col min="4" max="4" width="9.1796875" customWidth="1"/>
    <col min="5" max="5" width="11.81640625" style="47" customWidth="1"/>
    <col min="6" max="6" width="12.54296875" style="47" customWidth="1"/>
    <col min="7" max="7" width="12.1796875" style="47" customWidth="1"/>
    <col min="8" max="8" width="13.81640625" style="47" customWidth="1"/>
    <col min="9" max="9" width="12.81640625" style="47" customWidth="1"/>
    <col min="10" max="10" width="14" style="47" customWidth="1"/>
    <col min="11" max="11" width="9.81640625" style="47" customWidth="1"/>
    <col min="12" max="12" width="9.1796875" style="47"/>
  </cols>
  <sheetData>
    <row r="1" spans="1:12" s="80" customFormat="1" x14ac:dyDescent="0.35">
      <c r="A1" s="151" t="s">
        <v>287</v>
      </c>
      <c r="B1" s="151"/>
      <c r="E1" s="47"/>
      <c r="F1" s="47"/>
      <c r="G1" s="47"/>
      <c r="H1" s="47"/>
      <c r="I1" s="47"/>
      <c r="J1" s="47"/>
      <c r="K1" s="47"/>
      <c r="L1" s="47"/>
    </row>
    <row r="2" spans="1:12" s="74" customFormat="1" x14ac:dyDescent="0.35">
      <c r="B2" s="81" t="s">
        <v>290</v>
      </c>
      <c r="D2" s="79"/>
      <c r="E2" s="136"/>
      <c r="F2" s="136"/>
      <c r="G2" s="136"/>
      <c r="H2" s="47"/>
      <c r="I2" s="47"/>
      <c r="J2" s="131" t="s">
        <v>288</v>
      </c>
      <c r="K2" s="47"/>
      <c r="L2" s="47"/>
    </row>
    <row r="3" spans="1:12" ht="15.75" customHeight="1" x14ac:dyDescent="0.35">
      <c r="A3" s="176" t="s">
        <v>278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</row>
    <row r="4" spans="1:12" ht="29" x14ac:dyDescent="0.35">
      <c r="A4" s="76" t="s">
        <v>5</v>
      </c>
      <c r="B4" s="76" t="s">
        <v>6</v>
      </c>
      <c r="C4" s="76" t="s">
        <v>7</v>
      </c>
      <c r="D4" s="76" t="s">
        <v>8</v>
      </c>
      <c r="E4" s="78" t="s">
        <v>279</v>
      </c>
      <c r="F4" s="78" t="s">
        <v>280</v>
      </c>
      <c r="G4" s="77" t="s">
        <v>239</v>
      </c>
      <c r="H4" s="77" t="s">
        <v>281</v>
      </c>
      <c r="I4" s="107" t="s">
        <v>295</v>
      </c>
      <c r="J4" s="107" t="s">
        <v>296</v>
      </c>
      <c r="K4" s="107" t="s">
        <v>302</v>
      </c>
      <c r="L4" s="100" t="s">
        <v>303</v>
      </c>
    </row>
    <row r="5" spans="1:12" x14ac:dyDescent="0.35">
      <c r="A5" s="105">
        <v>1</v>
      </c>
      <c r="B5" s="124" t="s">
        <v>13</v>
      </c>
      <c r="C5" s="124" t="s">
        <v>14</v>
      </c>
      <c r="D5" s="124" t="s">
        <v>15</v>
      </c>
      <c r="E5" s="125"/>
      <c r="F5" s="125"/>
      <c r="G5" s="125"/>
      <c r="H5" s="125"/>
      <c r="I5" s="125"/>
      <c r="J5" s="125"/>
      <c r="K5" s="125"/>
      <c r="L5" s="125"/>
    </row>
    <row r="6" spans="1:12" x14ac:dyDescent="0.35">
      <c r="A6" s="105">
        <v>2</v>
      </c>
      <c r="B6" s="124" t="s">
        <v>13</v>
      </c>
      <c r="C6" s="124" t="s">
        <v>16</v>
      </c>
      <c r="D6" s="124" t="s">
        <v>15</v>
      </c>
      <c r="E6" s="125"/>
      <c r="F6" s="125"/>
      <c r="G6" s="125"/>
      <c r="H6" s="125"/>
      <c r="I6" s="125"/>
      <c r="J6" s="125"/>
      <c r="K6" s="125"/>
      <c r="L6" s="125"/>
    </row>
    <row r="7" spans="1:12" x14ac:dyDescent="0.35">
      <c r="A7" s="105">
        <v>3</v>
      </c>
      <c r="B7" s="124" t="s">
        <v>17</v>
      </c>
      <c r="C7" s="128" t="s">
        <v>18</v>
      </c>
      <c r="D7" s="128" t="s">
        <v>19</v>
      </c>
      <c r="E7" s="125"/>
      <c r="F7" s="125"/>
      <c r="G7" s="125">
        <v>23.95</v>
      </c>
      <c r="H7" s="125"/>
      <c r="I7" s="125"/>
      <c r="J7" s="125">
        <v>31.5</v>
      </c>
      <c r="K7" s="125"/>
      <c r="L7" s="125"/>
    </row>
    <row r="8" spans="1:12" x14ac:dyDescent="0.35">
      <c r="A8" s="105">
        <v>4</v>
      </c>
      <c r="B8" s="124" t="s">
        <v>20</v>
      </c>
      <c r="C8" s="128" t="s">
        <v>18</v>
      </c>
      <c r="D8" s="128" t="s">
        <v>19</v>
      </c>
      <c r="E8" s="125"/>
      <c r="F8" s="125"/>
      <c r="G8" s="125">
        <v>23</v>
      </c>
      <c r="H8" s="125"/>
      <c r="I8" s="125">
        <v>29.75</v>
      </c>
      <c r="J8" s="125">
        <v>30</v>
      </c>
      <c r="K8" s="125"/>
      <c r="L8" s="125"/>
    </row>
    <row r="9" spans="1:12" x14ac:dyDescent="0.35">
      <c r="A9" s="105">
        <v>5</v>
      </c>
      <c r="B9" s="124" t="s">
        <v>21</v>
      </c>
      <c r="C9" s="128" t="s">
        <v>18</v>
      </c>
      <c r="D9" s="128" t="s">
        <v>19</v>
      </c>
      <c r="E9" s="125"/>
      <c r="F9" s="125"/>
      <c r="G9" s="125">
        <v>21</v>
      </c>
      <c r="H9" s="125"/>
      <c r="I9" s="125"/>
      <c r="J9" s="125">
        <v>21</v>
      </c>
      <c r="K9" s="125"/>
      <c r="L9" s="125"/>
    </row>
    <row r="10" spans="1:12" x14ac:dyDescent="0.35">
      <c r="A10" s="105">
        <v>6</v>
      </c>
      <c r="B10" s="124" t="s">
        <v>22</v>
      </c>
      <c r="C10" s="128" t="s">
        <v>18</v>
      </c>
      <c r="D10" s="128" t="s">
        <v>19</v>
      </c>
      <c r="E10" s="125"/>
      <c r="F10" s="125"/>
      <c r="G10" s="125">
        <v>23.95</v>
      </c>
      <c r="H10" s="125"/>
      <c r="I10" s="125"/>
      <c r="J10" s="125"/>
      <c r="K10" s="125"/>
      <c r="L10" s="125"/>
    </row>
    <row r="11" spans="1:12" ht="14.5" customHeight="1" x14ac:dyDescent="0.35">
      <c r="A11" s="105">
        <v>7</v>
      </c>
      <c r="B11" s="124" t="s">
        <v>23</v>
      </c>
      <c r="C11" s="128" t="s">
        <v>18</v>
      </c>
      <c r="D11" s="128" t="s">
        <v>19</v>
      </c>
      <c r="E11" s="125"/>
      <c r="F11" s="125"/>
      <c r="G11" s="125"/>
      <c r="H11" s="125"/>
      <c r="I11" s="125"/>
      <c r="J11" s="125"/>
      <c r="K11" s="125"/>
      <c r="L11" s="125"/>
    </row>
    <row r="12" spans="1:12" x14ac:dyDescent="0.35">
      <c r="A12" s="105">
        <v>8</v>
      </c>
      <c r="B12" s="124" t="s">
        <v>24</v>
      </c>
      <c r="C12" s="128"/>
      <c r="D12" s="128" t="s">
        <v>15</v>
      </c>
      <c r="E12" s="125"/>
      <c r="F12" s="125">
        <v>20.86</v>
      </c>
      <c r="G12" s="125">
        <v>19.09</v>
      </c>
      <c r="H12" s="125"/>
      <c r="I12" s="125"/>
      <c r="J12" s="125"/>
      <c r="K12" s="125"/>
      <c r="L12" s="125"/>
    </row>
    <row r="13" spans="1:12" x14ac:dyDescent="0.35">
      <c r="A13" s="105">
        <v>9</v>
      </c>
      <c r="B13" s="124" t="s">
        <v>25</v>
      </c>
      <c r="C13" s="128"/>
      <c r="D13" s="128" t="s">
        <v>15</v>
      </c>
      <c r="E13" s="125"/>
      <c r="F13" s="125">
        <v>27.86</v>
      </c>
      <c r="G13" s="125"/>
      <c r="H13" s="125"/>
      <c r="I13" s="125"/>
      <c r="J13" s="125"/>
      <c r="K13" s="125"/>
      <c r="L13" s="125"/>
    </row>
    <row r="14" spans="1:12" x14ac:dyDescent="0.35">
      <c r="A14" s="105">
        <v>10</v>
      </c>
      <c r="B14" s="124" t="s">
        <v>26</v>
      </c>
      <c r="C14" s="128"/>
      <c r="D14" s="128" t="s">
        <v>15</v>
      </c>
      <c r="E14" s="125">
        <v>28.96</v>
      </c>
      <c r="F14" s="125">
        <v>26.75</v>
      </c>
      <c r="G14" s="125"/>
      <c r="H14" s="125">
        <v>27.95</v>
      </c>
      <c r="I14" s="125">
        <v>29.09</v>
      </c>
      <c r="J14" s="125"/>
      <c r="K14" s="125"/>
      <c r="L14" s="125"/>
    </row>
    <row r="15" spans="1:12" x14ac:dyDescent="0.35">
      <c r="A15" s="105">
        <v>11</v>
      </c>
      <c r="B15" s="124" t="s">
        <v>27</v>
      </c>
      <c r="C15" s="128" t="s">
        <v>28</v>
      </c>
      <c r="D15" s="128" t="s">
        <v>29</v>
      </c>
      <c r="E15" s="125">
        <v>16.7</v>
      </c>
      <c r="F15" s="125">
        <v>16.7</v>
      </c>
      <c r="G15" s="125">
        <v>15.5</v>
      </c>
      <c r="H15" s="125"/>
      <c r="I15" s="125">
        <v>16</v>
      </c>
      <c r="J15" s="125">
        <v>15.5</v>
      </c>
      <c r="K15" s="125"/>
      <c r="L15" s="125"/>
    </row>
    <row r="16" spans="1:12" x14ac:dyDescent="0.35">
      <c r="A16" s="105">
        <v>12</v>
      </c>
      <c r="B16" s="124" t="s">
        <v>306</v>
      </c>
      <c r="C16" s="128" t="s">
        <v>31</v>
      </c>
      <c r="D16" s="128" t="s">
        <v>15</v>
      </c>
      <c r="E16" s="125">
        <v>28.6</v>
      </c>
      <c r="F16" s="125">
        <v>27.27</v>
      </c>
      <c r="G16" s="125">
        <v>27.27</v>
      </c>
      <c r="H16" s="125">
        <v>25.95</v>
      </c>
      <c r="I16" s="125">
        <v>28.64</v>
      </c>
      <c r="J16" s="125">
        <v>27</v>
      </c>
      <c r="K16" s="125"/>
      <c r="L16" s="125">
        <v>28.5</v>
      </c>
    </row>
    <row r="17" spans="1:12" x14ac:dyDescent="0.35">
      <c r="A17" s="105">
        <v>13</v>
      </c>
      <c r="B17" s="124" t="s">
        <v>307</v>
      </c>
      <c r="C17" s="128" t="s">
        <v>32</v>
      </c>
      <c r="D17" s="128" t="s">
        <v>15</v>
      </c>
      <c r="E17" s="125"/>
      <c r="F17" s="125"/>
      <c r="G17" s="125"/>
      <c r="H17" s="125"/>
      <c r="I17" s="125"/>
      <c r="J17" s="125"/>
      <c r="K17" s="125"/>
      <c r="L17" s="125"/>
    </row>
    <row r="18" spans="1:12" x14ac:dyDescent="0.35">
      <c r="A18" s="105">
        <v>14</v>
      </c>
      <c r="B18" s="124" t="s">
        <v>304</v>
      </c>
      <c r="C18" s="128" t="s">
        <v>31</v>
      </c>
      <c r="D18" s="128" t="s">
        <v>15</v>
      </c>
      <c r="E18" s="125"/>
      <c r="F18" s="125"/>
      <c r="G18" s="125"/>
      <c r="H18" s="125"/>
      <c r="I18" s="125"/>
      <c r="J18" s="125"/>
      <c r="K18" s="125"/>
      <c r="L18" s="125"/>
    </row>
    <row r="19" spans="1:12" x14ac:dyDescent="0.35">
      <c r="A19" s="105">
        <v>15</v>
      </c>
      <c r="B19" s="124" t="s">
        <v>305</v>
      </c>
      <c r="C19" s="128" t="s">
        <v>32</v>
      </c>
      <c r="D19" s="128" t="s">
        <v>15</v>
      </c>
      <c r="E19" s="125"/>
      <c r="F19" s="125"/>
      <c r="G19" s="125"/>
      <c r="H19" s="125"/>
      <c r="I19" s="125"/>
      <c r="J19" s="125"/>
      <c r="K19" s="125"/>
      <c r="L19" s="125"/>
    </row>
    <row r="20" spans="1:12" x14ac:dyDescent="0.35">
      <c r="A20" s="105">
        <v>16</v>
      </c>
      <c r="B20" s="124" t="s">
        <v>34</v>
      </c>
      <c r="C20" s="128"/>
      <c r="D20" s="128" t="s">
        <v>15</v>
      </c>
      <c r="E20" s="125">
        <v>26</v>
      </c>
      <c r="F20" s="125">
        <v>24.11</v>
      </c>
      <c r="G20" s="125">
        <v>20</v>
      </c>
      <c r="H20" s="125">
        <v>23.95</v>
      </c>
      <c r="I20" s="125"/>
      <c r="J20" s="125">
        <v>24</v>
      </c>
      <c r="K20" s="125"/>
      <c r="L20" s="125">
        <v>27.5</v>
      </c>
    </row>
    <row r="21" spans="1:12" x14ac:dyDescent="0.35">
      <c r="A21" s="105">
        <v>17</v>
      </c>
      <c r="B21" s="124" t="s">
        <v>35</v>
      </c>
      <c r="C21" s="128" t="s">
        <v>36</v>
      </c>
      <c r="D21" s="128" t="s">
        <v>15</v>
      </c>
      <c r="E21" s="125">
        <v>57.55</v>
      </c>
      <c r="F21" s="125">
        <v>51.5</v>
      </c>
      <c r="G21" s="125">
        <v>56</v>
      </c>
      <c r="H21" s="125">
        <v>55.95</v>
      </c>
      <c r="I21" s="125"/>
      <c r="J21" s="125"/>
      <c r="K21" s="125"/>
      <c r="L21" s="125"/>
    </row>
    <row r="22" spans="1:12" x14ac:dyDescent="0.35">
      <c r="A22" s="105">
        <v>18</v>
      </c>
      <c r="B22" s="124" t="s">
        <v>37</v>
      </c>
      <c r="C22" s="128"/>
      <c r="D22" s="128" t="s">
        <v>15</v>
      </c>
      <c r="E22" s="125"/>
      <c r="F22" s="125"/>
      <c r="G22" s="125"/>
      <c r="H22" s="125"/>
      <c r="I22" s="125"/>
      <c r="J22" s="125"/>
      <c r="K22" s="125"/>
      <c r="L22" s="125"/>
    </row>
    <row r="23" spans="1:12" x14ac:dyDescent="0.35">
      <c r="A23" s="105">
        <v>19</v>
      </c>
      <c r="B23" s="124" t="s">
        <v>38</v>
      </c>
      <c r="C23" s="128" t="s">
        <v>39</v>
      </c>
      <c r="D23" s="128" t="s">
        <v>40</v>
      </c>
      <c r="E23" s="125"/>
      <c r="F23" s="125">
        <v>15.55</v>
      </c>
      <c r="G23" s="125"/>
      <c r="H23" s="125"/>
      <c r="I23" s="125"/>
      <c r="J23" s="125">
        <v>12</v>
      </c>
      <c r="K23" s="125"/>
      <c r="L23" s="125">
        <v>12.5</v>
      </c>
    </row>
    <row r="24" spans="1:12" x14ac:dyDescent="0.35">
      <c r="A24" s="105">
        <v>20</v>
      </c>
      <c r="B24" s="124" t="s">
        <v>38</v>
      </c>
      <c r="C24" s="128" t="s">
        <v>41</v>
      </c>
      <c r="D24" s="128" t="s">
        <v>40</v>
      </c>
      <c r="E24" s="125"/>
      <c r="F24" s="125">
        <v>8.75</v>
      </c>
      <c r="G24" s="125">
        <v>7.95</v>
      </c>
      <c r="H24" s="125"/>
      <c r="I24" s="125"/>
      <c r="J24" s="125">
        <v>9.5</v>
      </c>
      <c r="K24" s="125"/>
      <c r="L24" s="125">
        <v>9.9499999999999993</v>
      </c>
    </row>
    <row r="25" spans="1:12" x14ac:dyDescent="0.35">
      <c r="A25" s="105">
        <v>21</v>
      </c>
      <c r="B25" s="124" t="s">
        <v>42</v>
      </c>
      <c r="C25" s="128" t="s">
        <v>43</v>
      </c>
      <c r="D25" s="128" t="s">
        <v>40</v>
      </c>
      <c r="E25" s="125">
        <v>12.75</v>
      </c>
      <c r="F25" s="125">
        <v>12.2</v>
      </c>
      <c r="G25" s="125">
        <v>11</v>
      </c>
      <c r="H25" s="125">
        <v>12.95</v>
      </c>
      <c r="I25" s="125"/>
      <c r="J25" s="125">
        <v>13.5</v>
      </c>
      <c r="K25" s="125">
        <v>10</v>
      </c>
      <c r="L25" s="125">
        <v>13.5</v>
      </c>
    </row>
    <row r="26" spans="1:12" x14ac:dyDescent="0.35">
      <c r="A26" s="105">
        <v>22</v>
      </c>
      <c r="B26" s="124" t="s">
        <v>42</v>
      </c>
      <c r="C26" s="128" t="s">
        <v>44</v>
      </c>
      <c r="D26" s="128" t="s">
        <v>45</v>
      </c>
      <c r="E26" s="125">
        <v>33.950000000000003</v>
      </c>
      <c r="F26" s="125">
        <v>28.8</v>
      </c>
      <c r="G26" s="125"/>
      <c r="H26" s="125">
        <v>35.549999999999997</v>
      </c>
      <c r="I26" s="125"/>
      <c r="J26" s="125">
        <v>31.5</v>
      </c>
      <c r="K26" s="125"/>
      <c r="L26" s="125"/>
    </row>
    <row r="27" spans="1:12" x14ac:dyDescent="0.35">
      <c r="A27" s="105">
        <v>23</v>
      </c>
      <c r="B27" s="124" t="s">
        <v>46</v>
      </c>
      <c r="C27" s="128" t="s">
        <v>47</v>
      </c>
      <c r="D27" s="128" t="s">
        <v>48</v>
      </c>
      <c r="E27" s="125">
        <v>29.45</v>
      </c>
      <c r="F27" s="125"/>
      <c r="G27" s="125"/>
      <c r="H27" s="125">
        <v>24</v>
      </c>
      <c r="I27" s="125"/>
      <c r="J27" s="125"/>
      <c r="K27" s="125">
        <v>24</v>
      </c>
      <c r="L27" s="125">
        <v>28.75</v>
      </c>
    </row>
    <row r="28" spans="1:12" x14ac:dyDescent="0.35">
      <c r="A28" s="105">
        <v>24</v>
      </c>
      <c r="B28" s="124" t="s">
        <v>49</v>
      </c>
      <c r="C28" s="128" t="s">
        <v>50</v>
      </c>
      <c r="D28" s="128" t="s">
        <v>51</v>
      </c>
      <c r="E28" s="125">
        <v>16.75</v>
      </c>
      <c r="F28" s="125">
        <v>16.2</v>
      </c>
      <c r="G28" s="125">
        <v>15.75</v>
      </c>
      <c r="H28" s="125">
        <v>15.55</v>
      </c>
      <c r="I28" s="125">
        <v>16.5</v>
      </c>
      <c r="J28" s="125"/>
      <c r="K28" s="125">
        <v>17</v>
      </c>
      <c r="L28" s="125">
        <v>16.5</v>
      </c>
    </row>
    <row r="29" spans="1:12" x14ac:dyDescent="0.35">
      <c r="A29" s="105">
        <v>25</v>
      </c>
      <c r="B29" s="124" t="s">
        <v>52</v>
      </c>
      <c r="C29" s="128" t="s">
        <v>53</v>
      </c>
      <c r="D29" s="128" t="s">
        <v>51</v>
      </c>
      <c r="E29" s="125">
        <v>15.6</v>
      </c>
      <c r="F29" s="125">
        <v>15.45</v>
      </c>
      <c r="G29" s="125">
        <v>15.75</v>
      </c>
      <c r="H29" s="125">
        <v>16.95</v>
      </c>
      <c r="I29" s="125">
        <v>15.6</v>
      </c>
      <c r="J29" s="125"/>
      <c r="K29" s="125"/>
      <c r="L29" s="125">
        <v>15.75</v>
      </c>
    </row>
    <row r="30" spans="1:12" x14ac:dyDescent="0.35">
      <c r="A30" s="105">
        <v>26</v>
      </c>
      <c r="B30" s="124" t="s">
        <v>54</v>
      </c>
      <c r="C30" s="128" t="s">
        <v>55</v>
      </c>
      <c r="D30" s="128" t="s">
        <v>56</v>
      </c>
      <c r="E30" s="125">
        <v>52.95</v>
      </c>
      <c r="F30" s="125">
        <v>52.95</v>
      </c>
      <c r="G30" s="125">
        <v>52.95</v>
      </c>
      <c r="H30" s="125">
        <v>52.95</v>
      </c>
      <c r="I30" s="125">
        <v>52.95</v>
      </c>
      <c r="J30" s="125">
        <v>58.75</v>
      </c>
      <c r="K30" s="125"/>
      <c r="L30" s="125">
        <v>53.25</v>
      </c>
    </row>
    <row r="31" spans="1:12" x14ac:dyDescent="0.35">
      <c r="A31" s="105">
        <v>27</v>
      </c>
      <c r="B31" s="124" t="s">
        <v>54</v>
      </c>
      <c r="C31" s="128" t="s">
        <v>55</v>
      </c>
      <c r="D31" s="128" t="s">
        <v>57</v>
      </c>
      <c r="E31" s="125"/>
      <c r="F31" s="125">
        <v>16.5</v>
      </c>
      <c r="G31" s="125">
        <v>16.5</v>
      </c>
      <c r="H31" s="125">
        <v>16.5</v>
      </c>
      <c r="I31" s="125">
        <v>16.5</v>
      </c>
      <c r="J31" s="125"/>
      <c r="K31" s="125">
        <v>18.5</v>
      </c>
      <c r="L31" s="125">
        <v>16.75</v>
      </c>
    </row>
    <row r="32" spans="1:12" x14ac:dyDescent="0.35">
      <c r="A32" s="105">
        <v>28</v>
      </c>
      <c r="B32" s="124" t="s">
        <v>58</v>
      </c>
      <c r="C32" s="128" t="s">
        <v>55</v>
      </c>
      <c r="D32" s="128" t="s">
        <v>56</v>
      </c>
      <c r="E32" s="125">
        <v>57.95</v>
      </c>
      <c r="F32" s="125">
        <v>57.95</v>
      </c>
      <c r="G32" s="125">
        <v>57.95</v>
      </c>
      <c r="H32" s="125">
        <v>57.95</v>
      </c>
      <c r="I32" s="125">
        <v>57.95</v>
      </c>
      <c r="J32" s="125">
        <v>64.5</v>
      </c>
      <c r="K32" s="125"/>
      <c r="L32" s="125">
        <v>57.95</v>
      </c>
    </row>
    <row r="33" spans="1:12" x14ac:dyDescent="0.35">
      <c r="A33" s="105">
        <v>29</v>
      </c>
      <c r="B33" s="124" t="s">
        <v>58</v>
      </c>
      <c r="C33" s="128" t="s">
        <v>55</v>
      </c>
      <c r="D33" s="128" t="s">
        <v>59</v>
      </c>
      <c r="E33" s="125">
        <v>30.95</v>
      </c>
      <c r="F33" s="125">
        <v>30.95</v>
      </c>
      <c r="G33" s="125">
        <v>30.95</v>
      </c>
      <c r="H33" s="125">
        <v>30.95</v>
      </c>
      <c r="I33" s="125">
        <v>30.95</v>
      </c>
      <c r="J33" s="125">
        <v>34.5</v>
      </c>
      <c r="K33" s="125"/>
      <c r="L33" s="125"/>
    </row>
    <row r="34" spans="1:12" x14ac:dyDescent="0.35">
      <c r="A34" s="105">
        <v>30</v>
      </c>
      <c r="B34" s="124" t="s">
        <v>60</v>
      </c>
      <c r="C34" s="128" t="s">
        <v>61</v>
      </c>
      <c r="D34" s="128" t="s">
        <v>62</v>
      </c>
      <c r="E34" s="125">
        <v>11.9</v>
      </c>
      <c r="F34" s="125">
        <v>11.1</v>
      </c>
      <c r="G34" s="125">
        <v>11</v>
      </c>
      <c r="H34" s="125">
        <v>11.95</v>
      </c>
      <c r="I34" s="125"/>
      <c r="J34" s="125">
        <v>11.75</v>
      </c>
      <c r="K34" s="125"/>
      <c r="L34" s="125"/>
    </row>
    <row r="35" spans="1:12" x14ac:dyDescent="0.35">
      <c r="A35" s="105">
        <v>31</v>
      </c>
      <c r="B35" s="124" t="s">
        <v>63</v>
      </c>
      <c r="C35" s="128" t="s">
        <v>64</v>
      </c>
      <c r="D35" s="128" t="s">
        <v>65</v>
      </c>
      <c r="E35" s="125">
        <v>6.5</v>
      </c>
      <c r="F35" s="125">
        <v>6.6</v>
      </c>
      <c r="G35" s="125">
        <v>7.25</v>
      </c>
      <c r="H35" s="125">
        <v>7.15</v>
      </c>
      <c r="I35" s="125"/>
      <c r="J35" s="125">
        <v>7.5</v>
      </c>
      <c r="K35" s="125"/>
      <c r="L35" s="125">
        <v>7.75</v>
      </c>
    </row>
    <row r="36" spans="1:12" x14ac:dyDescent="0.35">
      <c r="A36" s="105">
        <v>32</v>
      </c>
      <c r="B36" s="124" t="s">
        <v>66</v>
      </c>
      <c r="C36" s="128" t="s">
        <v>50</v>
      </c>
      <c r="D36" s="128" t="s">
        <v>67</v>
      </c>
      <c r="E36" s="125">
        <v>12.1</v>
      </c>
      <c r="F36" s="125">
        <v>13.6</v>
      </c>
      <c r="G36" s="125">
        <v>11.25</v>
      </c>
      <c r="H36" s="125">
        <v>11</v>
      </c>
      <c r="I36" s="125"/>
      <c r="J36" s="125">
        <v>13.5</v>
      </c>
      <c r="K36" s="125">
        <v>13.75</v>
      </c>
      <c r="L36" s="125">
        <v>14.25</v>
      </c>
    </row>
    <row r="37" spans="1:12" x14ac:dyDescent="0.35">
      <c r="A37" s="105">
        <v>33</v>
      </c>
      <c r="B37" s="124" t="s">
        <v>66</v>
      </c>
      <c r="C37" s="128" t="s">
        <v>68</v>
      </c>
      <c r="D37" s="128" t="s">
        <v>67</v>
      </c>
      <c r="E37" s="125"/>
      <c r="F37" s="125">
        <v>9.8000000000000007</v>
      </c>
      <c r="G37" s="125">
        <v>10.95</v>
      </c>
      <c r="H37" s="125"/>
      <c r="I37" s="125"/>
      <c r="J37" s="125">
        <v>10.95</v>
      </c>
      <c r="K37" s="125"/>
      <c r="L37" s="125">
        <v>13.75</v>
      </c>
    </row>
    <row r="38" spans="1:12" x14ac:dyDescent="0.35">
      <c r="A38" s="105">
        <v>35</v>
      </c>
      <c r="B38" s="124" t="s">
        <v>69</v>
      </c>
      <c r="C38" s="128" t="s">
        <v>70</v>
      </c>
      <c r="D38" s="128" t="s">
        <v>59</v>
      </c>
      <c r="E38" s="125">
        <v>6.75</v>
      </c>
      <c r="F38" s="125">
        <v>6.45</v>
      </c>
      <c r="G38" s="125">
        <v>4.95</v>
      </c>
      <c r="H38" s="125">
        <v>5.55</v>
      </c>
      <c r="I38" s="125">
        <v>7</v>
      </c>
      <c r="J38" s="125"/>
      <c r="K38" s="125"/>
      <c r="L38" s="125">
        <v>7.5</v>
      </c>
    </row>
    <row r="39" spans="1:12" x14ac:dyDescent="0.35">
      <c r="A39" s="105">
        <v>36</v>
      </c>
      <c r="B39" s="124" t="s">
        <v>71</v>
      </c>
      <c r="C39" s="128" t="s">
        <v>70</v>
      </c>
      <c r="D39" s="128" t="s">
        <v>59</v>
      </c>
      <c r="E39" s="125">
        <v>7.7</v>
      </c>
      <c r="F39" s="125">
        <v>7.35</v>
      </c>
      <c r="G39" s="125">
        <v>6.25</v>
      </c>
      <c r="H39" s="125">
        <v>6.95</v>
      </c>
      <c r="I39" s="125"/>
      <c r="J39" s="125">
        <v>8</v>
      </c>
      <c r="K39" s="125">
        <v>8.5</v>
      </c>
      <c r="L39" s="125"/>
    </row>
    <row r="40" spans="1:12" x14ac:dyDescent="0.35">
      <c r="A40" s="105">
        <v>37</v>
      </c>
      <c r="B40" s="124" t="s">
        <v>72</v>
      </c>
      <c r="C40" s="128" t="s">
        <v>73</v>
      </c>
      <c r="D40" s="128" t="s">
        <v>15</v>
      </c>
      <c r="E40" s="125">
        <v>10.9</v>
      </c>
      <c r="F40" s="125">
        <v>11.5</v>
      </c>
      <c r="G40" s="125">
        <v>13</v>
      </c>
      <c r="H40" s="125">
        <v>9.9499999999999993</v>
      </c>
      <c r="I40" s="125"/>
      <c r="J40" s="125"/>
      <c r="K40" s="125"/>
      <c r="L40" s="125">
        <v>14.5</v>
      </c>
    </row>
    <row r="41" spans="1:12" x14ac:dyDescent="0.35">
      <c r="A41" s="105">
        <v>38</v>
      </c>
      <c r="B41" s="124" t="s">
        <v>74</v>
      </c>
      <c r="C41" s="128" t="s">
        <v>75</v>
      </c>
      <c r="D41" s="128" t="s">
        <v>76</v>
      </c>
      <c r="E41" s="125">
        <v>22.6</v>
      </c>
      <c r="F41" s="125">
        <v>21.65</v>
      </c>
      <c r="G41" s="125">
        <v>20</v>
      </c>
      <c r="H41" s="125">
        <v>20.95</v>
      </c>
      <c r="I41" s="125">
        <v>20.95</v>
      </c>
      <c r="J41" s="125">
        <v>21</v>
      </c>
      <c r="K41" s="125">
        <v>20</v>
      </c>
      <c r="L41" s="125">
        <v>25.25</v>
      </c>
    </row>
    <row r="42" spans="1:12" x14ac:dyDescent="0.35">
      <c r="A42" s="105">
        <v>39</v>
      </c>
      <c r="B42" s="124" t="s">
        <v>77</v>
      </c>
      <c r="C42" s="128" t="s">
        <v>75</v>
      </c>
      <c r="D42" s="128" t="s">
        <v>78</v>
      </c>
      <c r="E42" s="125">
        <v>115.25</v>
      </c>
      <c r="F42" s="125">
        <v>115.25</v>
      </c>
      <c r="G42" s="125">
        <v>96</v>
      </c>
      <c r="H42" s="125">
        <v>98.95</v>
      </c>
      <c r="I42" s="125">
        <v>115</v>
      </c>
      <c r="J42" s="125">
        <v>110</v>
      </c>
      <c r="K42" s="125"/>
      <c r="L42" s="125"/>
    </row>
    <row r="43" spans="1:12" x14ac:dyDescent="0.35">
      <c r="A43" s="105">
        <v>40</v>
      </c>
      <c r="B43" s="124" t="s">
        <v>79</v>
      </c>
      <c r="C43" s="128" t="s">
        <v>80</v>
      </c>
      <c r="D43" s="128" t="s">
        <v>81</v>
      </c>
      <c r="E43" s="125"/>
      <c r="F43" s="125"/>
      <c r="G43" s="125"/>
      <c r="H43" s="125"/>
      <c r="I43" s="125"/>
      <c r="J43" s="125"/>
      <c r="K43" s="125"/>
      <c r="L43" s="125"/>
    </row>
    <row r="44" spans="1:12" x14ac:dyDescent="0.35">
      <c r="A44" s="105">
        <v>41</v>
      </c>
      <c r="B44" s="124" t="s">
        <v>79</v>
      </c>
      <c r="C44" s="128" t="s">
        <v>286</v>
      </c>
      <c r="D44" s="128" t="s">
        <v>76</v>
      </c>
      <c r="E44" s="125">
        <v>28.9</v>
      </c>
      <c r="F44" s="125">
        <v>28.6</v>
      </c>
      <c r="G44" s="125">
        <v>23.5</v>
      </c>
      <c r="H44" s="125"/>
      <c r="I44" s="125">
        <v>26.7</v>
      </c>
      <c r="J44" s="125">
        <v>27.5</v>
      </c>
      <c r="K44" s="125"/>
      <c r="L44" s="125"/>
    </row>
    <row r="45" spans="1:12" x14ac:dyDescent="0.35">
      <c r="A45" s="105">
        <v>42</v>
      </c>
      <c r="B45" s="124" t="s">
        <v>79</v>
      </c>
      <c r="C45" s="128" t="s">
        <v>286</v>
      </c>
      <c r="D45" s="128" t="s">
        <v>83</v>
      </c>
      <c r="E45" s="125"/>
      <c r="F45" s="125"/>
      <c r="G45" s="125"/>
      <c r="H45" s="125"/>
      <c r="I45" s="125">
        <v>13.5</v>
      </c>
      <c r="J45" s="125">
        <v>13.75</v>
      </c>
      <c r="K45" s="125">
        <v>15.5</v>
      </c>
      <c r="L45" s="125"/>
    </row>
    <row r="46" spans="1:12" x14ac:dyDescent="0.35">
      <c r="A46" s="105">
        <v>43</v>
      </c>
      <c r="B46" s="124" t="s">
        <v>84</v>
      </c>
      <c r="C46" s="128" t="s">
        <v>85</v>
      </c>
      <c r="D46" s="128" t="s">
        <v>86</v>
      </c>
      <c r="E46" s="125"/>
      <c r="F46" s="125"/>
      <c r="G46" s="125">
        <v>5.75</v>
      </c>
      <c r="H46" s="125">
        <v>4.95</v>
      </c>
      <c r="I46" s="125">
        <v>6.75</v>
      </c>
      <c r="J46" s="125"/>
      <c r="K46" s="125">
        <v>7</v>
      </c>
      <c r="L46" s="125"/>
    </row>
    <row r="47" spans="1:12" x14ac:dyDescent="0.35">
      <c r="A47" s="105">
        <v>44</v>
      </c>
      <c r="B47" s="124" t="s">
        <v>87</v>
      </c>
      <c r="C47" s="128" t="s">
        <v>88</v>
      </c>
      <c r="D47" s="128" t="s">
        <v>89</v>
      </c>
      <c r="E47" s="125"/>
      <c r="F47" s="125">
        <v>9.1999999999999993</v>
      </c>
      <c r="G47" s="125"/>
      <c r="H47" s="125"/>
      <c r="I47" s="125">
        <v>9.65</v>
      </c>
      <c r="J47" s="125">
        <v>9</v>
      </c>
      <c r="K47" s="125"/>
      <c r="L47" s="125">
        <v>9.9499999999999993</v>
      </c>
    </row>
    <row r="48" spans="1:12" x14ac:dyDescent="0.35">
      <c r="A48" s="105">
        <v>45</v>
      </c>
      <c r="B48" s="124" t="s">
        <v>90</v>
      </c>
      <c r="C48" s="128" t="s">
        <v>91</v>
      </c>
      <c r="D48" s="128" t="s">
        <v>15</v>
      </c>
      <c r="E48" s="125">
        <v>7.05</v>
      </c>
      <c r="F48" s="125">
        <v>7.6</v>
      </c>
      <c r="G48" s="125">
        <v>8</v>
      </c>
      <c r="H48" s="125">
        <v>7.55</v>
      </c>
      <c r="I48" s="125">
        <v>8.9499999999999993</v>
      </c>
      <c r="J48" s="125">
        <v>9.5</v>
      </c>
      <c r="K48" s="125"/>
      <c r="L48" s="125"/>
    </row>
    <row r="49" spans="1:12" x14ac:dyDescent="0.35">
      <c r="A49" s="105">
        <v>46</v>
      </c>
      <c r="B49" s="124" t="s">
        <v>92</v>
      </c>
      <c r="C49" s="128" t="s">
        <v>93</v>
      </c>
      <c r="D49" s="128" t="s">
        <v>94</v>
      </c>
      <c r="E49" s="125">
        <v>14.5</v>
      </c>
      <c r="F49" s="125">
        <v>14.5</v>
      </c>
      <c r="G49" s="125">
        <v>14.5</v>
      </c>
      <c r="H49" s="125">
        <v>12.75</v>
      </c>
      <c r="I49" s="125">
        <v>14.5</v>
      </c>
      <c r="J49" s="125">
        <v>14.5</v>
      </c>
      <c r="K49" s="125"/>
      <c r="L49" s="125">
        <v>14.5</v>
      </c>
    </row>
    <row r="50" spans="1:12" x14ac:dyDescent="0.35">
      <c r="A50" s="105">
        <v>47</v>
      </c>
      <c r="B50" s="124" t="s">
        <v>95</v>
      </c>
      <c r="C50" s="128"/>
      <c r="D50" s="128" t="s">
        <v>15</v>
      </c>
      <c r="E50" s="125">
        <v>5.24</v>
      </c>
      <c r="F50" s="125"/>
      <c r="G50" s="125">
        <v>5</v>
      </c>
      <c r="H50" s="125">
        <v>4.55</v>
      </c>
      <c r="I50" s="125">
        <v>3.86</v>
      </c>
      <c r="J50" s="125"/>
      <c r="K50" s="125">
        <v>7</v>
      </c>
      <c r="L50" s="125">
        <v>5.75</v>
      </c>
    </row>
    <row r="51" spans="1:12" x14ac:dyDescent="0.35">
      <c r="A51" s="105">
        <v>48</v>
      </c>
      <c r="B51" s="124" t="s">
        <v>95</v>
      </c>
      <c r="C51" s="128"/>
      <c r="D51" s="128" t="s">
        <v>59</v>
      </c>
      <c r="E51" s="125"/>
      <c r="F51" s="125"/>
      <c r="G51" s="125"/>
      <c r="H51" s="125"/>
      <c r="I51" s="125"/>
      <c r="J51" s="125"/>
      <c r="K51" s="125"/>
      <c r="L51" s="125"/>
    </row>
    <row r="52" spans="1:12" x14ac:dyDescent="0.35">
      <c r="A52" s="105">
        <v>49</v>
      </c>
      <c r="B52" s="124" t="s">
        <v>96</v>
      </c>
      <c r="C52" s="128" t="s">
        <v>97</v>
      </c>
      <c r="D52" s="128" t="s">
        <v>15</v>
      </c>
      <c r="E52" s="125">
        <v>10.4</v>
      </c>
      <c r="F52" s="125">
        <v>8.4499999999999993</v>
      </c>
      <c r="G52" s="125">
        <v>9</v>
      </c>
      <c r="H52" s="125">
        <v>9.9499999999999993</v>
      </c>
      <c r="I52" s="125"/>
      <c r="J52" s="125"/>
      <c r="K52" s="125">
        <v>10</v>
      </c>
      <c r="L52" s="125">
        <v>8.75</v>
      </c>
    </row>
    <row r="53" spans="1:12" x14ac:dyDescent="0.35">
      <c r="A53" s="105">
        <v>50</v>
      </c>
      <c r="B53" s="124" t="s">
        <v>96</v>
      </c>
      <c r="C53" s="128"/>
      <c r="D53" s="128" t="s">
        <v>59</v>
      </c>
      <c r="E53" s="125"/>
      <c r="F53" s="125"/>
      <c r="G53" s="125"/>
      <c r="H53" s="125"/>
      <c r="I53" s="125"/>
      <c r="J53" s="125"/>
      <c r="K53" s="125"/>
      <c r="L53" s="125"/>
    </row>
    <row r="54" spans="1:12" x14ac:dyDescent="0.35">
      <c r="A54" s="105">
        <v>51</v>
      </c>
      <c r="B54" s="124" t="s">
        <v>98</v>
      </c>
      <c r="C54" s="128"/>
      <c r="D54" s="128" t="s">
        <v>15</v>
      </c>
      <c r="E54" s="125">
        <v>10.4</v>
      </c>
      <c r="F54" s="125"/>
      <c r="G54" s="125">
        <v>9</v>
      </c>
      <c r="H54" s="125">
        <v>9.9499999999999993</v>
      </c>
      <c r="I54" s="125"/>
      <c r="J54" s="125"/>
      <c r="K54" s="125"/>
      <c r="L54" s="125"/>
    </row>
    <row r="55" spans="1:12" x14ac:dyDescent="0.35">
      <c r="A55" s="105">
        <v>52</v>
      </c>
      <c r="B55" s="124" t="s">
        <v>98</v>
      </c>
      <c r="C55" s="128"/>
      <c r="D55" s="128" t="s">
        <v>59</v>
      </c>
      <c r="E55" s="125"/>
      <c r="F55" s="125"/>
      <c r="G55" s="125"/>
      <c r="H55" s="125"/>
      <c r="I55" s="125"/>
      <c r="J55" s="125"/>
      <c r="K55" s="125"/>
      <c r="L55" s="125"/>
    </row>
    <row r="56" spans="1:12" x14ac:dyDescent="0.35">
      <c r="A56" s="105">
        <v>53</v>
      </c>
      <c r="B56" s="124" t="s">
        <v>99</v>
      </c>
      <c r="C56" s="128" t="s">
        <v>47</v>
      </c>
      <c r="D56" s="128" t="s">
        <v>15</v>
      </c>
      <c r="E56" s="125">
        <v>9.5399999999999991</v>
      </c>
      <c r="F56" s="125"/>
      <c r="G56" s="125">
        <v>8.5</v>
      </c>
      <c r="H56" s="125">
        <v>9.9499999999999993</v>
      </c>
      <c r="I56" s="125"/>
      <c r="J56" s="125"/>
      <c r="K56" s="125"/>
      <c r="L56" s="125">
        <v>10.7</v>
      </c>
    </row>
    <row r="57" spans="1:12" x14ac:dyDescent="0.35">
      <c r="A57" s="105">
        <v>54</v>
      </c>
      <c r="B57" s="124" t="s">
        <v>99</v>
      </c>
      <c r="C57" s="128"/>
      <c r="D57" s="128" t="s">
        <v>59</v>
      </c>
      <c r="E57" s="125"/>
      <c r="F57" s="125"/>
      <c r="G57" s="125"/>
      <c r="H57" s="125"/>
      <c r="I57" s="125"/>
      <c r="J57" s="125"/>
      <c r="K57" s="125"/>
      <c r="L57" s="125"/>
    </row>
    <row r="58" spans="1:12" x14ac:dyDescent="0.35">
      <c r="A58" s="105">
        <v>55</v>
      </c>
      <c r="B58" s="124" t="s">
        <v>100</v>
      </c>
      <c r="C58" s="128"/>
      <c r="D58" s="128" t="s">
        <v>15</v>
      </c>
      <c r="E58" s="125">
        <v>8.0500000000000007</v>
      </c>
      <c r="F58" s="125"/>
      <c r="G58" s="125">
        <v>8</v>
      </c>
      <c r="H58" s="125">
        <v>7.95</v>
      </c>
      <c r="I58" s="125"/>
      <c r="J58" s="125">
        <v>10</v>
      </c>
      <c r="K58" s="125">
        <v>9.5</v>
      </c>
      <c r="L58" s="125">
        <v>8.5</v>
      </c>
    </row>
    <row r="59" spans="1:12" x14ac:dyDescent="0.35">
      <c r="A59" s="105">
        <v>56</v>
      </c>
      <c r="B59" s="124" t="s">
        <v>100</v>
      </c>
      <c r="C59" s="128"/>
      <c r="D59" s="128" t="s">
        <v>59</v>
      </c>
      <c r="E59" s="125"/>
      <c r="F59" s="125"/>
      <c r="G59" s="125"/>
      <c r="H59" s="125"/>
      <c r="I59" s="125"/>
      <c r="J59" s="125"/>
      <c r="K59" s="125"/>
      <c r="L59" s="125"/>
    </row>
    <row r="60" spans="1:12" x14ac:dyDescent="0.35">
      <c r="A60" s="105">
        <v>57</v>
      </c>
      <c r="B60" s="124" t="s">
        <v>101</v>
      </c>
      <c r="C60" s="128"/>
      <c r="D60" s="128" t="s">
        <v>15</v>
      </c>
      <c r="E60" s="125">
        <v>7.66</v>
      </c>
      <c r="F60" s="125">
        <v>8.4</v>
      </c>
      <c r="G60" s="125">
        <v>7</v>
      </c>
      <c r="H60" s="125">
        <v>6.55</v>
      </c>
      <c r="I60" s="125">
        <v>7.5</v>
      </c>
      <c r="J60" s="125">
        <v>7</v>
      </c>
      <c r="K60" s="125">
        <v>8</v>
      </c>
      <c r="L60" s="125">
        <v>8.9499999999999993</v>
      </c>
    </row>
    <row r="61" spans="1:12" x14ac:dyDescent="0.35">
      <c r="A61" s="105">
        <v>57</v>
      </c>
      <c r="B61" s="124" t="s">
        <v>101</v>
      </c>
      <c r="C61" s="128"/>
      <c r="D61" s="128" t="s">
        <v>59</v>
      </c>
      <c r="E61" s="125"/>
      <c r="F61" s="125"/>
      <c r="G61" s="125"/>
      <c r="H61" s="125"/>
      <c r="I61" s="125"/>
      <c r="J61" s="125"/>
      <c r="K61" s="125"/>
      <c r="L61" s="125"/>
    </row>
    <row r="62" spans="1:12" x14ac:dyDescent="0.35">
      <c r="A62" s="105">
        <v>58</v>
      </c>
      <c r="B62" s="124" t="s">
        <v>102</v>
      </c>
      <c r="C62" s="128" t="s">
        <v>103</v>
      </c>
      <c r="D62" s="128" t="s">
        <v>59</v>
      </c>
      <c r="E62" s="125"/>
      <c r="F62" s="125">
        <v>6.3</v>
      </c>
      <c r="G62" s="125"/>
      <c r="H62" s="125"/>
      <c r="I62" s="125"/>
      <c r="J62" s="125">
        <v>5.75</v>
      </c>
      <c r="K62" s="125"/>
      <c r="L62" s="125"/>
    </row>
    <row r="63" spans="1:12" x14ac:dyDescent="0.35">
      <c r="A63" s="105">
        <v>59</v>
      </c>
      <c r="B63" s="124" t="s">
        <v>104</v>
      </c>
      <c r="C63" s="128" t="s">
        <v>103</v>
      </c>
      <c r="D63" s="128" t="s">
        <v>59</v>
      </c>
      <c r="E63" s="125"/>
      <c r="F63" s="125">
        <v>11.5</v>
      </c>
      <c r="G63" s="125"/>
      <c r="H63" s="125"/>
      <c r="I63" s="125">
        <v>12.35</v>
      </c>
      <c r="J63" s="125"/>
      <c r="K63" s="125"/>
      <c r="L63" s="125"/>
    </row>
    <row r="64" spans="1:12" x14ac:dyDescent="0.35">
      <c r="A64" s="105">
        <v>60</v>
      </c>
      <c r="B64" s="124" t="s">
        <v>105</v>
      </c>
      <c r="C64" s="128" t="s">
        <v>103</v>
      </c>
      <c r="D64" s="128" t="s">
        <v>59</v>
      </c>
      <c r="E64" s="125"/>
      <c r="F64" s="125"/>
      <c r="G64" s="125"/>
      <c r="H64" s="125"/>
      <c r="I64" s="125"/>
      <c r="J64" s="125">
        <v>8.85</v>
      </c>
      <c r="K64" s="125"/>
      <c r="L64" s="125"/>
    </row>
    <row r="65" spans="1:12" x14ac:dyDescent="0.35">
      <c r="A65" s="105">
        <v>61</v>
      </c>
      <c r="B65" s="124" t="s">
        <v>106</v>
      </c>
      <c r="C65" s="128" t="s">
        <v>103</v>
      </c>
      <c r="D65" s="128" t="s">
        <v>59</v>
      </c>
      <c r="E65" s="125"/>
      <c r="F65" s="125">
        <v>10.9</v>
      </c>
      <c r="G65" s="125"/>
      <c r="H65" s="125"/>
      <c r="I65" s="125"/>
      <c r="J65" s="125"/>
      <c r="K65" s="125"/>
      <c r="L65" s="125"/>
    </row>
    <row r="66" spans="1:12" x14ac:dyDescent="0.35">
      <c r="A66" s="105">
        <v>62</v>
      </c>
      <c r="B66" s="124" t="s">
        <v>107</v>
      </c>
      <c r="C66" s="128" t="s">
        <v>103</v>
      </c>
      <c r="D66" s="128" t="s">
        <v>59</v>
      </c>
      <c r="E66" s="125"/>
      <c r="F66" s="125">
        <v>10</v>
      </c>
      <c r="G66" s="125"/>
      <c r="H66" s="125"/>
      <c r="I66" s="125"/>
      <c r="J66" s="125">
        <v>7.5</v>
      </c>
      <c r="K66" s="125"/>
      <c r="L66" s="125"/>
    </row>
    <row r="67" spans="1:12" x14ac:dyDescent="0.35">
      <c r="A67" s="105">
        <v>63</v>
      </c>
      <c r="B67" s="124" t="s">
        <v>108</v>
      </c>
      <c r="C67" s="128" t="s">
        <v>103</v>
      </c>
      <c r="D67" s="128" t="s">
        <v>59</v>
      </c>
      <c r="E67" s="125"/>
      <c r="F67" s="125">
        <v>9.35</v>
      </c>
      <c r="G67" s="125"/>
      <c r="H67" s="125"/>
      <c r="I67" s="125"/>
      <c r="J67" s="125"/>
      <c r="K67" s="125"/>
      <c r="L67" s="125"/>
    </row>
    <row r="68" spans="1:12" x14ac:dyDescent="0.35">
      <c r="A68" s="105">
        <v>64</v>
      </c>
      <c r="B68" s="124" t="s">
        <v>109</v>
      </c>
      <c r="C68" s="128" t="s">
        <v>110</v>
      </c>
      <c r="D68" s="128" t="s">
        <v>111</v>
      </c>
      <c r="E68" s="125">
        <v>10.8</v>
      </c>
      <c r="F68" s="125">
        <v>10.8</v>
      </c>
      <c r="G68" s="125">
        <v>13</v>
      </c>
      <c r="H68" s="125"/>
      <c r="I68" s="125">
        <v>11.5</v>
      </c>
      <c r="J68" s="125"/>
      <c r="K68" s="125">
        <v>9</v>
      </c>
      <c r="L68" s="125">
        <v>11.75</v>
      </c>
    </row>
    <row r="69" spans="1:12" x14ac:dyDescent="0.35">
      <c r="A69" s="105">
        <v>65</v>
      </c>
      <c r="B69" s="124" t="s">
        <v>112</v>
      </c>
      <c r="C69" s="128" t="s">
        <v>113</v>
      </c>
      <c r="D69" s="128" t="s">
        <v>51</v>
      </c>
      <c r="E69" s="125">
        <v>7.6</v>
      </c>
      <c r="F69" s="125">
        <v>6.5</v>
      </c>
      <c r="G69" s="125">
        <v>6.95</v>
      </c>
      <c r="H69" s="125"/>
      <c r="I69" s="125">
        <v>7.5</v>
      </c>
      <c r="J69" s="125">
        <v>7</v>
      </c>
      <c r="K69" s="125"/>
      <c r="L69" s="125"/>
    </row>
    <row r="70" spans="1:12" x14ac:dyDescent="0.35">
      <c r="A70" s="105">
        <v>66</v>
      </c>
      <c r="B70" s="124" t="s">
        <v>114</v>
      </c>
      <c r="C70" s="128"/>
      <c r="D70" s="128" t="s">
        <v>15</v>
      </c>
      <c r="E70" s="125"/>
      <c r="F70" s="125">
        <v>3.3</v>
      </c>
      <c r="G70" s="125">
        <v>3.18</v>
      </c>
      <c r="H70" s="125">
        <v>3</v>
      </c>
      <c r="I70" s="125"/>
      <c r="J70" s="125">
        <v>3.5</v>
      </c>
      <c r="K70" s="125">
        <v>4</v>
      </c>
      <c r="L70" s="125">
        <v>4.5</v>
      </c>
    </row>
    <row r="71" spans="1:12" x14ac:dyDescent="0.35">
      <c r="A71" s="105">
        <v>67</v>
      </c>
      <c r="B71" s="124" t="s">
        <v>115</v>
      </c>
      <c r="C71" s="128"/>
      <c r="D71" s="128" t="s">
        <v>15</v>
      </c>
      <c r="E71" s="125">
        <v>5.2</v>
      </c>
      <c r="F71" s="125">
        <v>3.59</v>
      </c>
      <c r="G71" s="125">
        <v>3</v>
      </c>
      <c r="H71" s="125">
        <v>3.5</v>
      </c>
      <c r="I71" s="125"/>
      <c r="J71" s="125">
        <v>3.5</v>
      </c>
      <c r="K71" s="125">
        <v>4</v>
      </c>
      <c r="L71" s="125">
        <v>5</v>
      </c>
    </row>
    <row r="72" spans="1:12" x14ac:dyDescent="0.35">
      <c r="A72" s="105">
        <v>68</v>
      </c>
      <c r="B72" s="124" t="s">
        <v>116</v>
      </c>
      <c r="C72" s="128"/>
      <c r="D72" s="128" t="s">
        <v>15</v>
      </c>
      <c r="E72" s="125"/>
      <c r="F72" s="125"/>
      <c r="G72" s="125"/>
      <c r="H72" s="125"/>
      <c r="I72" s="125">
        <v>11.82</v>
      </c>
      <c r="J72" s="125"/>
      <c r="K72" s="125"/>
      <c r="L72" s="125">
        <v>13</v>
      </c>
    </row>
    <row r="73" spans="1:12" x14ac:dyDescent="0.35">
      <c r="A73" s="105">
        <v>69</v>
      </c>
      <c r="B73" s="124" t="s">
        <v>116</v>
      </c>
      <c r="C73" s="128"/>
      <c r="D73" s="128" t="s">
        <v>40</v>
      </c>
      <c r="E73" s="125"/>
      <c r="F73" s="125"/>
      <c r="G73" s="125"/>
      <c r="H73" s="125"/>
      <c r="I73" s="125"/>
      <c r="J73" s="125"/>
      <c r="K73" s="125"/>
      <c r="L73" s="125"/>
    </row>
    <row r="74" spans="1:12" x14ac:dyDescent="0.35">
      <c r="A74" s="105">
        <v>70</v>
      </c>
      <c r="B74" s="124" t="s">
        <v>117</v>
      </c>
      <c r="C74" s="128" t="s">
        <v>118</v>
      </c>
      <c r="D74" s="128" t="s">
        <v>15</v>
      </c>
      <c r="E74" s="125"/>
      <c r="F74" s="125"/>
      <c r="G74" s="125"/>
      <c r="H74" s="125">
        <v>3.95</v>
      </c>
      <c r="I74" s="125">
        <v>3.86</v>
      </c>
      <c r="J74" s="125">
        <v>5.5</v>
      </c>
      <c r="K74" s="125">
        <v>4.45</v>
      </c>
      <c r="L74" s="125">
        <v>5</v>
      </c>
    </row>
    <row r="75" spans="1:12" x14ac:dyDescent="0.35">
      <c r="A75" s="105">
        <v>71</v>
      </c>
      <c r="B75" s="124" t="s">
        <v>119</v>
      </c>
      <c r="C75" s="128" t="s">
        <v>120</v>
      </c>
      <c r="D75" s="128" t="s">
        <v>81</v>
      </c>
      <c r="E75" s="125"/>
      <c r="F75" s="125"/>
      <c r="G75" s="125"/>
      <c r="H75" s="125"/>
      <c r="I75" s="125">
        <v>25</v>
      </c>
      <c r="J75" s="125"/>
      <c r="K75" s="125"/>
      <c r="L75" s="125"/>
    </row>
    <row r="76" spans="1:12" x14ac:dyDescent="0.35">
      <c r="A76" s="105">
        <v>72</v>
      </c>
      <c r="B76" s="124" t="s">
        <v>121</v>
      </c>
      <c r="C76" s="128" t="s">
        <v>122</v>
      </c>
      <c r="D76" s="128" t="s">
        <v>81</v>
      </c>
      <c r="E76" s="125">
        <v>19.2</v>
      </c>
      <c r="F76" s="125">
        <v>18.399999999999999</v>
      </c>
      <c r="G76" s="125">
        <v>20.95</v>
      </c>
      <c r="H76" s="125">
        <v>20.95</v>
      </c>
      <c r="I76" s="125">
        <v>20.95</v>
      </c>
      <c r="J76" s="125"/>
      <c r="K76" s="125"/>
      <c r="L76" s="125"/>
    </row>
    <row r="77" spans="1:12" x14ac:dyDescent="0.35">
      <c r="A77" s="105">
        <v>73</v>
      </c>
      <c r="B77" s="124" t="s">
        <v>123</v>
      </c>
      <c r="C77" s="128" t="s">
        <v>124</v>
      </c>
      <c r="D77" s="128" t="s">
        <v>125</v>
      </c>
      <c r="E77" s="125"/>
      <c r="F77" s="125">
        <v>4.5</v>
      </c>
      <c r="G77" s="125">
        <v>5</v>
      </c>
      <c r="H77" s="125"/>
      <c r="I77" s="125">
        <v>4.7</v>
      </c>
      <c r="J77" s="125"/>
      <c r="K77" s="125"/>
      <c r="L77" s="125">
        <v>4.95</v>
      </c>
    </row>
    <row r="78" spans="1:12" x14ac:dyDescent="0.35">
      <c r="A78" s="105">
        <v>74</v>
      </c>
      <c r="B78" s="124" t="s">
        <v>123</v>
      </c>
      <c r="C78" s="128" t="s">
        <v>126</v>
      </c>
      <c r="D78" s="128" t="s">
        <v>56</v>
      </c>
      <c r="E78" s="125"/>
      <c r="F78" s="125"/>
      <c r="G78" s="125"/>
      <c r="H78" s="125"/>
      <c r="I78" s="125"/>
      <c r="J78" s="125"/>
      <c r="K78" s="125"/>
      <c r="L78" s="125"/>
    </row>
    <row r="79" spans="1:12" x14ac:dyDescent="0.35">
      <c r="A79" s="105">
        <v>75</v>
      </c>
      <c r="B79" s="124" t="s">
        <v>127</v>
      </c>
      <c r="C79" s="128" t="s">
        <v>128</v>
      </c>
      <c r="D79" s="128" t="s">
        <v>129</v>
      </c>
      <c r="E79" s="125"/>
      <c r="F79" s="125"/>
      <c r="G79" s="125"/>
      <c r="H79" s="125"/>
      <c r="I79" s="125"/>
      <c r="J79" s="125"/>
      <c r="K79" s="125"/>
      <c r="L79" s="125"/>
    </row>
    <row r="80" spans="1:12" x14ac:dyDescent="0.35">
      <c r="A80" s="105">
        <v>76</v>
      </c>
      <c r="B80" s="124" t="s">
        <v>127</v>
      </c>
      <c r="C80" s="128" t="s">
        <v>130</v>
      </c>
      <c r="D80" s="128" t="s">
        <v>129</v>
      </c>
      <c r="E80" s="125">
        <v>155.69999999999999</v>
      </c>
      <c r="F80" s="125">
        <v>158.5</v>
      </c>
      <c r="G80" s="125">
        <v>142.94999999999999</v>
      </c>
      <c r="H80" s="125">
        <v>162.94999999999999</v>
      </c>
      <c r="I80" s="125">
        <v>147.94999999999999</v>
      </c>
      <c r="J80" s="125">
        <v>150</v>
      </c>
      <c r="K80" s="125"/>
      <c r="L80" s="125"/>
    </row>
    <row r="81" spans="1:12" x14ac:dyDescent="0.35">
      <c r="A81" s="105">
        <v>77</v>
      </c>
      <c r="B81" s="124" t="s">
        <v>127</v>
      </c>
      <c r="C81" s="128" t="s">
        <v>131</v>
      </c>
      <c r="D81" s="128" t="s">
        <v>56</v>
      </c>
      <c r="E81" s="125">
        <v>84.15</v>
      </c>
      <c r="F81" s="125">
        <v>82.7</v>
      </c>
      <c r="G81" s="125">
        <v>76.5</v>
      </c>
      <c r="H81" s="125">
        <v>75.95</v>
      </c>
      <c r="I81" s="125">
        <v>89.5</v>
      </c>
      <c r="J81" s="125">
        <v>78.5</v>
      </c>
      <c r="K81" s="125">
        <v>91</v>
      </c>
      <c r="L81" s="125">
        <v>76.75</v>
      </c>
    </row>
    <row r="82" spans="1:12" x14ac:dyDescent="0.35">
      <c r="A82" s="105">
        <v>78</v>
      </c>
      <c r="B82" s="124" t="s">
        <v>132</v>
      </c>
      <c r="C82" s="128" t="s">
        <v>133</v>
      </c>
      <c r="D82" s="128" t="s">
        <v>134</v>
      </c>
      <c r="E82" s="125">
        <v>24.5</v>
      </c>
      <c r="F82" s="125">
        <v>26</v>
      </c>
      <c r="G82" s="125">
        <v>24.5</v>
      </c>
      <c r="H82" s="125">
        <v>22.95</v>
      </c>
      <c r="I82" s="125">
        <v>26</v>
      </c>
      <c r="J82" s="125">
        <v>22.95</v>
      </c>
      <c r="K82" s="125"/>
      <c r="L82" s="125">
        <v>30</v>
      </c>
    </row>
    <row r="83" spans="1:12" x14ac:dyDescent="0.35">
      <c r="A83" s="105">
        <v>79</v>
      </c>
      <c r="B83" s="124" t="s">
        <v>132</v>
      </c>
      <c r="C83" s="128" t="s">
        <v>135</v>
      </c>
      <c r="D83" s="128" t="s">
        <v>134</v>
      </c>
      <c r="E83" s="125"/>
      <c r="F83" s="125">
        <v>28.1</v>
      </c>
      <c r="G83" s="125">
        <v>26.5</v>
      </c>
      <c r="H83" s="125">
        <v>30.55</v>
      </c>
      <c r="I83" s="125"/>
      <c r="J83" s="125">
        <v>27.5</v>
      </c>
      <c r="K83" s="125">
        <v>31</v>
      </c>
      <c r="L83" s="125"/>
    </row>
    <row r="84" spans="1:12" x14ac:dyDescent="0.35">
      <c r="A84" s="105">
        <v>80</v>
      </c>
      <c r="B84" s="124" t="s">
        <v>136</v>
      </c>
      <c r="C84" s="128" t="s">
        <v>137</v>
      </c>
      <c r="D84" s="128" t="s">
        <v>138</v>
      </c>
      <c r="E84" s="125">
        <v>13.45</v>
      </c>
      <c r="F84" s="125">
        <v>12.9</v>
      </c>
      <c r="G84" s="125"/>
      <c r="H84" s="125"/>
      <c r="I84" s="125"/>
      <c r="J84" s="125"/>
      <c r="K84" s="125"/>
      <c r="L84" s="125"/>
    </row>
    <row r="85" spans="1:12" x14ac:dyDescent="0.35">
      <c r="A85" s="105">
        <v>81</v>
      </c>
      <c r="B85" s="124" t="s">
        <v>139</v>
      </c>
      <c r="C85" s="128" t="s">
        <v>140</v>
      </c>
      <c r="D85" s="128" t="s">
        <v>141</v>
      </c>
      <c r="E85" s="125">
        <v>15.5</v>
      </c>
      <c r="F85" s="125">
        <v>15</v>
      </c>
      <c r="G85" s="125">
        <v>14.95</v>
      </c>
      <c r="H85" s="125">
        <v>16.55</v>
      </c>
      <c r="I85" s="125">
        <v>16.5</v>
      </c>
      <c r="J85" s="125">
        <v>14.95</v>
      </c>
      <c r="K85" s="125"/>
      <c r="L85" s="125">
        <v>16.95</v>
      </c>
    </row>
    <row r="86" spans="1:12" x14ac:dyDescent="0.35">
      <c r="A86" s="105">
        <v>82</v>
      </c>
      <c r="B86" s="124" t="s">
        <v>142</v>
      </c>
      <c r="C86" s="128" t="s">
        <v>143</v>
      </c>
      <c r="D86" s="128" t="s">
        <v>144</v>
      </c>
      <c r="E86" s="125">
        <v>22.85</v>
      </c>
      <c r="F86" s="125">
        <v>21.2</v>
      </c>
      <c r="G86" s="125"/>
      <c r="H86" s="125">
        <v>20.95</v>
      </c>
      <c r="I86" s="125">
        <v>18.25</v>
      </c>
      <c r="J86" s="125">
        <v>20</v>
      </c>
      <c r="K86" s="125"/>
      <c r="L86" s="125">
        <v>21.95</v>
      </c>
    </row>
    <row r="87" spans="1:12" x14ac:dyDescent="0.35">
      <c r="A87" s="105">
        <v>83</v>
      </c>
      <c r="B87" s="124" t="s">
        <v>145</v>
      </c>
      <c r="C87" s="128" t="s">
        <v>146</v>
      </c>
      <c r="D87" s="128" t="s">
        <v>147</v>
      </c>
      <c r="E87" s="125">
        <v>16.2</v>
      </c>
      <c r="F87" s="125">
        <v>16.100000000000001</v>
      </c>
      <c r="G87" s="125">
        <v>16.95</v>
      </c>
      <c r="H87" s="125">
        <v>15.95</v>
      </c>
      <c r="I87" s="146">
        <v>18</v>
      </c>
      <c r="J87" s="125">
        <v>18</v>
      </c>
      <c r="K87" s="125">
        <v>18</v>
      </c>
      <c r="L87" s="125">
        <v>18.75</v>
      </c>
    </row>
    <row r="88" spans="1:12" x14ac:dyDescent="0.35">
      <c r="A88" s="105">
        <v>84</v>
      </c>
      <c r="B88" s="124" t="s">
        <v>148</v>
      </c>
      <c r="C88" s="128" t="s">
        <v>149</v>
      </c>
      <c r="D88" s="128" t="s">
        <v>150</v>
      </c>
      <c r="E88" s="125"/>
      <c r="F88" s="125"/>
      <c r="G88" s="125"/>
      <c r="H88" s="125"/>
      <c r="I88" s="125"/>
      <c r="J88" s="125"/>
      <c r="K88" s="125"/>
      <c r="L88" s="125"/>
    </row>
    <row r="89" spans="1:12" x14ac:dyDescent="0.35">
      <c r="A89" s="105">
        <v>85</v>
      </c>
      <c r="B89" s="124" t="s">
        <v>148</v>
      </c>
      <c r="C89" s="128" t="s">
        <v>149</v>
      </c>
      <c r="D89" s="128" t="s">
        <v>129</v>
      </c>
      <c r="E89" s="125">
        <v>40.4</v>
      </c>
      <c r="F89" s="125">
        <v>37.700000000000003</v>
      </c>
      <c r="G89" s="125">
        <v>25.25</v>
      </c>
      <c r="H89" s="125">
        <v>35.549999999999997</v>
      </c>
      <c r="I89" s="125">
        <v>40.5</v>
      </c>
      <c r="J89" s="125">
        <v>36.950000000000003</v>
      </c>
      <c r="K89" s="125"/>
      <c r="L89" s="125">
        <v>38.5</v>
      </c>
    </row>
    <row r="90" spans="1:12" x14ac:dyDescent="0.35">
      <c r="A90" s="105">
        <v>86</v>
      </c>
      <c r="B90" s="124" t="s">
        <v>148</v>
      </c>
      <c r="C90" s="128" t="s">
        <v>149</v>
      </c>
      <c r="D90" s="128" t="s">
        <v>151</v>
      </c>
      <c r="E90" s="125"/>
      <c r="F90" s="125"/>
      <c r="G90" s="125"/>
      <c r="H90" s="125"/>
      <c r="I90" s="125"/>
      <c r="J90" s="125"/>
      <c r="K90" s="125"/>
      <c r="L90" s="125"/>
    </row>
    <row r="91" spans="1:12" x14ac:dyDescent="0.35">
      <c r="A91" s="105">
        <v>87</v>
      </c>
      <c r="B91" s="124" t="s">
        <v>148</v>
      </c>
      <c r="C91" s="128" t="s">
        <v>152</v>
      </c>
      <c r="D91" s="128" t="s">
        <v>150</v>
      </c>
      <c r="E91" s="125"/>
      <c r="F91" s="125"/>
      <c r="G91" s="125"/>
      <c r="H91" s="125"/>
      <c r="I91" s="125"/>
      <c r="J91" s="125"/>
      <c r="K91" s="125"/>
      <c r="L91" s="125"/>
    </row>
    <row r="92" spans="1:12" x14ac:dyDescent="0.35">
      <c r="A92" s="105">
        <v>88</v>
      </c>
      <c r="B92" s="124" t="s">
        <v>148</v>
      </c>
      <c r="C92" s="128" t="s">
        <v>152</v>
      </c>
      <c r="D92" s="128" t="s">
        <v>129</v>
      </c>
      <c r="E92" s="125">
        <v>26.85</v>
      </c>
      <c r="F92" s="125">
        <v>25.05</v>
      </c>
      <c r="G92" s="125">
        <v>19.95</v>
      </c>
      <c r="H92" s="125">
        <v>20.55</v>
      </c>
      <c r="I92" s="125"/>
      <c r="J92" s="125"/>
      <c r="K92" s="125"/>
      <c r="L92" s="125">
        <v>25.5</v>
      </c>
    </row>
    <row r="93" spans="1:12" x14ac:dyDescent="0.35">
      <c r="A93" s="105">
        <v>89</v>
      </c>
      <c r="B93" s="124" t="s">
        <v>154</v>
      </c>
      <c r="C93" s="128" t="s">
        <v>155</v>
      </c>
      <c r="D93" s="128" t="s">
        <v>156</v>
      </c>
      <c r="E93" s="125">
        <v>10.55</v>
      </c>
      <c r="F93" s="125">
        <v>10.1</v>
      </c>
      <c r="G93" s="125">
        <v>9.9499999999999993</v>
      </c>
      <c r="H93" s="125">
        <v>9.85</v>
      </c>
      <c r="I93" s="125">
        <v>9</v>
      </c>
      <c r="J93" s="125">
        <v>10.95</v>
      </c>
      <c r="K93" s="125">
        <v>10</v>
      </c>
      <c r="L93" s="125">
        <v>11.5</v>
      </c>
    </row>
    <row r="94" spans="1:12" x14ac:dyDescent="0.35">
      <c r="A94" s="105">
        <v>90</v>
      </c>
      <c r="B94" s="124" t="s">
        <v>157</v>
      </c>
      <c r="C94" s="128" t="s">
        <v>155</v>
      </c>
      <c r="D94" s="128" t="s">
        <v>158</v>
      </c>
      <c r="E94" s="125">
        <v>10</v>
      </c>
      <c r="F94" s="125">
        <v>8.3000000000000007</v>
      </c>
      <c r="G94" s="125">
        <v>8.4499999999999993</v>
      </c>
      <c r="H94" s="125">
        <v>8.5500000000000007</v>
      </c>
      <c r="I94" s="125">
        <v>9</v>
      </c>
      <c r="J94" s="125">
        <v>9</v>
      </c>
      <c r="K94" s="125">
        <v>10</v>
      </c>
      <c r="L94" s="125">
        <v>9.5</v>
      </c>
    </row>
    <row r="95" spans="1:12" x14ac:dyDescent="0.35">
      <c r="A95" s="105">
        <v>91</v>
      </c>
      <c r="B95" s="124" t="s">
        <v>159</v>
      </c>
      <c r="C95" s="128" t="s">
        <v>155</v>
      </c>
      <c r="D95" s="128" t="s">
        <v>158</v>
      </c>
      <c r="E95" s="125"/>
      <c r="F95" s="125">
        <v>8.3000000000000007</v>
      </c>
      <c r="G95" s="125">
        <v>8.4499999999999993</v>
      </c>
      <c r="H95" s="125">
        <v>8.5500000000000007</v>
      </c>
      <c r="I95" s="125">
        <v>9</v>
      </c>
      <c r="J95" s="125">
        <v>9</v>
      </c>
      <c r="K95" s="125"/>
      <c r="L95" s="125">
        <v>9.5</v>
      </c>
    </row>
    <row r="96" spans="1:12" x14ac:dyDescent="0.35">
      <c r="A96" s="105">
        <v>92</v>
      </c>
      <c r="B96" s="124" t="s">
        <v>160</v>
      </c>
      <c r="C96" s="128" t="s">
        <v>161</v>
      </c>
      <c r="D96" s="128" t="s">
        <v>162</v>
      </c>
      <c r="E96" s="125">
        <v>5.05</v>
      </c>
      <c r="F96" s="125">
        <v>4.95</v>
      </c>
      <c r="G96" s="125">
        <v>5.5</v>
      </c>
      <c r="H96" s="125"/>
      <c r="I96" s="125">
        <v>5.45</v>
      </c>
      <c r="J96" s="125">
        <v>5.25</v>
      </c>
      <c r="K96" s="125">
        <v>7</v>
      </c>
      <c r="L96" s="125"/>
    </row>
    <row r="97" spans="1:12" x14ac:dyDescent="0.35">
      <c r="A97" s="105">
        <v>93</v>
      </c>
      <c r="B97" s="129" t="s">
        <v>163</v>
      </c>
      <c r="C97" s="130" t="s">
        <v>164</v>
      </c>
      <c r="D97" s="130" t="s">
        <v>165</v>
      </c>
      <c r="E97" s="125">
        <v>23.55</v>
      </c>
      <c r="F97" s="125">
        <v>23.5</v>
      </c>
      <c r="G97" s="125">
        <v>22.25</v>
      </c>
      <c r="H97" s="125">
        <v>23.95</v>
      </c>
      <c r="I97" s="125">
        <v>25.5</v>
      </c>
      <c r="J97" s="125">
        <v>25.5</v>
      </c>
      <c r="K97" s="125">
        <v>25.5</v>
      </c>
      <c r="L97" s="125"/>
    </row>
    <row r="98" spans="1:12" x14ac:dyDescent="0.35">
      <c r="A98" s="105">
        <v>94</v>
      </c>
      <c r="B98" s="124" t="s">
        <v>166</v>
      </c>
      <c r="C98" s="128"/>
      <c r="D98" s="128" t="s">
        <v>59</v>
      </c>
      <c r="E98" s="141">
        <v>46.7</v>
      </c>
      <c r="F98" s="125">
        <v>51.95</v>
      </c>
      <c r="G98" s="125">
        <v>52.5</v>
      </c>
      <c r="H98" s="125">
        <v>50.95</v>
      </c>
      <c r="I98" s="141">
        <v>49.95</v>
      </c>
      <c r="J98" s="125">
        <v>52.5</v>
      </c>
      <c r="K98" s="125"/>
      <c r="L98" s="125"/>
    </row>
    <row r="99" spans="1:12" x14ac:dyDescent="0.35">
      <c r="A99" s="105">
        <v>95</v>
      </c>
      <c r="B99" s="124" t="s">
        <v>167</v>
      </c>
      <c r="C99" s="128" t="s">
        <v>168</v>
      </c>
      <c r="D99" s="128" t="s">
        <v>125</v>
      </c>
      <c r="E99" s="125">
        <v>29.95</v>
      </c>
      <c r="F99" s="125">
        <v>29.95</v>
      </c>
      <c r="G99" s="125">
        <v>23</v>
      </c>
      <c r="H99" s="125">
        <v>28.95</v>
      </c>
      <c r="I99" s="125">
        <v>30.5</v>
      </c>
      <c r="J99" s="125"/>
      <c r="K99" s="125"/>
      <c r="L99" s="125"/>
    </row>
    <row r="100" spans="1:12" x14ac:dyDescent="0.35">
      <c r="A100" s="105">
        <v>96</v>
      </c>
      <c r="B100" s="124" t="s">
        <v>169</v>
      </c>
      <c r="C100" s="128"/>
      <c r="D100" s="128" t="s">
        <v>170</v>
      </c>
      <c r="E100" s="125">
        <v>33.4</v>
      </c>
      <c r="F100" s="125">
        <v>32</v>
      </c>
      <c r="G100" s="125">
        <v>38</v>
      </c>
      <c r="H100" s="125"/>
      <c r="I100" s="125">
        <v>34.5</v>
      </c>
      <c r="J100" s="125">
        <v>34.75</v>
      </c>
      <c r="K100" s="125"/>
      <c r="L100" s="125">
        <v>36.25</v>
      </c>
    </row>
    <row r="101" spans="1:12" x14ac:dyDescent="0.35">
      <c r="A101" s="105">
        <v>97</v>
      </c>
      <c r="B101" s="124" t="s">
        <v>171</v>
      </c>
      <c r="C101" s="128" t="s">
        <v>172</v>
      </c>
      <c r="D101" s="128" t="s">
        <v>173</v>
      </c>
      <c r="E101" s="125"/>
      <c r="F101" s="125"/>
      <c r="G101" s="125">
        <v>24.5</v>
      </c>
      <c r="H101" s="125"/>
      <c r="I101" s="125"/>
      <c r="J101" s="125"/>
      <c r="K101" s="125"/>
      <c r="L101" s="125"/>
    </row>
    <row r="102" spans="1:12" x14ac:dyDescent="0.35">
      <c r="A102" s="105">
        <v>98</v>
      </c>
      <c r="B102" s="124" t="s">
        <v>174</v>
      </c>
      <c r="C102" s="128" t="s">
        <v>172</v>
      </c>
      <c r="D102" s="128" t="s">
        <v>175</v>
      </c>
      <c r="E102" s="126">
        <v>27.25</v>
      </c>
      <c r="F102" s="125">
        <v>25.9</v>
      </c>
      <c r="G102" s="126"/>
      <c r="H102" s="126">
        <v>24.95</v>
      </c>
      <c r="I102" s="126">
        <v>25.25</v>
      </c>
      <c r="J102" s="126"/>
      <c r="K102" s="126"/>
      <c r="L102" s="126">
        <v>29.75</v>
      </c>
    </row>
    <row r="103" spans="1:12" x14ac:dyDescent="0.35">
      <c r="A103" s="105">
        <v>99</v>
      </c>
      <c r="B103" s="124" t="s">
        <v>174</v>
      </c>
      <c r="C103" s="128" t="s">
        <v>176</v>
      </c>
      <c r="D103" s="128" t="s">
        <v>177</v>
      </c>
      <c r="E103" s="125">
        <v>24</v>
      </c>
      <c r="F103" s="125">
        <v>22.8</v>
      </c>
      <c r="G103" s="125">
        <v>26</v>
      </c>
      <c r="H103" s="125">
        <v>27.95</v>
      </c>
      <c r="I103" s="125">
        <v>28.5</v>
      </c>
      <c r="J103" s="125"/>
      <c r="K103" s="125"/>
      <c r="L103" s="125"/>
    </row>
    <row r="104" spans="1:12" x14ac:dyDescent="0.35">
      <c r="A104" s="105">
        <v>100</v>
      </c>
      <c r="B104" s="124" t="s">
        <v>178</v>
      </c>
      <c r="C104" s="128" t="s">
        <v>50</v>
      </c>
      <c r="D104" s="128" t="s">
        <v>179</v>
      </c>
      <c r="E104" s="125">
        <v>32.6</v>
      </c>
      <c r="F104" s="125">
        <v>33.049999999999997</v>
      </c>
      <c r="G104" s="125">
        <v>30.25</v>
      </c>
      <c r="H104" s="125">
        <v>36.549999999999997</v>
      </c>
      <c r="I104" s="125">
        <v>36.25</v>
      </c>
      <c r="J104" s="125"/>
      <c r="K104" s="125">
        <v>36.5</v>
      </c>
      <c r="L104" s="125">
        <v>37.75</v>
      </c>
    </row>
    <row r="105" spans="1:12" x14ac:dyDescent="0.35">
      <c r="A105" s="105">
        <v>101</v>
      </c>
      <c r="B105" s="124" t="s">
        <v>178</v>
      </c>
      <c r="C105" s="128" t="s">
        <v>180</v>
      </c>
      <c r="D105" s="128" t="s">
        <v>111</v>
      </c>
      <c r="E105" s="125"/>
      <c r="F105" s="125">
        <v>23.7</v>
      </c>
      <c r="G105" s="125">
        <v>20.5</v>
      </c>
      <c r="H105" s="125"/>
      <c r="I105" s="125"/>
      <c r="J105" s="125"/>
      <c r="K105" s="125"/>
      <c r="L105" s="125"/>
    </row>
    <row r="106" spans="1:12" x14ac:dyDescent="0.35">
      <c r="A106" s="105">
        <v>102</v>
      </c>
      <c r="B106" s="124" t="s">
        <v>181</v>
      </c>
      <c r="C106" s="128" t="s">
        <v>182</v>
      </c>
      <c r="D106" s="128" t="s">
        <v>183</v>
      </c>
      <c r="E106" s="125">
        <v>15.75</v>
      </c>
      <c r="F106" s="125">
        <v>15.1</v>
      </c>
      <c r="G106" s="125">
        <v>11.5</v>
      </c>
      <c r="H106" s="125">
        <v>13.95</v>
      </c>
      <c r="I106" s="125">
        <v>16.95</v>
      </c>
      <c r="J106" s="125"/>
      <c r="K106" s="125">
        <v>16.75</v>
      </c>
      <c r="L106" s="125">
        <v>17.75</v>
      </c>
    </row>
    <row r="107" spans="1:12" x14ac:dyDescent="0.35">
      <c r="A107" s="105">
        <v>103</v>
      </c>
      <c r="B107" s="124" t="s">
        <v>184</v>
      </c>
      <c r="C107" s="128" t="s">
        <v>185</v>
      </c>
      <c r="D107" s="128" t="s">
        <v>65</v>
      </c>
      <c r="E107" s="125">
        <v>4.8499999999999996</v>
      </c>
      <c r="F107" s="125">
        <v>4.3</v>
      </c>
      <c r="G107" s="125">
        <v>4.25</v>
      </c>
      <c r="H107" s="125"/>
      <c r="I107" s="125">
        <v>4.75</v>
      </c>
      <c r="J107" s="125">
        <v>5</v>
      </c>
      <c r="K107" s="125">
        <v>5</v>
      </c>
      <c r="L107" s="125">
        <v>4.95</v>
      </c>
    </row>
    <row r="108" spans="1:12" x14ac:dyDescent="0.35">
      <c r="A108" s="105">
        <v>104</v>
      </c>
      <c r="B108" s="124" t="s">
        <v>184</v>
      </c>
      <c r="C108" s="128" t="s">
        <v>185</v>
      </c>
      <c r="D108" s="128" t="s">
        <v>51</v>
      </c>
      <c r="E108" s="125">
        <v>11.95</v>
      </c>
      <c r="F108" s="125">
        <v>11.45</v>
      </c>
      <c r="G108" s="125">
        <v>12</v>
      </c>
      <c r="H108" s="125">
        <v>13.55</v>
      </c>
      <c r="I108" s="125">
        <v>12.5</v>
      </c>
      <c r="J108" s="125">
        <v>12.5</v>
      </c>
      <c r="K108" s="125">
        <v>14</v>
      </c>
      <c r="L108" s="125">
        <v>13</v>
      </c>
    </row>
    <row r="109" spans="1:12" x14ac:dyDescent="0.35">
      <c r="A109" s="105">
        <v>105</v>
      </c>
      <c r="B109" s="124" t="s">
        <v>186</v>
      </c>
      <c r="C109" s="128" t="s">
        <v>185</v>
      </c>
      <c r="D109" s="128" t="s">
        <v>51</v>
      </c>
      <c r="E109" s="125">
        <v>11.95</v>
      </c>
      <c r="F109" s="125">
        <v>11.45</v>
      </c>
      <c r="G109" s="125">
        <v>12.75</v>
      </c>
      <c r="H109" s="125">
        <v>11.95</v>
      </c>
      <c r="I109" s="125">
        <v>12.5</v>
      </c>
      <c r="J109" s="125">
        <v>12.5</v>
      </c>
      <c r="K109" s="125"/>
      <c r="L109" s="125">
        <v>12.5</v>
      </c>
    </row>
    <row r="110" spans="1:12" x14ac:dyDescent="0.35">
      <c r="A110" s="105">
        <v>106</v>
      </c>
      <c r="B110" s="124" t="s">
        <v>187</v>
      </c>
      <c r="C110" s="128" t="s">
        <v>188</v>
      </c>
      <c r="D110" s="128" t="s">
        <v>189</v>
      </c>
      <c r="E110" s="125">
        <v>12.05</v>
      </c>
      <c r="F110" s="125">
        <v>12.15</v>
      </c>
      <c r="G110" s="125"/>
      <c r="H110" s="125">
        <v>11.95</v>
      </c>
      <c r="I110" s="125">
        <v>14.25</v>
      </c>
      <c r="J110" s="125">
        <v>14.75</v>
      </c>
      <c r="K110" s="125">
        <v>15</v>
      </c>
      <c r="L110" s="125">
        <v>14.75</v>
      </c>
    </row>
    <row r="111" spans="1:12" x14ac:dyDescent="0.35">
      <c r="A111" s="105">
        <v>107</v>
      </c>
      <c r="B111" s="124" t="s">
        <v>274</v>
      </c>
      <c r="C111" s="128" t="s">
        <v>190</v>
      </c>
      <c r="D111" s="128" t="s">
        <v>191</v>
      </c>
      <c r="E111" s="125">
        <v>13.4</v>
      </c>
      <c r="F111" s="125">
        <v>11.95</v>
      </c>
      <c r="G111" s="125">
        <v>11</v>
      </c>
      <c r="H111" s="125">
        <v>13.55</v>
      </c>
      <c r="I111" s="125">
        <v>11.95</v>
      </c>
      <c r="J111" s="125">
        <v>13.95</v>
      </c>
      <c r="K111" s="125"/>
      <c r="L111" s="125">
        <v>11.95</v>
      </c>
    </row>
    <row r="112" spans="1:12" x14ac:dyDescent="0.35">
      <c r="A112" s="105">
        <v>108</v>
      </c>
      <c r="B112" s="124" t="s">
        <v>192</v>
      </c>
      <c r="C112" s="128" t="s">
        <v>188</v>
      </c>
      <c r="D112" s="128" t="s">
        <v>189</v>
      </c>
      <c r="E112" s="125">
        <v>13.55</v>
      </c>
      <c r="F112" s="125">
        <v>11.15</v>
      </c>
      <c r="G112" s="125"/>
      <c r="H112" s="125">
        <v>11.55</v>
      </c>
      <c r="I112" s="125">
        <v>14.25</v>
      </c>
      <c r="J112" s="125">
        <v>14.75</v>
      </c>
      <c r="K112" s="125"/>
      <c r="L112" s="125">
        <v>14.75</v>
      </c>
    </row>
    <row r="113" spans="1:12" x14ac:dyDescent="0.35">
      <c r="A113" s="105">
        <v>109</v>
      </c>
      <c r="B113" s="124" t="s">
        <v>193</v>
      </c>
      <c r="C113" s="128" t="s">
        <v>182</v>
      </c>
      <c r="D113" s="128" t="s">
        <v>125</v>
      </c>
      <c r="E113" s="125"/>
      <c r="F113" s="125">
        <v>17</v>
      </c>
      <c r="G113" s="125"/>
      <c r="H113" s="125"/>
      <c r="I113" s="125"/>
      <c r="J113" s="125"/>
      <c r="K113" s="125"/>
      <c r="L113" s="125"/>
    </row>
    <row r="114" spans="1:12" x14ac:dyDescent="0.35">
      <c r="A114" s="105">
        <v>110</v>
      </c>
      <c r="B114" s="124" t="s">
        <v>194</v>
      </c>
      <c r="C114" s="128" t="s">
        <v>195</v>
      </c>
      <c r="D114" s="128" t="s">
        <v>196</v>
      </c>
      <c r="E114" s="125">
        <v>22.2</v>
      </c>
      <c r="F114" s="125"/>
      <c r="G114" s="125">
        <v>24.5</v>
      </c>
      <c r="H114" s="125"/>
      <c r="I114" s="125">
        <v>25.5</v>
      </c>
      <c r="J114" s="125">
        <v>25.5</v>
      </c>
      <c r="K114" s="125"/>
      <c r="L114" s="125">
        <v>26.5</v>
      </c>
    </row>
    <row r="115" spans="1:12" x14ac:dyDescent="0.35">
      <c r="A115" s="105">
        <v>111</v>
      </c>
      <c r="B115" s="124" t="s">
        <v>197</v>
      </c>
      <c r="C115" s="128" t="s">
        <v>68</v>
      </c>
      <c r="D115" s="128" t="s">
        <v>196</v>
      </c>
      <c r="E115" s="125">
        <v>20.45</v>
      </c>
      <c r="F115" s="125">
        <v>24.1</v>
      </c>
      <c r="G115" s="125">
        <v>21.25</v>
      </c>
      <c r="H115" s="125"/>
      <c r="I115" s="125"/>
      <c r="J115" s="125">
        <v>25.95</v>
      </c>
      <c r="K115" s="125"/>
      <c r="L115" s="125">
        <v>27</v>
      </c>
    </row>
    <row r="116" spans="1:12" x14ac:dyDescent="0.35">
      <c r="A116" s="105">
        <v>112</v>
      </c>
      <c r="B116" s="124" t="s">
        <v>197</v>
      </c>
      <c r="C116" s="128" t="s">
        <v>80</v>
      </c>
      <c r="D116" s="128" t="s">
        <v>198</v>
      </c>
      <c r="E116" s="125"/>
      <c r="F116" s="125"/>
      <c r="G116" s="125"/>
      <c r="H116" s="125"/>
      <c r="I116" s="125"/>
      <c r="J116" s="125"/>
      <c r="K116" s="125"/>
      <c r="L116" s="125"/>
    </row>
    <row r="117" spans="1:12" x14ac:dyDescent="0.35">
      <c r="A117" s="105">
        <v>113</v>
      </c>
      <c r="B117" s="124" t="s">
        <v>199</v>
      </c>
      <c r="C117" s="128" t="s">
        <v>200</v>
      </c>
      <c r="D117" s="128" t="s">
        <v>196</v>
      </c>
      <c r="E117" s="125">
        <v>40.99</v>
      </c>
      <c r="F117" s="125">
        <v>42.2</v>
      </c>
      <c r="G117" s="125"/>
      <c r="H117" s="125"/>
      <c r="I117" s="125"/>
      <c r="J117" s="125"/>
      <c r="K117" s="125"/>
      <c r="L117" s="125"/>
    </row>
    <row r="118" spans="1:12" x14ac:dyDescent="0.35">
      <c r="A118" s="105">
        <v>114</v>
      </c>
      <c r="B118" s="124" t="s">
        <v>201</v>
      </c>
      <c r="C118" s="128" t="s">
        <v>202</v>
      </c>
      <c r="D118" s="128" t="s">
        <v>51</v>
      </c>
      <c r="E118" s="125">
        <v>100</v>
      </c>
      <c r="F118" s="125">
        <v>116</v>
      </c>
      <c r="G118" s="125">
        <v>113.75</v>
      </c>
      <c r="H118" s="125"/>
      <c r="I118" s="125"/>
      <c r="J118" s="125"/>
      <c r="K118" s="125"/>
      <c r="L118" s="125"/>
    </row>
    <row r="119" spans="1:12" x14ac:dyDescent="0.35">
      <c r="A119" s="105">
        <v>115</v>
      </c>
      <c r="B119" s="124" t="s">
        <v>203</v>
      </c>
      <c r="C119" s="128" t="s">
        <v>204</v>
      </c>
      <c r="D119" s="128" t="s">
        <v>205</v>
      </c>
      <c r="E119" s="125">
        <v>12.45</v>
      </c>
      <c r="F119" s="125">
        <v>11.9</v>
      </c>
      <c r="G119" s="125">
        <v>11.95</v>
      </c>
      <c r="H119" s="125">
        <v>12</v>
      </c>
      <c r="I119" s="125">
        <v>12.95</v>
      </c>
      <c r="J119" s="125">
        <v>12</v>
      </c>
      <c r="K119" s="125">
        <v>12</v>
      </c>
      <c r="L119" s="125">
        <v>12</v>
      </c>
    </row>
    <row r="120" spans="1:12" x14ac:dyDescent="0.35">
      <c r="A120" s="105">
        <v>116</v>
      </c>
      <c r="B120" s="124" t="s">
        <v>203</v>
      </c>
      <c r="C120" s="128" t="s">
        <v>277</v>
      </c>
      <c r="D120" s="128" t="s">
        <v>205</v>
      </c>
      <c r="E120" s="125">
        <v>9.6</v>
      </c>
      <c r="F120" s="125">
        <v>9.1999999999999993</v>
      </c>
      <c r="G120" s="125">
        <v>9.9499999999999993</v>
      </c>
      <c r="H120" s="125"/>
      <c r="I120" s="125"/>
      <c r="J120" s="125"/>
      <c r="K120" s="125"/>
      <c r="L120" s="125">
        <v>10.5</v>
      </c>
    </row>
    <row r="121" spans="1:12" x14ac:dyDescent="0.35">
      <c r="A121" s="105">
        <v>117</v>
      </c>
      <c r="B121" s="124" t="s">
        <v>203</v>
      </c>
      <c r="C121" s="128" t="s">
        <v>204</v>
      </c>
      <c r="D121" s="128" t="s">
        <v>206</v>
      </c>
      <c r="E121" s="125">
        <v>26.85</v>
      </c>
      <c r="F121" s="125">
        <v>25.7</v>
      </c>
      <c r="G121" s="125">
        <v>24</v>
      </c>
      <c r="H121" s="125">
        <v>27.95</v>
      </c>
      <c r="I121" s="125">
        <v>27.95</v>
      </c>
      <c r="J121" s="125">
        <v>26</v>
      </c>
      <c r="K121" s="125">
        <v>28</v>
      </c>
      <c r="L121" s="125">
        <v>26</v>
      </c>
    </row>
    <row r="122" spans="1:12" x14ac:dyDescent="0.35">
      <c r="A122" s="105">
        <v>118</v>
      </c>
      <c r="B122" s="124" t="s">
        <v>203</v>
      </c>
      <c r="C122" s="128" t="s">
        <v>277</v>
      </c>
      <c r="D122" s="128" t="s">
        <v>206</v>
      </c>
      <c r="E122" s="125">
        <v>21.2</v>
      </c>
      <c r="F122" s="125"/>
      <c r="G122" s="125"/>
      <c r="H122" s="125"/>
      <c r="I122" s="125"/>
      <c r="J122" s="125"/>
      <c r="K122" s="125"/>
      <c r="L122" s="125">
        <v>22.95</v>
      </c>
    </row>
    <row r="123" spans="1:12" x14ac:dyDescent="0.35">
      <c r="A123" s="105">
        <v>119</v>
      </c>
      <c r="B123" s="124" t="s">
        <v>207</v>
      </c>
      <c r="C123" s="128" t="s">
        <v>204</v>
      </c>
      <c r="D123" s="128" t="s">
        <v>276</v>
      </c>
      <c r="E123" s="125">
        <v>16.3</v>
      </c>
      <c r="F123" s="125">
        <v>15.6</v>
      </c>
      <c r="G123" s="125">
        <v>15</v>
      </c>
      <c r="H123" s="125">
        <v>16.95</v>
      </c>
      <c r="I123" s="125">
        <v>16.95</v>
      </c>
      <c r="J123" s="125">
        <v>16</v>
      </c>
      <c r="K123" s="125">
        <v>17</v>
      </c>
      <c r="L123" s="125">
        <v>16</v>
      </c>
    </row>
    <row r="124" spans="1:12" x14ac:dyDescent="0.35">
      <c r="A124" s="105">
        <v>120</v>
      </c>
      <c r="B124" s="124" t="s">
        <v>207</v>
      </c>
      <c r="C124" s="128" t="s">
        <v>277</v>
      </c>
      <c r="D124" s="128" t="s">
        <v>276</v>
      </c>
      <c r="E124" s="125">
        <v>12.5</v>
      </c>
      <c r="F124" s="125">
        <v>11.95</v>
      </c>
      <c r="G124" s="125"/>
      <c r="H124" s="125"/>
      <c r="I124" s="125"/>
      <c r="J124" s="125"/>
      <c r="K124" s="125"/>
      <c r="L124" s="125">
        <v>13.75</v>
      </c>
    </row>
    <row r="125" spans="1:12" x14ac:dyDescent="0.35">
      <c r="A125" s="105">
        <v>121</v>
      </c>
      <c r="B125" s="124" t="s">
        <v>207</v>
      </c>
      <c r="C125" s="128" t="s">
        <v>204</v>
      </c>
      <c r="D125" s="128" t="s">
        <v>208</v>
      </c>
      <c r="E125" s="125">
        <v>28.75</v>
      </c>
      <c r="F125" s="125">
        <v>27.55</v>
      </c>
      <c r="G125" s="125">
        <v>26.95</v>
      </c>
      <c r="H125" s="125">
        <v>29.95</v>
      </c>
      <c r="I125" s="125">
        <v>30</v>
      </c>
      <c r="J125" s="125">
        <v>29</v>
      </c>
      <c r="K125" s="125">
        <v>30</v>
      </c>
      <c r="L125" s="125">
        <v>29</v>
      </c>
    </row>
    <row r="126" spans="1:12" x14ac:dyDescent="0.35">
      <c r="A126" s="105">
        <v>122</v>
      </c>
      <c r="B126" s="124" t="s">
        <v>209</v>
      </c>
      <c r="C126" s="128" t="s">
        <v>210</v>
      </c>
      <c r="D126" s="128" t="s">
        <v>15</v>
      </c>
      <c r="E126" s="125"/>
      <c r="F126" s="125">
        <v>32.35</v>
      </c>
      <c r="G126" s="125"/>
      <c r="H126" s="125"/>
      <c r="I126" s="125"/>
      <c r="J126" s="125"/>
      <c r="K126" s="125"/>
      <c r="L126" s="125"/>
    </row>
    <row r="127" spans="1:12" x14ac:dyDescent="0.35">
      <c r="A127" s="105">
        <v>123</v>
      </c>
      <c r="B127" s="124" t="s">
        <v>209</v>
      </c>
      <c r="C127" s="128" t="s">
        <v>211</v>
      </c>
      <c r="D127" s="128" t="s">
        <v>212</v>
      </c>
      <c r="E127" s="127"/>
      <c r="F127" s="127"/>
      <c r="G127" s="127"/>
      <c r="H127" s="127"/>
      <c r="I127" s="127"/>
      <c r="J127" s="127"/>
      <c r="K127" s="127"/>
      <c r="L127" s="127"/>
    </row>
    <row r="128" spans="1:12" x14ac:dyDescent="0.35">
      <c r="A128" s="105">
        <v>124</v>
      </c>
      <c r="B128" s="124" t="s">
        <v>213</v>
      </c>
      <c r="C128" s="128" t="s">
        <v>214</v>
      </c>
      <c r="D128" s="128" t="s">
        <v>215</v>
      </c>
      <c r="E128" s="125"/>
      <c r="F128" s="125">
        <v>8.25</v>
      </c>
      <c r="G128" s="125">
        <v>7.95</v>
      </c>
      <c r="H128" s="125"/>
      <c r="I128" s="125"/>
      <c r="J128" s="125"/>
      <c r="K128" s="125">
        <v>9</v>
      </c>
      <c r="L128" s="125"/>
    </row>
    <row r="129" spans="1:12" x14ac:dyDescent="0.35">
      <c r="A129" s="105">
        <v>125</v>
      </c>
      <c r="B129" s="124" t="s">
        <v>216</v>
      </c>
      <c r="C129" s="128" t="s">
        <v>214</v>
      </c>
      <c r="D129" s="128" t="s">
        <v>215</v>
      </c>
      <c r="E129" s="125">
        <v>7.95</v>
      </c>
      <c r="F129" s="125"/>
      <c r="G129" s="125">
        <v>6.25</v>
      </c>
      <c r="H129" s="125">
        <v>7.55</v>
      </c>
      <c r="I129" s="125"/>
      <c r="J129" s="125">
        <v>8.5</v>
      </c>
      <c r="K129" s="125">
        <v>8</v>
      </c>
      <c r="L129" s="125"/>
    </row>
    <row r="130" spans="1:12" x14ac:dyDescent="0.35">
      <c r="A130" s="105">
        <v>126</v>
      </c>
      <c r="B130" s="124" t="s">
        <v>217</v>
      </c>
      <c r="C130" s="128" t="s">
        <v>214</v>
      </c>
      <c r="D130" s="128" t="s">
        <v>215</v>
      </c>
      <c r="E130" s="125"/>
      <c r="F130" s="125"/>
      <c r="G130" s="125">
        <v>6.95</v>
      </c>
      <c r="H130" s="125"/>
      <c r="I130" s="125"/>
      <c r="J130" s="125">
        <v>9.75</v>
      </c>
      <c r="K130" s="125"/>
      <c r="L130" s="125"/>
    </row>
    <row r="131" spans="1:12" x14ac:dyDescent="0.35">
      <c r="A131" s="105">
        <v>127</v>
      </c>
      <c r="B131" s="124" t="s">
        <v>218</v>
      </c>
      <c r="C131" s="128" t="s">
        <v>214</v>
      </c>
      <c r="D131" s="128" t="s">
        <v>215</v>
      </c>
      <c r="E131" s="125"/>
      <c r="F131" s="125"/>
      <c r="G131" s="125"/>
      <c r="H131" s="125"/>
      <c r="I131" s="125"/>
      <c r="J131" s="125"/>
      <c r="K131" s="125"/>
      <c r="L131" s="125"/>
    </row>
    <row r="132" spans="1:12" x14ac:dyDescent="0.35">
      <c r="A132" s="105">
        <v>128</v>
      </c>
      <c r="B132" s="124" t="s">
        <v>219</v>
      </c>
      <c r="C132" s="128" t="s">
        <v>214</v>
      </c>
      <c r="D132" s="128" t="s">
        <v>215</v>
      </c>
      <c r="E132" s="125">
        <v>9.9499999999999993</v>
      </c>
      <c r="F132" s="125">
        <v>9.25</v>
      </c>
      <c r="G132" s="125">
        <v>9.25</v>
      </c>
      <c r="H132" s="125"/>
      <c r="I132" s="125"/>
      <c r="J132" s="125">
        <v>10.5</v>
      </c>
      <c r="K132" s="125"/>
      <c r="L132" s="125"/>
    </row>
    <row r="133" spans="1:12" x14ac:dyDescent="0.35">
      <c r="A133" s="105">
        <v>129</v>
      </c>
      <c r="B133" s="124" t="s">
        <v>220</v>
      </c>
      <c r="C133" s="128" t="s">
        <v>182</v>
      </c>
      <c r="D133" s="128" t="s">
        <v>183</v>
      </c>
      <c r="E133" s="125">
        <v>12.85</v>
      </c>
      <c r="F133" s="125">
        <v>12.3</v>
      </c>
      <c r="G133" s="125">
        <v>8.4499999999999993</v>
      </c>
      <c r="H133" s="125">
        <v>11.95</v>
      </c>
      <c r="I133" s="125">
        <v>11.5</v>
      </c>
      <c r="J133" s="125">
        <v>9.75</v>
      </c>
      <c r="K133" s="125"/>
      <c r="L133" s="125">
        <v>12.95</v>
      </c>
    </row>
    <row r="134" spans="1:12" x14ac:dyDescent="0.35">
      <c r="A134" s="105">
        <v>130</v>
      </c>
      <c r="B134" s="124" t="s">
        <v>221</v>
      </c>
      <c r="C134" s="128" t="s">
        <v>70</v>
      </c>
      <c r="D134" s="128" t="s">
        <v>183</v>
      </c>
      <c r="E134" s="125">
        <v>10.1</v>
      </c>
      <c r="F134" s="125">
        <v>9.65</v>
      </c>
      <c r="G134" s="125">
        <v>10.5</v>
      </c>
      <c r="H134" s="125">
        <v>9.5500000000000007</v>
      </c>
      <c r="I134" s="125">
        <v>10.5</v>
      </c>
      <c r="J134" s="125"/>
      <c r="K134" s="125"/>
      <c r="L134" s="125">
        <v>10.95</v>
      </c>
    </row>
    <row r="135" spans="1:12" x14ac:dyDescent="0.35">
      <c r="A135" s="105">
        <v>131</v>
      </c>
      <c r="B135" s="124" t="s">
        <v>222</v>
      </c>
      <c r="C135" s="128" t="s">
        <v>70</v>
      </c>
      <c r="D135" s="128" t="s">
        <v>223</v>
      </c>
      <c r="E135" s="125">
        <v>11.5</v>
      </c>
      <c r="F135" s="125">
        <v>11</v>
      </c>
      <c r="G135" s="125"/>
      <c r="H135" s="125"/>
      <c r="I135" s="125"/>
      <c r="J135" s="125">
        <v>10.95</v>
      </c>
      <c r="K135" s="125"/>
      <c r="L135" s="125"/>
    </row>
    <row r="136" spans="1:12" x14ac:dyDescent="0.35">
      <c r="A136" s="106">
        <v>132</v>
      </c>
      <c r="B136" s="124" t="s">
        <v>224</v>
      </c>
      <c r="C136" s="128" t="s">
        <v>182</v>
      </c>
      <c r="D136" s="128" t="s">
        <v>225</v>
      </c>
      <c r="E136" s="125">
        <v>14.8</v>
      </c>
      <c r="F136" s="125">
        <v>14.2</v>
      </c>
      <c r="G136" s="125"/>
      <c r="H136" s="125">
        <v>12.55</v>
      </c>
      <c r="I136" s="125">
        <v>19.75</v>
      </c>
      <c r="J136" s="125">
        <v>15.5</v>
      </c>
      <c r="K136" s="125"/>
      <c r="L136" s="125">
        <v>19.5</v>
      </c>
    </row>
    <row r="137" spans="1:12" x14ac:dyDescent="0.35">
      <c r="A137" s="106">
        <v>133</v>
      </c>
      <c r="B137" s="124" t="s">
        <v>226</v>
      </c>
      <c r="C137" s="128"/>
      <c r="D137" s="128" t="s">
        <v>15</v>
      </c>
      <c r="E137" s="125"/>
      <c r="F137" s="125"/>
      <c r="G137" s="125"/>
      <c r="H137" s="125"/>
      <c r="I137" s="125"/>
      <c r="J137" s="125"/>
      <c r="K137" s="125"/>
      <c r="L137" s="125"/>
    </row>
    <row r="138" spans="1:12" x14ac:dyDescent="0.35">
      <c r="A138" s="106">
        <v>134</v>
      </c>
      <c r="B138" s="124" t="s">
        <v>227</v>
      </c>
      <c r="C138" s="128"/>
      <c r="D138" s="128" t="s">
        <v>15</v>
      </c>
      <c r="E138" s="125"/>
      <c r="F138" s="125"/>
      <c r="G138" s="125"/>
      <c r="H138" s="125"/>
      <c r="I138" s="125"/>
      <c r="J138" s="125"/>
      <c r="K138" s="125"/>
      <c r="L138" s="125"/>
    </row>
    <row r="139" spans="1:12" x14ac:dyDescent="0.35">
      <c r="A139" s="106">
        <v>135</v>
      </c>
      <c r="B139" s="124" t="s">
        <v>228</v>
      </c>
      <c r="C139" s="128"/>
      <c r="D139" s="128" t="s">
        <v>15</v>
      </c>
      <c r="E139" s="125"/>
      <c r="F139" s="125"/>
      <c r="G139" s="125"/>
      <c r="H139" s="125"/>
      <c r="I139" s="125"/>
      <c r="J139" s="125"/>
      <c r="K139" s="125"/>
      <c r="L139" s="125"/>
    </row>
    <row r="140" spans="1:12" x14ac:dyDescent="0.35">
      <c r="A140" s="106">
        <v>136</v>
      </c>
      <c r="B140" s="124" t="s">
        <v>229</v>
      </c>
      <c r="C140" s="128"/>
      <c r="D140" s="128" t="s">
        <v>15</v>
      </c>
      <c r="E140" s="125"/>
      <c r="F140" s="125"/>
      <c r="G140" s="125"/>
      <c r="H140" s="125"/>
      <c r="I140" s="125"/>
      <c r="J140" s="125"/>
      <c r="K140" s="125"/>
      <c r="L140" s="125"/>
    </row>
    <row r="141" spans="1:12" x14ac:dyDescent="0.35">
      <c r="A141" s="101"/>
      <c r="B141" s="101"/>
      <c r="C141" s="101"/>
      <c r="D141" s="101"/>
      <c r="E141" s="135"/>
      <c r="F141" s="135"/>
      <c r="G141" s="135"/>
      <c r="H141" s="135"/>
    </row>
    <row r="142" spans="1:12" x14ac:dyDescent="0.35">
      <c r="A142" s="101"/>
      <c r="B142" s="101"/>
      <c r="C142" s="101"/>
      <c r="D142" s="101"/>
      <c r="E142" s="135"/>
      <c r="F142" s="135"/>
      <c r="G142" s="135"/>
      <c r="H142" s="135"/>
    </row>
    <row r="143" spans="1:12" x14ac:dyDescent="0.35">
      <c r="A143" s="101"/>
      <c r="B143" s="101"/>
      <c r="C143" s="101"/>
      <c r="D143" s="101"/>
      <c r="E143" s="135"/>
      <c r="F143" s="135"/>
      <c r="G143" s="135"/>
      <c r="H143" s="135"/>
    </row>
    <row r="144" spans="1:12" x14ac:dyDescent="0.35">
      <c r="A144" s="101"/>
      <c r="B144" s="101"/>
      <c r="C144" s="101"/>
      <c r="D144" s="101"/>
      <c r="E144" s="135"/>
      <c r="F144" s="135"/>
      <c r="G144" s="135"/>
      <c r="H144" s="135"/>
    </row>
    <row r="145" spans="1:8" x14ac:dyDescent="0.35">
      <c r="A145" s="101"/>
      <c r="B145" s="101"/>
      <c r="C145" s="101"/>
      <c r="D145" s="101"/>
      <c r="E145" s="135"/>
      <c r="F145" s="135"/>
      <c r="G145" s="135"/>
      <c r="H145" s="135"/>
    </row>
    <row r="146" spans="1:8" x14ac:dyDescent="0.35">
      <c r="A146" s="101"/>
      <c r="B146" s="101"/>
      <c r="C146" s="101"/>
      <c r="D146" s="101"/>
      <c r="E146" s="135"/>
      <c r="F146" s="135"/>
      <c r="G146" s="135"/>
      <c r="H146" s="135"/>
    </row>
    <row r="147" spans="1:8" x14ac:dyDescent="0.35">
      <c r="A147" s="101"/>
      <c r="B147" s="101"/>
      <c r="C147" s="101"/>
      <c r="D147" s="101"/>
      <c r="E147" s="135"/>
      <c r="F147" s="135"/>
      <c r="G147" s="135"/>
      <c r="H147" s="135"/>
    </row>
    <row r="148" spans="1:8" x14ac:dyDescent="0.35">
      <c r="A148" s="101"/>
      <c r="B148" s="101"/>
      <c r="C148" s="101"/>
      <c r="D148" s="101"/>
      <c r="E148" s="135"/>
      <c r="F148" s="135"/>
      <c r="G148" s="135"/>
      <c r="H148" s="135"/>
    </row>
    <row r="149" spans="1:8" x14ac:dyDescent="0.35">
      <c r="A149" s="101"/>
      <c r="B149" s="101"/>
      <c r="C149" s="101"/>
      <c r="D149" s="101"/>
      <c r="E149" s="135"/>
      <c r="F149" s="135"/>
      <c r="G149" s="135"/>
      <c r="H149" s="135"/>
    </row>
    <row r="150" spans="1:8" x14ac:dyDescent="0.35">
      <c r="A150" s="101"/>
      <c r="B150" s="101"/>
      <c r="C150" s="101"/>
      <c r="D150" s="101"/>
      <c r="E150" s="135"/>
      <c r="F150" s="135"/>
      <c r="G150" s="135"/>
      <c r="H150" s="135"/>
    </row>
    <row r="151" spans="1:8" x14ac:dyDescent="0.35">
      <c r="A151" s="101"/>
      <c r="B151" s="101"/>
      <c r="C151" s="101"/>
      <c r="D151" s="101"/>
      <c r="E151" s="135"/>
      <c r="F151" s="135"/>
      <c r="G151" s="135"/>
      <c r="H151" s="135"/>
    </row>
    <row r="152" spans="1:8" x14ac:dyDescent="0.35">
      <c r="A152" s="101"/>
      <c r="B152" s="101"/>
      <c r="C152" s="101"/>
      <c r="D152" s="101"/>
      <c r="E152" s="135"/>
      <c r="F152" s="135"/>
      <c r="G152" s="135"/>
      <c r="H152" s="135"/>
    </row>
    <row r="153" spans="1:8" x14ac:dyDescent="0.35">
      <c r="A153" s="101"/>
      <c r="B153" s="101"/>
      <c r="C153" s="101"/>
      <c r="D153" s="101"/>
      <c r="E153" s="135"/>
      <c r="F153" s="135"/>
      <c r="G153" s="135"/>
      <c r="H153" s="135"/>
    </row>
    <row r="154" spans="1:8" x14ac:dyDescent="0.35">
      <c r="A154" s="101"/>
      <c r="B154" s="101"/>
      <c r="C154" s="101"/>
      <c r="D154" s="101"/>
      <c r="E154" s="135"/>
      <c r="F154" s="135"/>
      <c r="G154" s="135"/>
      <c r="H154" s="135"/>
    </row>
    <row r="155" spans="1:8" x14ac:dyDescent="0.35">
      <c r="A155" s="101"/>
      <c r="B155" s="101"/>
      <c r="C155" s="101"/>
      <c r="D155" s="101"/>
      <c r="E155" s="135"/>
      <c r="F155" s="135"/>
      <c r="G155" s="135"/>
      <c r="H155" s="135"/>
    </row>
    <row r="156" spans="1:8" x14ac:dyDescent="0.35">
      <c r="A156" s="101"/>
      <c r="B156" s="101"/>
      <c r="C156" s="101"/>
      <c r="D156" s="101"/>
      <c r="E156" s="135"/>
      <c r="F156" s="135"/>
      <c r="G156" s="135"/>
      <c r="H156" s="135"/>
    </row>
    <row r="157" spans="1:8" x14ac:dyDescent="0.35">
      <c r="A157" s="101"/>
      <c r="B157" s="101"/>
      <c r="C157" s="101"/>
      <c r="D157" s="101"/>
      <c r="E157" s="135"/>
      <c r="F157" s="135"/>
      <c r="G157" s="135"/>
      <c r="H157" s="135"/>
    </row>
    <row r="158" spans="1:8" x14ac:dyDescent="0.35">
      <c r="A158" s="101"/>
      <c r="B158" s="101"/>
      <c r="C158" s="101"/>
      <c r="D158" s="101"/>
      <c r="E158" s="135"/>
      <c r="F158" s="135"/>
      <c r="G158" s="135"/>
      <c r="H158" s="135"/>
    </row>
    <row r="159" spans="1:8" x14ac:dyDescent="0.35">
      <c r="A159" s="101"/>
      <c r="B159" s="101"/>
      <c r="C159" s="101"/>
      <c r="D159" s="101"/>
      <c r="E159" s="135"/>
      <c r="F159" s="135"/>
      <c r="G159" s="135"/>
      <c r="H159" s="135"/>
    </row>
    <row r="160" spans="1:8" x14ac:dyDescent="0.35">
      <c r="A160" s="101"/>
      <c r="B160" s="101"/>
      <c r="C160" s="101"/>
      <c r="D160" s="101"/>
      <c r="E160" s="135"/>
      <c r="F160" s="135"/>
      <c r="G160" s="135"/>
      <c r="H160" s="135"/>
    </row>
    <row r="161" spans="1:8" x14ac:dyDescent="0.35">
      <c r="A161" s="101"/>
      <c r="B161" s="101"/>
      <c r="C161" s="101"/>
      <c r="D161" s="101"/>
      <c r="E161" s="135"/>
      <c r="F161" s="135"/>
      <c r="G161" s="135"/>
      <c r="H161" s="135"/>
    </row>
    <row r="162" spans="1:8" x14ac:dyDescent="0.35">
      <c r="A162" s="101"/>
      <c r="B162" s="101"/>
      <c r="C162" s="101"/>
      <c r="D162" s="101"/>
      <c r="E162" s="135"/>
      <c r="F162" s="135"/>
      <c r="G162" s="135"/>
      <c r="H162" s="135"/>
    </row>
    <row r="163" spans="1:8" x14ac:dyDescent="0.35">
      <c r="A163" s="101"/>
      <c r="B163" s="101"/>
      <c r="C163" s="101"/>
      <c r="D163" s="101"/>
      <c r="E163" s="135"/>
      <c r="F163" s="135"/>
      <c r="G163" s="135"/>
      <c r="H163" s="135"/>
    </row>
    <row r="164" spans="1:8" x14ac:dyDescent="0.35">
      <c r="A164" s="101"/>
      <c r="B164" s="101"/>
      <c r="C164" s="101"/>
      <c r="D164" s="101"/>
      <c r="E164" s="135"/>
      <c r="F164" s="135"/>
      <c r="G164" s="135"/>
      <c r="H164" s="135"/>
    </row>
    <row r="165" spans="1:8" x14ac:dyDescent="0.35">
      <c r="A165" s="101"/>
      <c r="B165" s="101"/>
      <c r="C165" s="101"/>
      <c r="D165" s="101"/>
      <c r="E165" s="135"/>
      <c r="F165" s="135"/>
      <c r="G165" s="135"/>
      <c r="H165" s="135"/>
    </row>
    <row r="166" spans="1:8" x14ac:dyDescent="0.35">
      <c r="A166" s="101"/>
      <c r="B166" s="101"/>
      <c r="C166" s="101"/>
      <c r="D166" s="101"/>
      <c r="E166" s="135"/>
      <c r="F166" s="135"/>
      <c r="G166" s="135"/>
      <c r="H166" s="135"/>
    </row>
    <row r="167" spans="1:8" x14ac:dyDescent="0.35">
      <c r="A167" s="101"/>
      <c r="B167" s="101"/>
      <c r="C167" s="101"/>
      <c r="D167" s="101"/>
      <c r="E167" s="135"/>
      <c r="F167" s="135"/>
      <c r="G167" s="135"/>
      <c r="H167" s="135"/>
    </row>
    <row r="168" spans="1:8" x14ac:dyDescent="0.35">
      <c r="A168" s="101"/>
      <c r="B168" s="101"/>
      <c r="C168" s="101"/>
      <c r="D168" s="101"/>
      <c r="E168" s="135"/>
      <c r="F168" s="135"/>
      <c r="G168" s="135"/>
      <c r="H168" s="135"/>
    </row>
    <row r="169" spans="1:8" x14ac:dyDescent="0.35">
      <c r="A169" s="101"/>
      <c r="B169" s="101"/>
      <c r="C169" s="101"/>
      <c r="D169" s="101"/>
      <c r="E169" s="135"/>
      <c r="F169" s="135"/>
      <c r="G169" s="135"/>
      <c r="H169" s="135"/>
    </row>
    <row r="170" spans="1:8" x14ac:dyDescent="0.35">
      <c r="A170" s="101"/>
      <c r="B170" s="101"/>
      <c r="C170" s="101"/>
      <c r="D170" s="101"/>
      <c r="E170" s="135"/>
      <c r="F170" s="135"/>
      <c r="G170" s="135"/>
      <c r="H170" s="135"/>
    </row>
    <row r="171" spans="1:8" x14ac:dyDescent="0.35">
      <c r="A171" s="101"/>
      <c r="B171" s="101"/>
      <c r="C171" s="101"/>
      <c r="D171" s="101"/>
      <c r="E171" s="135"/>
      <c r="F171" s="135"/>
      <c r="G171" s="135"/>
      <c r="H171" s="135"/>
    </row>
    <row r="172" spans="1:8" x14ac:dyDescent="0.35">
      <c r="A172" s="101"/>
      <c r="B172" s="101"/>
      <c r="C172" s="101"/>
      <c r="D172" s="101"/>
      <c r="E172" s="135"/>
      <c r="F172" s="135"/>
      <c r="G172" s="135"/>
      <c r="H172" s="135"/>
    </row>
    <row r="173" spans="1:8" x14ac:dyDescent="0.35">
      <c r="A173" s="101"/>
      <c r="B173" s="101"/>
      <c r="C173" s="101"/>
      <c r="D173" s="101"/>
      <c r="E173" s="135"/>
      <c r="F173" s="135"/>
      <c r="G173" s="135"/>
      <c r="H173" s="135"/>
    </row>
    <row r="174" spans="1:8" x14ac:dyDescent="0.35">
      <c r="A174" s="101"/>
      <c r="B174" s="101"/>
      <c r="C174" s="101"/>
      <c r="D174" s="101"/>
      <c r="E174" s="135"/>
      <c r="F174" s="135"/>
      <c r="G174" s="135"/>
      <c r="H174" s="135"/>
    </row>
    <row r="175" spans="1:8" x14ac:dyDescent="0.35">
      <c r="A175" s="101"/>
      <c r="B175" s="101"/>
      <c r="C175" s="101"/>
      <c r="D175" s="101"/>
      <c r="E175" s="135"/>
      <c r="F175" s="135"/>
      <c r="G175" s="135"/>
      <c r="H175" s="135"/>
    </row>
    <row r="176" spans="1:8" x14ac:dyDescent="0.35">
      <c r="A176" s="101"/>
      <c r="B176" s="101"/>
      <c r="C176" s="101"/>
      <c r="D176" s="101"/>
      <c r="E176" s="135"/>
      <c r="F176" s="135"/>
      <c r="G176" s="135"/>
      <c r="H176" s="135"/>
    </row>
    <row r="177" spans="1:8" x14ac:dyDescent="0.35">
      <c r="A177" s="101"/>
      <c r="B177" s="101"/>
      <c r="C177" s="101"/>
      <c r="D177" s="101"/>
      <c r="E177" s="135"/>
      <c r="F177" s="135"/>
      <c r="G177" s="135"/>
      <c r="H177" s="135"/>
    </row>
    <row r="178" spans="1:8" x14ac:dyDescent="0.35">
      <c r="A178" s="101"/>
      <c r="B178" s="101"/>
      <c r="C178" s="101"/>
      <c r="D178" s="101"/>
      <c r="E178" s="135"/>
      <c r="F178" s="135"/>
      <c r="G178" s="135"/>
      <c r="H178" s="135"/>
    </row>
    <row r="179" spans="1:8" x14ac:dyDescent="0.35">
      <c r="A179" s="101"/>
      <c r="B179" s="101"/>
      <c r="C179" s="101"/>
      <c r="D179" s="101"/>
      <c r="E179" s="135"/>
      <c r="F179" s="135"/>
      <c r="G179" s="135"/>
      <c r="H179" s="135"/>
    </row>
    <row r="180" spans="1:8" x14ac:dyDescent="0.35">
      <c r="A180" s="101"/>
      <c r="B180" s="101"/>
      <c r="C180" s="101"/>
      <c r="D180" s="101"/>
      <c r="E180" s="135"/>
      <c r="F180" s="135"/>
      <c r="G180" s="135"/>
      <c r="H180" s="135"/>
    </row>
    <row r="181" spans="1:8" x14ac:dyDescent="0.35">
      <c r="A181" s="101"/>
      <c r="B181" s="101"/>
      <c r="C181" s="101"/>
      <c r="D181" s="101"/>
      <c r="E181" s="135"/>
      <c r="F181" s="135"/>
      <c r="G181" s="135"/>
      <c r="H181" s="135"/>
    </row>
    <row r="182" spans="1:8" x14ac:dyDescent="0.35">
      <c r="A182" s="101"/>
      <c r="B182" s="101"/>
      <c r="C182" s="101"/>
      <c r="D182" s="101"/>
      <c r="E182" s="135"/>
      <c r="F182" s="135"/>
      <c r="G182" s="135"/>
      <c r="H182" s="135"/>
    </row>
    <row r="183" spans="1:8" x14ac:dyDescent="0.35">
      <c r="A183" s="101"/>
      <c r="B183" s="101"/>
      <c r="C183" s="101"/>
      <c r="D183" s="101"/>
      <c r="E183" s="135"/>
      <c r="F183" s="135"/>
      <c r="G183" s="135"/>
      <c r="H183" s="135"/>
    </row>
    <row r="184" spans="1:8" x14ac:dyDescent="0.35">
      <c r="A184" s="101"/>
      <c r="B184" s="101"/>
      <c r="C184" s="101"/>
      <c r="D184" s="101"/>
      <c r="E184" s="135"/>
      <c r="F184" s="135"/>
      <c r="G184" s="135"/>
      <c r="H184" s="135"/>
    </row>
    <row r="185" spans="1:8" x14ac:dyDescent="0.35">
      <c r="A185" s="101"/>
      <c r="B185" s="101"/>
      <c r="C185" s="101"/>
      <c r="D185" s="101"/>
      <c r="E185" s="135"/>
      <c r="F185" s="135"/>
      <c r="G185" s="135"/>
      <c r="H185" s="135"/>
    </row>
  </sheetData>
  <autoFilter ref="B2:B185"/>
  <sortState ref="A5:J140">
    <sortCondition ref="A5"/>
  </sortState>
  <mergeCells count="2">
    <mergeCell ref="A1:B1"/>
    <mergeCell ref="A3:L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135"/>
  <sheetViews>
    <sheetView workbookViewId="0">
      <selection activeCell="H19" sqref="H19"/>
    </sheetView>
  </sheetViews>
  <sheetFormatPr defaultRowHeight="14.5" x14ac:dyDescent="0.35"/>
  <cols>
    <col min="1" max="1" width="4.54296875" customWidth="1"/>
    <col min="2" max="2" width="31.1796875" customWidth="1"/>
    <col min="3" max="3" width="23" customWidth="1"/>
    <col min="4" max="4" width="9.1796875" customWidth="1"/>
    <col min="5" max="5" width="10.26953125" customWidth="1"/>
    <col min="7" max="7" width="8.81640625" customWidth="1"/>
    <col min="8" max="8" width="10.26953125" customWidth="1"/>
    <col min="12" max="12" width="11.7265625" customWidth="1"/>
    <col min="13" max="13" width="9.81640625" customWidth="1"/>
  </cols>
  <sheetData>
    <row r="1" spans="1:13" x14ac:dyDescent="0.35">
      <c r="A1" s="1"/>
      <c r="B1" s="1"/>
      <c r="C1" s="1"/>
      <c r="D1" s="1"/>
      <c r="E1" s="178" t="s">
        <v>230</v>
      </c>
      <c r="F1" s="179"/>
      <c r="G1" s="179"/>
      <c r="H1" s="179"/>
      <c r="I1" s="179"/>
      <c r="J1" s="179"/>
      <c r="K1" s="179"/>
      <c r="L1" s="179"/>
      <c r="M1" s="180"/>
    </row>
    <row r="2" spans="1:13" x14ac:dyDescent="0.35">
      <c r="A2" s="2"/>
      <c r="B2" s="2"/>
      <c r="C2" s="2"/>
      <c r="D2" s="2"/>
      <c r="E2" s="154" t="s">
        <v>231</v>
      </c>
      <c r="F2" s="154"/>
      <c r="G2" s="181" t="s">
        <v>232</v>
      </c>
      <c r="H2" s="182"/>
      <c r="I2" s="154" t="s">
        <v>234</v>
      </c>
      <c r="J2" s="154"/>
      <c r="K2" s="183" t="s">
        <v>235</v>
      </c>
      <c r="L2" s="184"/>
      <c r="M2" s="18" t="s">
        <v>236</v>
      </c>
    </row>
    <row r="3" spans="1:13" ht="43.5" x14ac:dyDescent="0.35">
      <c r="A3" s="2" t="s">
        <v>5</v>
      </c>
      <c r="B3" s="2" t="s">
        <v>6</v>
      </c>
      <c r="C3" s="2" t="s">
        <v>7</v>
      </c>
      <c r="D3" s="2" t="s">
        <v>8</v>
      </c>
      <c r="E3" s="9" t="s">
        <v>237</v>
      </c>
      <c r="F3" s="9" t="s">
        <v>238</v>
      </c>
      <c r="G3" s="26" t="s">
        <v>239</v>
      </c>
      <c r="H3" s="26" t="s">
        <v>240</v>
      </c>
      <c r="I3" s="9" t="s">
        <v>242</v>
      </c>
      <c r="J3" s="9" t="s">
        <v>243</v>
      </c>
      <c r="K3" s="25" t="s">
        <v>244</v>
      </c>
      <c r="L3" s="25" t="s">
        <v>245</v>
      </c>
      <c r="M3" s="9" t="s">
        <v>246</v>
      </c>
    </row>
    <row r="4" spans="1:13" x14ac:dyDescent="0.35">
      <c r="A4" s="1">
        <v>1</v>
      </c>
      <c r="B4" s="1" t="s">
        <v>13</v>
      </c>
      <c r="C4" s="1" t="s">
        <v>14</v>
      </c>
      <c r="D4" s="1" t="s">
        <v>15</v>
      </c>
      <c r="E4" s="6"/>
      <c r="F4" s="6"/>
      <c r="G4" s="29">
        <f>30/2.2</f>
        <v>13.636363636363635</v>
      </c>
      <c r="H4" s="30"/>
      <c r="I4" s="13"/>
      <c r="J4" s="13"/>
      <c r="K4" s="29">
        <f>33/2.2</f>
        <v>14.999999999999998</v>
      </c>
      <c r="L4" s="29">
        <v>25</v>
      </c>
      <c r="M4" s="6"/>
    </row>
    <row r="5" spans="1:13" x14ac:dyDescent="0.35">
      <c r="A5" s="1">
        <v>2</v>
      </c>
      <c r="B5" s="1" t="s">
        <v>13</v>
      </c>
      <c r="C5" s="1" t="s">
        <v>16</v>
      </c>
      <c r="D5" s="1" t="s">
        <v>15</v>
      </c>
      <c r="E5" s="6">
        <v>16.809999999999999</v>
      </c>
      <c r="F5" s="6">
        <v>15</v>
      </c>
      <c r="G5" s="29"/>
      <c r="H5" s="35">
        <v>16.809999999999999</v>
      </c>
      <c r="I5" s="6">
        <v>15.99</v>
      </c>
      <c r="J5" s="6">
        <v>16.809999999999999</v>
      </c>
      <c r="K5" s="29"/>
      <c r="L5" s="29"/>
      <c r="M5" s="6"/>
    </row>
    <row r="6" spans="1:13" x14ac:dyDescent="0.35">
      <c r="A6" s="1">
        <v>3</v>
      </c>
      <c r="B6" s="1" t="s">
        <v>17</v>
      </c>
      <c r="C6" s="10" t="s">
        <v>18</v>
      </c>
      <c r="D6" s="10" t="s">
        <v>19</v>
      </c>
      <c r="E6" s="6"/>
      <c r="F6" s="6"/>
      <c r="G6" s="29">
        <v>22.95</v>
      </c>
      <c r="H6" s="29"/>
      <c r="I6" s="6"/>
      <c r="J6" s="6"/>
      <c r="K6" s="29">
        <v>20</v>
      </c>
      <c r="L6" s="29">
        <v>20</v>
      </c>
      <c r="M6" s="6">
        <v>23</v>
      </c>
    </row>
    <row r="7" spans="1:13" x14ac:dyDescent="0.35">
      <c r="A7" s="1">
        <v>4</v>
      </c>
      <c r="B7" s="1" t="s">
        <v>20</v>
      </c>
      <c r="C7" s="10" t="s">
        <v>18</v>
      </c>
      <c r="D7" s="10" t="s">
        <v>19</v>
      </c>
      <c r="E7" s="6"/>
      <c r="F7" s="6"/>
      <c r="G7" s="29">
        <v>24</v>
      </c>
      <c r="H7" s="29"/>
      <c r="I7" s="6"/>
      <c r="J7" s="6"/>
      <c r="K7" s="29">
        <v>20</v>
      </c>
      <c r="L7" s="29">
        <v>21</v>
      </c>
      <c r="M7" s="6">
        <v>18</v>
      </c>
    </row>
    <row r="8" spans="1:13" x14ac:dyDescent="0.35">
      <c r="A8" s="1">
        <v>5</v>
      </c>
      <c r="B8" s="1" t="s">
        <v>21</v>
      </c>
      <c r="C8" s="10" t="s">
        <v>18</v>
      </c>
      <c r="D8" s="10" t="s">
        <v>19</v>
      </c>
      <c r="E8" s="6"/>
      <c r="F8" s="6">
        <v>13</v>
      </c>
      <c r="G8" s="29">
        <v>16.95</v>
      </c>
      <c r="H8" s="29"/>
      <c r="I8" s="6">
        <v>13.99</v>
      </c>
      <c r="J8" s="6"/>
      <c r="K8" s="29">
        <v>15</v>
      </c>
      <c r="L8" s="29">
        <v>16</v>
      </c>
      <c r="M8" s="6">
        <v>16</v>
      </c>
    </row>
    <row r="9" spans="1:13" x14ac:dyDescent="0.35">
      <c r="A9" s="1">
        <v>6</v>
      </c>
      <c r="B9" s="1" t="s">
        <v>22</v>
      </c>
      <c r="C9" s="10" t="s">
        <v>18</v>
      </c>
      <c r="D9" s="10" t="s">
        <v>19</v>
      </c>
      <c r="E9" s="6"/>
      <c r="F9" s="6"/>
      <c r="G9" s="29"/>
      <c r="H9" s="29"/>
      <c r="I9" s="6">
        <v>20.99</v>
      </c>
      <c r="J9" s="6"/>
      <c r="K9" s="29">
        <v>20</v>
      </c>
      <c r="L9" s="29">
        <v>21</v>
      </c>
      <c r="M9" s="6"/>
    </row>
    <row r="10" spans="1:13" x14ac:dyDescent="0.35">
      <c r="A10" s="1">
        <v>7</v>
      </c>
      <c r="B10" s="1" t="s">
        <v>23</v>
      </c>
      <c r="C10" s="10" t="s">
        <v>18</v>
      </c>
      <c r="D10" s="10" t="s">
        <v>19</v>
      </c>
      <c r="E10" s="6"/>
      <c r="F10" s="6"/>
      <c r="G10" s="29"/>
      <c r="H10" s="29"/>
      <c r="I10" s="6"/>
      <c r="J10" s="6"/>
      <c r="K10" s="29">
        <v>38</v>
      </c>
      <c r="L10" s="29">
        <v>35</v>
      </c>
      <c r="M10" s="6">
        <v>35</v>
      </c>
    </row>
    <row r="11" spans="1:13" x14ac:dyDescent="0.35">
      <c r="A11" s="1">
        <v>12</v>
      </c>
      <c r="B11" s="1" t="s">
        <v>24</v>
      </c>
      <c r="C11" s="10"/>
      <c r="D11" s="10" t="s">
        <v>15</v>
      </c>
      <c r="E11" s="6">
        <v>15.9</v>
      </c>
      <c r="F11" s="6">
        <v>25.45</v>
      </c>
      <c r="G11" s="29">
        <f>34/2.2</f>
        <v>15.454545454545453</v>
      </c>
      <c r="H11" s="29"/>
      <c r="I11" s="6">
        <v>12.99</v>
      </c>
      <c r="J11" s="6">
        <v>20.41</v>
      </c>
      <c r="K11" s="29"/>
      <c r="L11" s="29">
        <f>43/2.2</f>
        <v>19.545454545454543</v>
      </c>
      <c r="M11" s="6"/>
    </row>
    <row r="12" spans="1:13" x14ac:dyDescent="0.35">
      <c r="A12" s="1">
        <v>13</v>
      </c>
      <c r="B12" s="1" t="s">
        <v>25</v>
      </c>
      <c r="C12" s="10"/>
      <c r="D12" s="10" t="s">
        <v>15</v>
      </c>
      <c r="E12" s="6">
        <v>42.26</v>
      </c>
      <c r="F12" s="6"/>
      <c r="G12" s="29"/>
      <c r="H12" s="29"/>
      <c r="I12" s="6">
        <v>26.99</v>
      </c>
      <c r="J12" s="6">
        <v>31.75</v>
      </c>
      <c r="K12" s="29"/>
      <c r="L12" s="29">
        <f>64/2.2</f>
        <v>29.09090909090909</v>
      </c>
      <c r="M12" s="6"/>
    </row>
    <row r="13" spans="1:13" x14ac:dyDescent="0.35">
      <c r="A13" s="1">
        <v>14</v>
      </c>
      <c r="B13" s="1" t="s">
        <v>26</v>
      </c>
      <c r="C13" s="10"/>
      <c r="D13" s="10" t="s">
        <v>15</v>
      </c>
      <c r="E13" s="6"/>
      <c r="F13" s="6">
        <v>25.89</v>
      </c>
      <c r="G13" s="29"/>
      <c r="H13" s="29"/>
      <c r="I13" s="6">
        <v>22.99</v>
      </c>
      <c r="J13" s="6"/>
      <c r="K13" s="29">
        <f>65/2.2</f>
        <v>29.545454545454543</v>
      </c>
      <c r="L13" s="29">
        <v>28.63</v>
      </c>
      <c r="M13" s="6">
        <v>24</v>
      </c>
    </row>
    <row r="14" spans="1:13" x14ac:dyDescent="0.35">
      <c r="A14" s="1">
        <v>15</v>
      </c>
      <c r="B14" s="1" t="s">
        <v>27</v>
      </c>
      <c r="C14" s="10" t="s">
        <v>28</v>
      </c>
      <c r="D14" s="10" t="s">
        <v>29</v>
      </c>
      <c r="E14" s="6">
        <v>15.75</v>
      </c>
      <c r="F14" s="6">
        <v>15</v>
      </c>
      <c r="G14" s="29">
        <v>14.5</v>
      </c>
      <c r="H14" s="29">
        <v>17.489999999999998</v>
      </c>
      <c r="I14" s="6">
        <v>16.989999999999998</v>
      </c>
      <c r="J14" s="6">
        <v>15.75</v>
      </c>
      <c r="K14" s="29">
        <v>15</v>
      </c>
      <c r="L14" s="30">
        <v>15</v>
      </c>
      <c r="M14" s="6"/>
    </row>
    <row r="15" spans="1:13" x14ac:dyDescent="0.35">
      <c r="A15" s="1">
        <v>16</v>
      </c>
      <c r="B15" s="1" t="s">
        <v>30</v>
      </c>
      <c r="C15" s="10" t="s">
        <v>31</v>
      </c>
      <c r="D15" s="10" t="s">
        <v>15</v>
      </c>
      <c r="E15" s="6"/>
      <c r="F15" s="6"/>
      <c r="G15" s="29"/>
      <c r="H15" s="29"/>
      <c r="I15" s="6"/>
      <c r="J15" s="6">
        <v>27.19</v>
      </c>
      <c r="K15" s="29">
        <f>65/2.2</f>
        <v>29.545454545454543</v>
      </c>
      <c r="L15" s="29">
        <v>25.9</v>
      </c>
      <c r="M15" s="6"/>
    </row>
    <row r="16" spans="1:13" x14ac:dyDescent="0.35">
      <c r="A16" s="1">
        <v>17</v>
      </c>
      <c r="B16" s="1" t="s">
        <v>30</v>
      </c>
      <c r="C16" s="10" t="s">
        <v>32</v>
      </c>
      <c r="D16" s="10" t="s">
        <v>15</v>
      </c>
      <c r="E16" s="6"/>
      <c r="F16" s="6"/>
      <c r="G16" s="29">
        <v>21.81</v>
      </c>
      <c r="H16" s="29"/>
      <c r="I16" s="6">
        <v>29.99</v>
      </c>
      <c r="J16" s="6"/>
      <c r="K16" s="29"/>
      <c r="L16" s="29"/>
      <c r="M16" s="6"/>
    </row>
    <row r="17" spans="1:13" x14ac:dyDescent="0.35">
      <c r="A17" s="1">
        <v>18</v>
      </c>
      <c r="B17" s="1" t="s">
        <v>33</v>
      </c>
      <c r="C17" s="10" t="s">
        <v>31</v>
      </c>
      <c r="D17" s="10" t="s">
        <v>15</v>
      </c>
      <c r="E17" s="6">
        <v>45.43</v>
      </c>
      <c r="F17" s="6">
        <v>42.5</v>
      </c>
      <c r="G17" s="29"/>
      <c r="H17" s="29"/>
      <c r="I17" s="6"/>
      <c r="J17" s="6"/>
      <c r="K17" s="29"/>
      <c r="L17" s="29"/>
      <c r="M17" s="6"/>
    </row>
    <row r="18" spans="1:13" x14ac:dyDescent="0.35">
      <c r="A18" s="1">
        <v>19</v>
      </c>
      <c r="B18" s="1" t="s">
        <v>33</v>
      </c>
      <c r="C18" s="10" t="s">
        <v>32</v>
      </c>
      <c r="D18" s="10" t="s">
        <v>15</v>
      </c>
      <c r="E18" s="6"/>
      <c r="F18" s="6">
        <v>27</v>
      </c>
      <c r="G18" s="29"/>
      <c r="H18" s="29">
        <v>30.95</v>
      </c>
      <c r="I18" s="6">
        <v>29.99</v>
      </c>
      <c r="J18" s="6">
        <v>24.95</v>
      </c>
      <c r="K18" s="29">
        <v>29.5</v>
      </c>
      <c r="L18" s="29">
        <v>25</v>
      </c>
      <c r="M18" s="6"/>
    </row>
    <row r="19" spans="1:13" x14ac:dyDescent="0.35">
      <c r="A19" s="1">
        <v>20</v>
      </c>
      <c r="B19" s="1" t="s">
        <v>34</v>
      </c>
      <c r="C19" s="10"/>
      <c r="D19" s="10" t="s">
        <v>15</v>
      </c>
      <c r="E19" s="6">
        <v>22.66</v>
      </c>
      <c r="F19" s="6">
        <v>20.56</v>
      </c>
      <c r="G19" s="29">
        <v>17.27</v>
      </c>
      <c r="H19" s="29">
        <v>22.7</v>
      </c>
      <c r="I19" s="6">
        <v>18.989999999999998</v>
      </c>
      <c r="J19" s="6">
        <v>22.7</v>
      </c>
      <c r="K19" s="29">
        <f>48/2.2</f>
        <v>21.818181818181817</v>
      </c>
      <c r="L19" s="29"/>
      <c r="M19" s="6">
        <v>19</v>
      </c>
    </row>
    <row r="20" spans="1:13" x14ac:dyDescent="0.35">
      <c r="A20" s="1">
        <v>21</v>
      </c>
      <c r="B20" s="1" t="s">
        <v>35</v>
      </c>
      <c r="C20" s="10" t="s">
        <v>36</v>
      </c>
      <c r="D20" s="10" t="s">
        <v>15</v>
      </c>
      <c r="E20" s="6">
        <v>57.1</v>
      </c>
      <c r="F20" s="6"/>
      <c r="G20" s="29"/>
      <c r="H20" s="29"/>
      <c r="I20" s="6">
        <v>59.99</v>
      </c>
      <c r="J20" s="6">
        <v>57.1</v>
      </c>
      <c r="K20" s="29"/>
      <c r="L20" s="29">
        <v>54.95</v>
      </c>
      <c r="M20" s="6"/>
    </row>
    <row r="21" spans="1:13" x14ac:dyDescent="0.35">
      <c r="A21" s="1">
        <v>22</v>
      </c>
      <c r="B21" s="1" t="s">
        <v>37</v>
      </c>
      <c r="C21" s="10"/>
      <c r="D21" s="10" t="s">
        <v>15</v>
      </c>
      <c r="E21" s="6">
        <v>22.72</v>
      </c>
      <c r="F21" s="6">
        <v>24.2</v>
      </c>
      <c r="G21" s="29">
        <v>18</v>
      </c>
      <c r="H21" s="29">
        <v>22.72</v>
      </c>
      <c r="I21" s="6">
        <v>22.03</v>
      </c>
      <c r="J21" s="6">
        <v>22.68</v>
      </c>
      <c r="K21" s="29">
        <v>23.64</v>
      </c>
      <c r="L21" s="29">
        <v>23.52</v>
      </c>
      <c r="M21" s="6">
        <v>26.81</v>
      </c>
    </row>
    <row r="22" spans="1:13" x14ac:dyDescent="0.35">
      <c r="A22" s="1">
        <v>23</v>
      </c>
      <c r="B22" s="1" t="s">
        <v>38</v>
      </c>
      <c r="C22" s="10" t="s">
        <v>39</v>
      </c>
      <c r="D22" s="10" t="s">
        <v>40</v>
      </c>
      <c r="E22" s="6">
        <v>11.25</v>
      </c>
      <c r="F22" s="6">
        <v>11.5</v>
      </c>
      <c r="G22" s="29">
        <v>8.9499999999999993</v>
      </c>
      <c r="H22" s="29">
        <v>11.25</v>
      </c>
      <c r="I22" s="15">
        <v>10.99</v>
      </c>
      <c r="J22" s="17">
        <v>11.25</v>
      </c>
      <c r="K22" s="29">
        <v>11</v>
      </c>
      <c r="L22" s="29">
        <v>11.25</v>
      </c>
      <c r="M22" s="6">
        <v>13.5</v>
      </c>
    </row>
    <row r="23" spans="1:13" x14ac:dyDescent="0.35">
      <c r="A23" s="1">
        <v>24</v>
      </c>
      <c r="B23" s="1" t="s">
        <v>38</v>
      </c>
      <c r="C23" s="10" t="s">
        <v>41</v>
      </c>
      <c r="D23" s="10" t="s">
        <v>40</v>
      </c>
      <c r="E23" s="6">
        <v>8.59</v>
      </c>
      <c r="F23" s="6">
        <v>8.5</v>
      </c>
      <c r="G23" s="29">
        <v>7.95</v>
      </c>
      <c r="H23" s="29">
        <v>8.59</v>
      </c>
      <c r="I23" s="6">
        <v>8.99</v>
      </c>
      <c r="J23" s="6">
        <v>8.59</v>
      </c>
      <c r="K23" s="29">
        <v>8.5</v>
      </c>
      <c r="L23" s="29">
        <v>9</v>
      </c>
      <c r="M23" s="6">
        <v>9.5</v>
      </c>
    </row>
    <row r="24" spans="1:13" x14ac:dyDescent="0.35">
      <c r="A24" s="1">
        <v>25</v>
      </c>
      <c r="B24" s="1" t="s">
        <v>42</v>
      </c>
      <c r="C24" s="10" t="s">
        <v>43</v>
      </c>
      <c r="D24" s="10" t="s">
        <v>40</v>
      </c>
      <c r="E24" s="31">
        <v>6</v>
      </c>
      <c r="F24" s="6">
        <v>8.5</v>
      </c>
      <c r="G24" s="29">
        <v>7.5</v>
      </c>
      <c r="H24" s="29">
        <v>9.75</v>
      </c>
      <c r="I24" s="15">
        <v>6.99</v>
      </c>
      <c r="J24" s="15">
        <v>6</v>
      </c>
      <c r="K24" s="29">
        <v>8.5</v>
      </c>
      <c r="L24" s="29">
        <v>9.5</v>
      </c>
      <c r="M24" s="6">
        <v>10</v>
      </c>
    </row>
    <row r="25" spans="1:13" x14ac:dyDescent="0.35">
      <c r="A25" s="1">
        <v>26</v>
      </c>
      <c r="B25" s="1" t="s">
        <v>42</v>
      </c>
      <c r="C25" s="10" t="s">
        <v>44</v>
      </c>
      <c r="D25" s="10" t="s">
        <v>45</v>
      </c>
      <c r="E25" s="6">
        <v>21.45</v>
      </c>
      <c r="F25" s="6"/>
      <c r="G25" s="29">
        <v>21.5</v>
      </c>
      <c r="H25" s="29">
        <v>21.45</v>
      </c>
      <c r="I25" s="6">
        <v>26.99</v>
      </c>
      <c r="J25" s="6">
        <v>21.45</v>
      </c>
      <c r="K25" s="29">
        <v>24.25</v>
      </c>
      <c r="L25" s="29"/>
      <c r="M25" s="6">
        <v>27.75</v>
      </c>
    </row>
    <row r="26" spans="1:13" x14ac:dyDescent="0.35">
      <c r="A26" s="1">
        <v>27</v>
      </c>
      <c r="B26" s="1" t="s">
        <v>46</v>
      </c>
      <c r="C26" s="10" t="s">
        <v>47</v>
      </c>
      <c r="D26" s="10" t="s">
        <v>48</v>
      </c>
      <c r="E26" s="6">
        <v>22.49</v>
      </c>
      <c r="F26" s="6">
        <v>20.5</v>
      </c>
      <c r="G26" s="29">
        <v>18</v>
      </c>
      <c r="H26" s="29">
        <v>20.39</v>
      </c>
      <c r="I26" s="15">
        <v>19.989999999999998</v>
      </c>
      <c r="J26" s="6">
        <v>21.99</v>
      </c>
      <c r="K26" s="29">
        <v>22</v>
      </c>
      <c r="L26" s="29">
        <v>21</v>
      </c>
      <c r="M26" s="6">
        <v>25</v>
      </c>
    </row>
    <row r="27" spans="1:13" x14ac:dyDescent="0.35">
      <c r="A27" s="1">
        <v>28</v>
      </c>
      <c r="B27" s="1" t="s">
        <v>49</v>
      </c>
      <c r="C27" s="10" t="s">
        <v>50</v>
      </c>
      <c r="D27" s="10" t="s">
        <v>51</v>
      </c>
      <c r="E27" s="6">
        <v>13.75</v>
      </c>
      <c r="F27" s="6">
        <v>14</v>
      </c>
      <c r="G27" s="30">
        <v>12.5</v>
      </c>
      <c r="H27" s="29">
        <v>12.5</v>
      </c>
      <c r="I27" s="6">
        <v>14.99</v>
      </c>
      <c r="J27" s="6">
        <v>13.75</v>
      </c>
      <c r="K27" s="29">
        <v>13</v>
      </c>
      <c r="L27" s="29">
        <v>11.75</v>
      </c>
      <c r="M27" s="6"/>
    </row>
    <row r="28" spans="1:13" x14ac:dyDescent="0.35">
      <c r="A28" s="1">
        <v>29</v>
      </c>
      <c r="B28" s="1" t="s">
        <v>52</v>
      </c>
      <c r="C28" s="10" t="s">
        <v>53</v>
      </c>
      <c r="D28" s="10" t="s">
        <v>51</v>
      </c>
      <c r="E28" s="6">
        <v>13.25</v>
      </c>
      <c r="F28" s="6">
        <v>12.95</v>
      </c>
      <c r="G28" s="30">
        <v>12.5</v>
      </c>
      <c r="H28" s="29">
        <v>12.5</v>
      </c>
      <c r="I28" s="6">
        <v>13.99</v>
      </c>
      <c r="J28" s="6">
        <v>13.25</v>
      </c>
      <c r="K28" s="29">
        <v>13.75</v>
      </c>
      <c r="L28" s="29">
        <v>13</v>
      </c>
      <c r="M28" s="6">
        <v>14</v>
      </c>
    </row>
    <row r="29" spans="1:13" x14ac:dyDescent="0.35">
      <c r="A29" s="1">
        <v>30</v>
      </c>
      <c r="B29" s="1" t="s">
        <v>54</v>
      </c>
      <c r="C29" s="10" t="s">
        <v>55</v>
      </c>
      <c r="D29" s="10" t="s">
        <v>56</v>
      </c>
      <c r="E29" s="6">
        <v>52.95</v>
      </c>
      <c r="F29" s="6">
        <v>54.25</v>
      </c>
      <c r="G29" s="29">
        <v>52.95</v>
      </c>
      <c r="H29" s="29">
        <v>52.95</v>
      </c>
      <c r="I29" s="6">
        <v>52.95</v>
      </c>
      <c r="J29" s="6">
        <v>52.95</v>
      </c>
      <c r="K29" s="29">
        <v>52.95</v>
      </c>
      <c r="L29" s="29">
        <v>52.95</v>
      </c>
      <c r="M29" s="6">
        <v>53.95</v>
      </c>
    </row>
    <row r="30" spans="1:13" x14ac:dyDescent="0.35">
      <c r="A30" s="1">
        <v>31</v>
      </c>
      <c r="B30" s="1" t="s">
        <v>54</v>
      </c>
      <c r="C30" s="10" t="s">
        <v>55</v>
      </c>
      <c r="D30" s="10" t="s">
        <v>57</v>
      </c>
      <c r="E30" s="6">
        <v>16.5</v>
      </c>
      <c r="F30" s="6"/>
      <c r="G30" s="29">
        <v>16.5</v>
      </c>
      <c r="H30" s="29">
        <v>16.5</v>
      </c>
      <c r="I30" s="6">
        <v>16.5</v>
      </c>
      <c r="J30" s="6">
        <v>16.5</v>
      </c>
      <c r="K30" s="29">
        <v>16.5</v>
      </c>
      <c r="L30" s="29">
        <v>16.5</v>
      </c>
      <c r="M30" s="6"/>
    </row>
    <row r="31" spans="1:13" x14ac:dyDescent="0.35">
      <c r="A31" s="1">
        <v>32</v>
      </c>
      <c r="B31" s="1" t="s">
        <v>58</v>
      </c>
      <c r="C31" s="10" t="s">
        <v>55</v>
      </c>
      <c r="D31" s="10" t="s">
        <v>56</v>
      </c>
      <c r="E31" s="6">
        <v>57.95</v>
      </c>
      <c r="F31" s="6">
        <v>59.5</v>
      </c>
      <c r="G31" s="29">
        <v>57.95</v>
      </c>
      <c r="H31" s="29">
        <v>52.95</v>
      </c>
      <c r="I31" s="15">
        <v>49.99</v>
      </c>
      <c r="J31" s="6">
        <v>57.95</v>
      </c>
      <c r="K31" s="29">
        <v>57.95</v>
      </c>
      <c r="L31" s="29">
        <v>57.95</v>
      </c>
      <c r="M31" s="6">
        <v>58</v>
      </c>
    </row>
    <row r="32" spans="1:13" x14ac:dyDescent="0.35">
      <c r="A32" s="1">
        <v>33</v>
      </c>
      <c r="B32" s="1" t="s">
        <v>58</v>
      </c>
      <c r="C32" s="10" t="s">
        <v>55</v>
      </c>
      <c r="D32" s="10" t="s">
        <v>59</v>
      </c>
      <c r="E32" s="6">
        <v>30.95</v>
      </c>
      <c r="F32" s="6">
        <v>31.75</v>
      </c>
      <c r="G32" s="29">
        <v>30.95</v>
      </c>
      <c r="H32" s="29">
        <v>30.95</v>
      </c>
      <c r="I32" s="6">
        <v>30.99</v>
      </c>
      <c r="J32" s="6">
        <v>30.95</v>
      </c>
      <c r="K32" s="29">
        <v>30.95</v>
      </c>
      <c r="L32" s="29">
        <v>30.95</v>
      </c>
      <c r="M32" s="6"/>
    </row>
    <row r="33" spans="1:13" x14ac:dyDescent="0.35">
      <c r="A33" s="1">
        <v>57</v>
      </c>
      <c r="B33" s="1" t="s">
        <v>60</v>
      </c>
      <c r="C33" s="10" t="s">
        <v>61</v>
      </c>
      <c r="D33" s="10" t="s">
        <v>62</v>
      </c>
      <c r="E33" s="6">
        <v>10</v>
      </c>
      <c r="F33" s="6">
        <v>10.25</v>
      </c>
      <c r="G33" s="29">
        <v>10.5</v>
      </c>
      <c r="H33" s="29">
        <v>10.15</v>
      </c>
      <c r="I33" s="6">
        <v>10.99</v>
      </c>
      <c r="J33" s="6">
        <v>10</v>
      </c>
      <c r="K33" s="29">
        <v>10</v>
      </c>
      <c r="L33" s="29">
        <v>10.35</v>
      </c>
      <c r="M33" s="6">
        <v>10.5</v>
      </c>
    </row>
    <row r="34" spans="1:13" x14ac:dyDescent="0.35">
      <c r="A34" s="1">
        <v>35</v>
      </c>
      <c r="B34" s="1" t="s">
        <v>63</v>
      </c>
      <c r="C34" s="10" t="s">
        <v>64</v>
      </c>
      <c r="D34" s="10" t="s">
        <v>65</v>
      </c>
      <c r="E34" s="6">
        <v>5.6</v>
      </c>
      <c r="F34" s="6">
        <v>6.5</v>
      </c>
      <c r="G34" s="29">
        <v>5.5</v>
      </c>
      <c r="H34" s="29">
        <v>5.6</v>
      </c>
      <c r="I34" s="6">
        <v>5.99</v>
      </c>
      <c r="J34" s="15">
        <v>5.6</v>
      </c>
      <c r="K34" s="29">
        <v>5</v>
      </c>
      <c r="L34" s="29">
        <v>6.25</v>
      </c>
      <c r="M34" s="6">
        <v>6.3</v>
      </c>
    </row>
    <row r="35" spans="1:13" x14ac:dyDescent="0.35">
      <c r="A35" s="1">
        <v>36</v>
      </c>
      <c r="B35" s="1" t="s">
        <v>66</v>
      </c>
      <c r="C35" s="10" t="s">
        <v>50</v>
      </c>
      <c r="D35" s="10" t="s">
        <v>67</v>
      </c>
      <c r="E35" s="31">
        <v>9.99</v>
      </c>
      <c r="F35" s="6">
        <v>12.5</v>
      </c>
      <c r="G35" s="29">
        <v>10.5</v>
      </c>
      <c r="H35" s="29">
        <v>11.15</v>
      </c>
      <c r="I35" s="15">
        <v>10.99</v>
      </c>
      <c r="J35" s="15">
        <v>9.99</v>
      </c>
      <c r="K35" s="29">
        <v>12.5</v>
      </c>
      <c r="L35" s="29">
        <v>10</v>
      </c>
      <c r="M35" s="6">
        <v>12.6</v>
      </c>
    </row>
    <row r="36" spans="1:13" x14ac:dyDescent="0.35">
      <c r="A36" s="1">
        <v>37</v>
      </c>
      <c r="B36" s="1" t="s">
        <v>66</v>
      </c>
      <c r="C36" s="10" t="s">
        <v>68</v>
      </c>
      <c r="D36" s="10" t="s">
        <v>67</v>
      </c>
      <c r="E36" s="6">
        <v>6.99</v>
      </c>
      <c r="F36" s="6">
        <v>7</v>
      </c>
      <c r="G36" s="29">
        <v>6.95</v>
      </c>
      <c r="H36" s="29">
        <v>6.99</v>
      </c>
      <c r="I36" s="6">
        <v>7.49</v>
      </c>
      <c r="J36" s="6">
        <v>6.99</v>
      </c>
      <c r="K36" s="29"/>
      <c r="L36" s="29">
        <v>6.95</v>
      </c>
      <c r="M36" s="6"/>
    </row>
    <row r="37" spans="1:13" x14ac:dyDescent="0.35">
      <c r="A37" s="1">
        <v>38</v>
      </c>
      <c r="B37" s="1" t="s">
        <v>69</v>
      </c>
      <c r="C37" s="10" t="s">
        <v>70</v>
      </c>
      <c r="D37" s="10" t="s">
        <v>59</v>
      </c>
      <c r="E37" s="6">
        <v>4.95</v>
      </c>
      <c r="F37" s="6">
        <v>4.95</v>
      </c>
      <c r="G37" s="29">
        <v>4.75</v>
      </c>
      <c r="H37" s="29">
        <v>4.95</v>
      </c>
      <c r="I37" s="6">
        <v>4.99</v>
      </c>
      <c r="J37" s="6">
        <v>4.95</v>
      </c>
      <c r="K37" s="29">
        <v>5</v>
      </c>
      <c r="L37" s="29">
        <v>4.95</v>
      </c>
      <c r="M37" s="6">
        <v>5</v>
      </c>
    </row>
    <row r="38" spans="1:13" x14ac:dyDescent="0.35">
      <c r="A38" s="1">
        <v>39</v>
      </c>
      <c r="B38" s="1" t="s">
        <v>71</v>
      </c>
      <c r="C38" s="10" t="s">
        <v>70</v>
      </c>
      <c r="D38" s="10" t="s">
        <v>59</v>
      </c>
      <c r="E38" s="6">
        <v>6.5</v>
      </c>
      <c r="F38" s="6">
        <v>6.5</v>
      </c>
      <c r="G38" s="29"/>
      <c r="H38" s="29">
        <v>5.25</v>
      </c>
      <c r="I38" s="6">
        <v>6.99</v>
      </c>
      <c r="J38" s="6">
        <v>6.5</v>
      </c>
      <c r="K38" s="29">
        <v>6.5</v>
      </c>
      <c r="L38" s="29">
        <v>6.5</v>
      </c>
      <c r="M38" s="6"/>
    </row>
    <row r="39" spans="1:13" x14ac:dyDescent="0.35">
      <c r="A39" s="1">
        <v>40</v>
      </c>
      <c r="B39" s="1" t="s">
        <v>72</v>
      </c>
      <c r="C39" s="10" t="s">
        <v>73</v>
      </c>
      <c r="D39" s="10" t="s">
        <v>15</v>
      </c>
      <c r="E39" s="6">
        <v>11.35</v>
      </c>
      <c r="F39" s="6">
        <v>12.5</v>
      </c>
      <c r="G39" s="29">
        <v>11.5</v>
      </c>
      <c r="H39" s="29">
        <v>11.35</v>
      </c>
      <c r="I39" s="6">
        <v>11.99</v>
      </c>
      <c r="J39" s="6">
        <v>11.35</v>
      </c>
      <c r="K39" s="29">
        <v>13</v>
      </c>
      <c r="L39" s="29">
        <v>11.3</v>
      </c>
      <c r="M39" s="6"/>
    </row>
    <row r="40" spans="1:13" x14ac:dyDescent="0.35">
      <c r="A40" s="1">
        <v>41</v>
      </c>
      <c r="B40" s="1" t="s">
        <v>74</v>
      </c>
      <c r="C40" s="10" t="s">
        <v>75</v>
      </c>
      <c r="D40" s="10" t="s">
        <v>76</v>
      </c>
      <c r="E40" s="6">
        <v>12.95</v>
      </c>
      <c r="F40" s="6">
        <v>13.25</v>
      </c>
      <c r="G40" s="29">
        <v>12.5</v>
      </c>
      <c r="H40" s="29">
        <v>12.95</v>
      </c>
      <c r="I40" s="6">
        <v>12.99</v>
      </c>
      <c r="J40" s="6">
        <v>12.95</v>
      </c>
      <c r="K40" s="29">
        <v>13</v>
      </c>
      <c r="L40" s="29">
        <v>13</v>
      </c>
      <c r="M40" s="6">
        <v>13.95</v>
      </c>
    </row>
    <row r="41" spans="1:13" x14ac:dyDescent="0.35">
      <c r="A41" s="1">
        <v>42</v>
      </c>
      <c r="B41" s="1" t="s">
        <v>77</v>
      </c>
      <c r="C41" s="10" t="s">
        <v>75</v>
      </c>
      <c r="D41" s="10" t="s">
        <v>78</v>
      </c>
      <c r="E41" s="6">
        <v>63</v>
      </c>
      <c r="F41" s="6">
        <v>63</v>
      </c>
      <c r="G41" s="29">
        <v>59.95</v>
      </c>
      <c r="H41" s="29"/>
      <c r="I41" s="6">
        <v>63.99</v>
      </c>
      <c r="J41" s="6">
        <v>63</v>
      </c>
      <c r="K41" s="29">
        <v>60</v>
      </c>
      <c r="L41" s="29">
        <v>63</v>
      </c>
      <c r="M41" s="6">
        <v>65</v>
      </c>
    </row>
    <row r="42" spans="1:13" x14ac:dyDescent="0.35">
      <c r="A42" s="1">
        <v>43</v>
      </c>
      <c r="B42" s="1" t="s">
        <v>79</v>
      </c>
      <c r="C42" s="10" t="s">
        <v>80</v>
      </c>
      <c r="D42" s="10" t="s">
        <v>81</v>
      </c>
      <c r="E42" s="6">
        <v>19.5</v>
      </c>
      <c r="F42" s="6"/>
      <c r="G42" s="29">
        <v>19.95</v>
      </c>
      <c r="H42" s="29">
        <v>19.989999999999998</v>
      </c>
      <c r="I42" s="6">
        <v>19.989999999999998</v>
      </c>
      <c r="J42" s="6">
        <v>19.5</v>
      </c>
      <c r="K42" s="29">
        <v>18</v>
      </c>
      <c r="L42" s="29">
        <v>21</v>
      </c>
      <c r="M42" s="6"/>
    </row>
    <row r="43" spans="1:13" x14ac:dyDescent="0.35">
      <c r="A43" s="1">
        <v>44</v>
      </c>
      <c r="B43" s="1" t="s">
        <v>79</v>
      </c>
      <c r="C43" s="10" t="s">
        <v>82</v>
      </c>
      <c r="D43" s="10" t="s">
        <v>76</v>
      </c>
      <c r="E43" s="6"/>
      <c r="F43" s="6">
        <v>19.25</v>
      </c>
      <c r="G43" s="29"/>
      <c r="H43" s="29"/>
      <c r="I43" s="6">
        <v>22.99</v>
      </c>
      <c r="J43" s="15">
        <v>22.5</v>
      </c>
      <c r="K43" s="29"/>
      <c r="L43" s="29"/>
      <c r="M43" s="6"/>
    </row>
    <row r="44" spans="1:13" x14ac:dyDescent="0.35">
      <c r="A44" s="1">
        <v>45</v>
      </c>
      <c r="B44" s="1" t="s">
        <v>79</v>
      </c>
      <c r="C44" s="10" t="s">
        <v>82</v>
      </c>
      <c r="D44" s="10" t="s">
        <v>83</v>
      </c>
      <c r="E44" s="6"/>
      <c r="F44" s="6">
        <v>9.75</v>
      </c>
      <c r="G44" s="29"/>
      <c r="H44" s="29"/>
      <c r="I44" s="6"/>
      <c r="J44" s="6"/>
      <c r="K44" s="29"/>
      <c r="L44" s="29"/>
      <c r="M44" s="6">
        <v>10</v>
      </c>
    </row>
    <row r="45" spans="1:13" x14ac:dyDescent="0.35">
      <c r="A45" s="1">
        <v>46</v>
      </c>
      <c r="B45" s="1" t="s">
        <v>84</v>
      </c>
      <c r="C45" s="10" t="s">
        <v>85</v>
      </c>
      <c r="D45" s="10" t="s">
        <v>86</v>
      </c>
      <c r="E45" s="6"/>
      <c r="F45" s="6"/>
      <c r="G45" s="29">
        <v>3.95</v>
      </c>
      <c r="H45" s="29">
        <v>3.99</v>
      </c>
      <c r="I45" s="6">
        <v>3.99</v>
      </c>
      <c r="J45" s="6">
        <v>3.99</v>
      </c>
      <c r="K45" s="29">
        <v>4.8</v>
      </c>
      <c r="L45" s="29">
        <v>4</v>
      </c>
      <c r="M45" s="6"/>
    </row>
    <row r="46" spans="1:13" x14ac:dyDescent="0.35">
      <c r="A46" s="1">
        <v>47</v>
      </c>
      <c r="B46" s="1" t="s">
        <v>87</v>
      </c>
      <c r="C46" s="10" t="s">
        <v>88</v>
      </c>
      <c r="D46" s="10" t="s">
        <v>89</v>
      </c>
      <c r="E46" s="6">
        <v>7.49</v>
      </c>
      <c r="F46" s="6">
        <v>7.25</v>
      </c>
      <c r="G46" s="29">
        <v>6.95</v>
      </c>
      <c r="H46" s="29">
        <v>6.95</v>
      </c>
      <c r="I46" s="6">
        <v>7.49</v>
      </c>
      <c r="J46" s="6">
        <v>7.49</v>
      </c>
      <c r="K46" s="29">
        <v>7</v>
      </c>
      <c r="L46" s="29">
        <v>7.25</v>
      </c>
      <c r="M46" s="6">
        <v>7.5</v>
      </c>
    </row>
    <row r="47" spans="1:13" x14ac:dyDescent="0.35">
      <c r="A47" s="1">
        <v>48</v>
      </c>
      <c r="B47" s="1" t="s">
        <v>90</v>
      </c>
      <c r="C47" s="10" t="s">
        <v>91</v>
      </c>
      <c r="D47" s="10" t="s">
        <v>15</v>
      </c>
      <c r="E47" s="6">
        <v>5.99</v>
      </c>
      <c r="F47" s="6">
        <v>6.75</v>
      </c>
      <c r="G47" s="29">
        <v>6.25</v>
      </c>
      <c r="H47" s="29">
        <v>6.74</v>
      </c>
      <c r="I47" s="15">
        <v>5.99</v>
      </c>
      <c r="J47" s="6">
        <v>6.74</v>
      </c>
      <c r="K47" s="29">
        <v>8</v>
      </c>
      <c r="L47" s="29">
        <v>6.5</v>
      </c>
      <c r="M47" s="6">
        <v>8</v>
      </c>
    </row>
    <row r="48" spans="1:13" x14ac:dyDescent="0.35">
      <c r="A48" s="1">
        <v>49</v>
      </c>
      <c r="B48" s="1" t="s">
        <v>92</v>
      </c>
      <c r="C48" s="10" t="s">
        <v>93</v>
      </c>
      <c r="D48" s="10" t="s">
        <v>94</v>
      </c>
      <c r="E48" s="6">
        <v>13</v>
      </c>
      <c r="F48" s="6">
        <v>13</v>
      </c>
      <c r="G48" s="29">
        <v>13</v>
      </c>
      <c r="H48" s="29">
        <v>13</v>
      </c>
      <c r="I48" s="6">
        <v>12.99</v>
      </c>
      <c r="J48" s="6">
        <v>13</v>
      </c>
      <c r="K48" s="29">
        <v>13</v>
      </c>
      <c r="L48" s="29">
        <v>13</v>
      </c>
      <c r="M48" s="6">
        <v>13</v>
      </c>
    </row>
    <row r="49" spans="1:13" x14ac:dyDescent="0.35">
      <c r="A49" s="1">
        <v>50</v>
      </c>
      <c r="B49" s="1" t="s">
        <v>95</v>
      </c>
      <c r="C49" s="10"/>
      <c r="D49" s="10" t="s">
        <v>15</v>
      </c>
      <c r="E49" s="6"/>
      <c r="F49" s="6"/>
      <c r="G49" s="29"/>
      <c r="H49" s="29"/>
      <c r="I49" s="6"/>
      <c r="J49" s="6"/>
      <c r="K49" s="29"/>
      <c r="L49" s="29"/>
      <c r="M49" s="6"/>
    </row>
    <row r="50" spans="1:13" x14ac:dyDescent="0.35">
      <c r="A50" s="1">
        <v>51</v>
      </c>
      <c r="B50" s="1" t="s">
        <v>95</v>
      </c>
      <c r="C50" s="10"/>
      <c r="D50" s="10" t="s">
        <v>59</v>
      </c>
      <c r="E50" s="6">
        <v>5.85</v>
      </c>
      <c r="F50" s="6"/>
      <c r="G50" s="29"/>
      <c r="H50" s="29">
        <v>5.45</v>
      </c>
      <c r="I50" s="6">
        <v>4.99</v>
      </c>
      <c r="J50" s="6">
        <v>5.45</v>
      </c>
      <c r="K50" s="29">
        <v>7</v>
      </c>
      <c r="L50" s="29"/>
      <c r="M50" s="6">
        <v>4.5</v>
      </c>
    </row>
    <row r="51" spans="1:13" x14ac:dyDescent="0.35">
      <c r="A51" s="1">
        <v>52</v>
      </c>
      <c r="B51" s="1" t="s">
        <v>96</v>
      </c>
      <c r="C51" s="10" t="s">
        <v>97</v>
      </c>
      <c r="D51" s="10" t="s">
        <v>15</v>
      </c>
      <c r="E51" s="6"/>
      <c r="F51" s="6"/>
      <c r="G51" s="29"/>
      <c r="H51" s="29"/>
      <c r="I51" s="6"/>
      <c r="J51" s="6"/>
      <c r="K51" s="29"/>
      <c r="L51" s="29"/>
      <c r="M51" s="6"/>
    </row>
    <row r="52" spans="1:13" x14ac:dyDescent="0.35">
      <c r="A52" s="1">
        <v>53</v>
      </c>
      <c r="B52" s="1" t="s">
        <v>96</v>
      </c>
      <c r="C52" s="10"/>
      <c r="D52" s="10" t="s">
        <v>59</v>
      </c>
      <c r="E52" s="6">
        <v>11.95</v>
      </c>
      <c r="F52" s="6">
        <v>12.75</v>
      </c>
      <c r="G52" s="29"/>
      <c r="H52" s="29">
        <v>11.95</v>
      </c>
      <c r="I52" s="6">
        <v>9.99</v>
      </c>
      <c r="J52" s="6">
        <v>11.95</v>
      </c>
      <c r="K52" s="29">
        <v>9</v>
      </c>
      <c r="L52" s="29"/>
      <c r="M52" s="6">
        <v>12</v>
      </c>
    </row>
    <row r="53" spans="1:13" x14ac:dyDescent="0.35">
      <c r="A53" s="1">
        <v>54</v>
      </c>
      <c r="B53" s="1" t="s">
        <v>98</v>
      </c>
      <c r="C53" s="10"/>
      <c r="D53" s="10" t="s">
        <v>15</v>
      </c>
      <c r="E53" s="6"/>
      <c r="F53" s="6"/>
      <c r="G53" s="29"/>
      <c r="H53" s="29"/>
      <c r="I53" s="6"/>
      <c r="J53" s="6"/>
      <c r="K53" s="29"/>
      <c r="L53" s="29"/>
      <c r="M53" s="6"/>
    </row>
    <row r="54" spans="1:13" x14ac:dyDescent="0.35">
      <c r="A54" s="1">
        <v>55</v>
      </c>
      <c r="B54" s="1" t="s">
        <v>98</v>
      </c>
      <c r="C54" s="10"/>
      <c r="D54" s="10" t="s">
        <v>59</v>
      </c>
      <c r="E54" s="6">
        <v>10</v>
      </c>
      <c r="F54" s="6"/>
      <c r="G54" s="29"/>
      <c r="H54" s="29">
        <v>10</v>
      </c>
      <c r="I54" s="6">
        <v>8.99</v>
      </c>
      <c r="J54" s="6">
        <v>10</v>
      </c>
      <c r="K54" s="29">
        <v>8</v>
      </c>
      <c r="L54" s="29"/>
      <c r="M54" s="6">
        <v>11.5</v>
      </c>
    </row>
    <row r="55" spans="1:13" x14ac:dyDescent="0.35">
      <c r="A55" s="1">
        <v>56</v>
      </c>
      <c r="B55" s="1" t="s">
        <v>99</v>
      </c>
      <c r="C55" s="10" t="s">
        <v>47</v>
      </c>
      <c r="D55" s="10" t="s">
        <v>15</v>
      </c>
      <c r="E55" s="6"/>
      <c r="F55" s="6"/>
      <c r="G55" s="29"/>
      <c r="H55" s="29"/>
      <c r="I55" s="6"/>
      <c r="J55" s="6"/>
      <c r="K55" s="29"/>
      <c r="L55" s="29"/>
      <c r="M55" s="6"/>
    </row>
    <row r="56" spans="1:13" x14ac:dyDescent="0.35">
      <c r="A56" s="1">
        <v>57</v>
      </c>
      <c r="B56" s="1" t="s">
        <v>99</v>
      </c>
      <c r="C56" s="10"/>
      <c r="D56" s="10" t="s">
        <v>59</v>
      </c>
      <c r="E56" s="6">
        <v>11.3</v>
      </c>
      <c r="F56" s="6">
        <v>12.88</v>
      </c>
      <c r="G56" s="29"/>
      <c r="H56" s="29">
        <v>11.5</v>
      </c>
      <c r="I56" s="6">
        <v>8.99</v>
      </c>
      <c r="J56" s="6">
        <v>11.3</v>
      </c>
      <c r="K56" s="29">
        <v>8</v>
      </c>
      <c r="L56" s="29"/>
      <c r="M56" s="6">
        <v>10</v>
      </c>
    </row>
    <row r="57" spans="1:13" x14ac:dyDescent="0.35">
      <c r="A57" s="1">
        <v>58</v>
      </c>
      <c r="B57" s="1" t="s">
        <v>100</v>
      </c>
      <c r="C57" s="10"/>
      <c r="D57" s="10" t="s">
        <v>15</v>
      </c>
      <c r="E57" s="6"/>
      <c r="F57" s="6"/>
      <c r="G57" s="29"/>
      <c r="H57" s="29"/>
      <c r="I57" s="6"/>
      <c r="J57" s="6"/>
      <c r="K57" s="29"/>
      <c r="L57" s="29"/>
      <c r="M57" s="6"/>
    </row>
    <row r="58" spans="1:13" x14ac:dyDescent="0.35">
      <c r="A58" s="1">
        <v>59</v>
      </c>
      <c r="B58" s="1" t="s">
        <v>100</v>
      </c>
      <c r="C58" s="10"/>
      <c r="D58" s="10" t="s">
        <v>59</v>
      </c>
      <c r="E58" s="6">
        <v>9.5</v>
      </c>
      <c r="F58" s="6">
        <v>10</v>
      </c>
      <c r="G58" s="29"/>
      <c r="H58" s="29">
        <v>9.5</v>
      </c>
      <c r="I58" s="6">
        <v>7.49</v>
      </c>
      <c r="J58" s="6">
        <v>9.5</v>
      </c>
      <c r="K58" s="29">
        <v>10</v>
      </c>
      <c r="L58" s="29"/>
      <c r="M58" s="6"/>
    </row>
    <row r="59" spans="1:13" x14ac:dyDescent="0.35">
      <c r="A59" s="1">
        <v>60</v>
      </c>
      <c r="B59" s="1" t="s">
        <v>101</v>
      </c>
      <c r="C59" s="10"/>
      <c r="D59" s="10" t="s">
        <v>15</v>
      </c>
      <c r="E59" s="6"/>
      <c r="F59" s="6"/>
      <c r="G59" s="29"/>
      <c r="H59" s="29"/>
      <c r="I59" s="6"/>
      <c r="J59" s="6"/>
      <c r="K59" s="29"/>
      <c r="L59" s="29"/>
      <c r="M59" s="6"/>
    </row>
    <row r="60" spans="1:13" x14ac:dyDescent="0.35">
      <c r="A60" s="1">
        <v>61</v>
      </c>
      <c r="B60" s="1" t="s">
        <v>101</v>
      </c>
      <c r="C60" s="10"/>
      <c r="D60" s="10" t="s">
        <v>59</v>
      </c>
      <c r="E60" s="6">
        <v>9.5</v>
      </c>
      <c r="F60" s="6">
        <v>10</v>
      </c>
      <c r="G60" s="29"/>
      <c r="H60" s="29"/>
      <c r="I60" s="6">
        <v>7.99</v>
      </c>
      <c r="J60" s="6">
        <v>7.25</v>
      </c>
      <c r="K60" s="29">
        <v>10</v>
      </c>
      <c r="L60" s="29"/>
      <c r="M60" s="6">
        <v>5.5</v>
      </c>
    </row>
    <row r="61" spans="1:13" x14ac:dyDescent="0.35">
      <c r="A61" s="1">
        <v>62</v>
      </c>
      <c r="B61" s="1" t="s">
        <v>102</v>
      </c>
      <c r="C61" s="10" t="s">
        <v>103</v>
      </c>
      <c r="D61" s="10" t="s">
        <v>59</v>
      </c>
      <c r="E61" s="6">
        <v>4.95</v>
      </c>
      <c r="F61" s="6"/>
      <c r="G61" s="29">
        <v>5</v>
      </c>
      <c r="H61" s="29">
        <v>4.95</v>
      </c>
      <c r="I61" s="6"/>
      <c r="J61" s="6">
        <v>4.95</v>
      </c>
      <c r="K61" s="29"/>
      <c r="L61" s="29"/>
      <c r="M61" s="6"/>
    </row>
    <row r="62" spans="1:13" x14ac:dyDescent="0.35">
      <c r="A62" s="1">
        <v>63</v>
      </c>
      <c r="B62" s="1" t="s">
        <v>104</v>
      </c>
      <c r="C62" s="10" t="s">
        <v>103</v>
      </c>
      <c r="D62" s="10" t="s">
        <v>59</v>
      </c>
      <c r="E62" s="6">
        <v>10.99</v>
      </c>
      <c r="F62" s="6">
        <v>12</v>
      </c>
      <c r="G62" s="29">
        <v>7.95</v>
      </c>
      <c r="H62" s="29">
        <v>8.99</v>
      </c>
      <c r="I62" s="6"/>
      <c r="J62" s="6">
        <v>10.99</v>
      </c>
      <c r="K62" s="29"/>
      <c r="L62" s="29"/>
      <c r="M62" s="6"/>
    </row>
    <row r="63" spans="1:13" x14ac:dyDescent="0.35">
      <c r="A63" s="1">
        <v>64</v>
      </c>
      <c r="B63" s="1" t="s">
        <v>105</v>
      </c>
      <c r="C63" s="10" t="s">
        <v>103</v>
      </c>
      <c r="D63" s="10" t="s">
        <v>59</v>
      </c>
      <c r="E63" s="6">
        <v>8.5</v>
      </c>
      <c r="F63" s="6">
        <v>8.75</v>
      </c>
      <c r="G63" s="29"/>
      <c r="H63" s="29"/>
      <c r="I63" s="6"/>
      <c r="J63" s="6">
        <v>8.5</v>
      </c>
      <c r="K63" s="29"/>
      <c r="L63" s="29">
        <v>5.5</v>
      </c>
      <c r="M63" s="6"/>
    </row>
    <row r="64" spans="1:13" x14ac:dyDescent="0.35">
      <c r="A64" s="1">
        <v>65</v>
      </c>
      <c r="B64" s="1" t="s">
        <v>106</v>
      </c>
      <c r="C64" s="10" t="s">
        <v>103</v>
      </c>
      <c r="D64" s="10" t="s">
        <v>59</v>
      </c>
      <c r="E64" s="6">
        <v>8.5</v>
      </c>
      <c r="F64" s="6"/>
      <c r="G64" s="29">
        <v>8.5</v>
      </c>
      <c r="H64" s="29">
        <v>8.5</v>
      </c>
      <c r="I64" s="6"/>
      <c r="J64" s="6">
        <v>8.5</v>
      </c>
      <c r="K64" s="29"/>
      <c r="L64" s="29"/>
      <c r="M64" s="6"/>
    </row>
    <row r="65" spans="1:13" x14ac:dyDescent="0.35">
      <c r="A65" s="1">
        <v>66</v>
      </c>
      <c r="B65" s="1" t="s">
        <v>107</v>
      </c>
      <c r="C65" s="10" t="s">
        <v>103</v>
      </c>
      <c r="D65" s="10" t="s">
        <v>59</v>
      </c>
      <c r="E65" s="6">
        <v>8.99</v>
      </c>
      <c r="F65" s="6"/>
      <c r="G65" s="29">
        <v>6.95</v>
      </c>
      <c r="H65" s="29">
        <v>8.99</v>
      </c>
      <c r="I65" s="6"/>
      <c r="J65" s="6">
        <v>8.99</v>
      </c>
      <c r="K65" s="29"/>
      <c r="L65" s="29">
        <v>8.75</v>
      </c>
      <c r="M65" s="6"/>
    </row>
    <row r="66" spans="1:13" x14ac:dyDescent="0.35">
      <c r="A66" s="1">
        <v>67</v>
      </c>
      <c r="B66" s="1" t="s">
        <v>108</v>
      </c>
      <c r="C66" s="10" t="s">
        <v>103</v>
      </c>
      <c r="D66" s="10" t="s">
        <v>59</v>
      </c>
      <c r="E66" s="6"/>
      <c r="F66" s="6">
        <v>6.5</v>
      </c>
      <c r="G66" s="29">
        <v>6.5</v>
      </c>
      <c r="H66" s="29">
        <v>6.95</v>
      </c>
      <c r="I66" s="6"/>
      <c r="J66" s="6">
        <v>6.95</v>
      </c>
      <c r="K66" s="29"/>
      <c r="L66" s="29">
        <v>8.75</v>
      </c>
      <c r="M66" s="6"/>
    </row>
    <row r="67" spans="1:13" x14ac:dyDescent="0.35">
      <c r="A67" s="1">
        <v>68</v>
      </c>
      <c r="B67" s="1" t="s">
        <v>109</v>
      </c>
      <c r="C67" s="10" t="s">
        <v>110</v>
      </c>
      <c r="D67" s="10" t="s">
        <v>111</v>
      </c>
      <c r="E67" s="6">
        <v>7.99</v>
      </c>
      <c r="F67" s="6">
        <v>7.5</v>
      </c>
      <c r="G67" s="29">
        <v>7.5</v>
      </c>
      <c r="H67" s="29">
        <v>7.99</v>
      </c>
      <c r="I67" s="6">
        <v>6.99</v>
      </c>
      <c r="J67" s="6">
        <v>7.99</v>
      </c>
      <c r="K67" s="29"/>
      <c r="L67" s="29">
        <v>7.5</v>
      </c>
      <c r="M67" s="6">
        <v>7</v>
      </c>
    </row>
    <row r="68" spans="1:13" x14ac:dyDescent="0.35">
      <c r="A68" s="1">
        <v>69</v>
      </c>
      <c r="B68" s="1" t="s">
        <v>112</v>
      </c>
      <c r="C68" s="10" t="s">
        <v>113</v>
      </c>
      <c r="D68" s="10" t="s">
        <v>51</v>
      </c>
      <c r="E68" s="6">
        <v>6.99</v>
      </c>
      <c r="F68" s="6">
        <v>6.75</v>
      </c>
      <c r="G68" s="29">
        <v>6.95</v>
      </c>
      <c r="H68" s="29">
        <v>6.99</v>
      </c>
      <c r="I68" s="6">
        <v>7.49</v>
      </c>
      <c r="J68" s="6"/>
      <c r="K68" s="29">
        <v>7</v>
      </c>
      <c r="L68" s="29">
        <v>6.85</v>
      </c>
      <c r="M68" s="6">
        <v>8</v>
      </c>
    </row>
    <row r="69" spans="1:13" x14ac:dyDescent="0.35">
      <c r="A69" s="1">
        <v>70</v>
      </c>
      <c r="B69" s="1" t="s">
        <v>114</v>
      </c>
      <c r="C69" s="10"/>
      <c r="D69" s="10" t="s">
        <v>15</v>
      </c>
      <c r="E69" s="6">
        <v>3.86</v>
      </c>
      <c r="F69" s="6">
        <v>2.95</v>
      </c>
      <c r="G69" s="29">
        <v>5.5</v>
      </c>
      <c r="H69" s="29">
        <v>3.86</v>
      </c>
      <c r="I69" s="6"/>
      <c r="J69" s="6">
        <v>3.86</v>
      </c>
      <c r="K69" s="29">
        <v>2</v>
      </c>
      <c r="L69" s="29">
        <v>2.0499999999999998</v>
      </c>
      <c r="M69" s="6">
        <v>3</v>
      </c>
    </row>
    <row r="70" spans="1:13" x14ac:dyDescent="0.35">
      <c r="A70" s="1">
        <v>71</v>
      </c>
      <c r="B70" s="1" t="s">
        <v>115</v>
      </c>
      <c r="C70" s="10"/>
      <c r="D70" s="10" t="s">
        <v>15</v>
      </c>
      <c r="E70" s="6">
        <v>5.44</v>
      </c>
      <c r="F70" s="6">
        <v>2.4900000000000002</v>
      </c>
      <c r="G70" s="30">
        <v>2.85</v>
      </c>
      <c r="H70" s="30">
        <v>5.44</v>
      </c>
      <c r="I70" s="6">
        <v>2.4900000000000002</v>
      </c>
      <c r="J70" s="6">
        <v>5.45</v>
      </c>
      <c r="K70" s="29">
        <v>4.55</v>
      </c>
      <c r="L70" s="29">
        <v>2.5</v>
      </c>
      <c r="M70" s="6">
        <v>3</v>
      </c>
    </row>
    <row r="71" spans="1:13" x14ac:dyDescent="0.35">
      <c r="A71" s="1">
        <v>72</v>
      </c>
      <c r="B71" s="1" t="s">
        <v>116</v>
      </c>
      <c r="C71" s="10"/>
      <c r="D71" s="10" t="s">
        <v>15</v>
      </c>
      <c r="E71" s="6"/>
      <c r="F71" s="6"/>
      <c r="G71" s="29">
        <v>9</v>
      </c>
      <c r="H71" s="29">
        <v>8.99</v>
      </c>
      <c r="I71" s="6">
        <v>12.99</v>
      </c>
      <c r="J71" s="6">
        <v>19.989999999999998</v>
      </c>
      <c r="K71" s="29">
        <v>10</v>
      </c>
      <c r="L71" s="29">
        <v>14</v>
      </c>
      <c r="M71" s="6"/>
    </row>
    <row r="72" spans="1:13" x14ac:dyDescent="0.35">
      <c r="A72" s="1">
        <v>73</v>
      </c>
      <c r="B72" s="1" t="s">
        <v>116</v>
      </c>
      <c r="C72" s="10"/>
      <c r="D72" s="10" t="s">
        <v>40</v>
      </c>
      <c r="E72" s="6">
        <v>10.25</v>
      </c>
      <c r="F72" s="6">
        <v>10.75</v>
      </c>
      <c r="G72" s="29">
        <v>3.5</v>
      </c>
      <c r="H72" s="29"/>
      <c r="I72" s="6">
        <v>6.99</v>
      </c>
      <c r="J72" s="6">
        <v>10.25</v>
      </c>
      <c r="K72" s="29">
        <v>5</v>
      </c>
      <c r="L72" s="29">
        <v>7</v>
      </c>
      <c r="M72" s="6">
        <v>9</v>
      </c>
    </row>
    <row r="73" spans="1:13" x14ac:dyDescent="0.35">
      <c r="A73" s="1">
        <v>74</v>
      </c>
      <c r="B73" s="1" t="s">
        <v>117</v>
      </c>
      <c r="C73" s="10" t="s">
        <v>118</v>
      </c>
      <c r="D73" s="10" t="s">
        <v>15</v>
      </c>
      <c r="E73" s="6">
        <v>3.9</v>
      </c>
      <c r="F73" s="6"/>
      <c r="G73" s="29"/>
      <c r="H73" s="29"/>
      <c r="I73" s="6">
        <v>3.99</v>
      </c>
      <c r="J73" s="6"/>
      <c r="K73" s="29">
        <v>4.5</v>
      </c>
      <c r="L73" s="29"/>
      <c r="M73" s="6"/>
    </row>
    <row r="74" spans="1:13" x14ac:dyDescent="0.35">
      <c r="A74" s="1">
        <v>75</v>
      </c>
      <c r="B74" s="1" t="s">
        <v>119</v>
      </c>
      <c r="C74" s="10" t="s">
        <v>120</v>
      </c>
      <c r="D74" s="10" t="s">
        <v>81</v>
      </c>
      <c r="E74" s="6">
        <v>18.95</v>
      </c>
      <c r="F74" s="6">
        <v>18.95</v>
      </c>
      <c r="G74" s="29"/>
      <c r="H74" s="29"/>
      <c r="I74" s="6">
        <v>19.989999999999998</v>
      </c>
      <c r="J74" s="6">
        <v>18.95</v>
      </c>
      <c r="K74" s="29"/>
      <c r="L74" s="29"/>
      <c r="M74" s="6"/>
    </row>
    <row r="75" spans="1:13" x14ac:dyDescent="0.35">
      <c r="A75" s="1">
        <v>76</v>
      </c>
      <c r="B75" s="1" t="s">
        <v>121</v>
      </c>
      <c r="C75" s="10" t="s">
        <v>122</v>
      </c>
      <c r="D75" s="10" t="s">
        <v>81</v>
      </c>
      <c r="E75" s="6">
        <v>17.989999999999998</v>
      </c>
      <c r="F75" s="6">
        <v>17.95</v>
      </c>
      <c r="G75" s="29">
        <v>18.95</v>
      </c>
      <c r="H75" s="29"/>
      <c r="I75" s="6">
        <v>17.989999999999998</v>
      </c>
      <c r="J75" s="6">
        <v>17.989999999999998</v>
      </c>
      <c r="K75" s="29"/>
      <c r="L75" s="29">
        <v>14.95</v>
      </c>
      <c r="M75" s="6">
        <v>22</v>
      </c>
    </row>
    <row r="76" spans="1:13" x14ac:dyDescent="0.35">
      <c r="A76" s="1">
        <v>77</v>
      </c>
      <c r="B76" s="1" t="s">
        <v>123</v>
      </c>
      <c r="C76" s="10" t="s">
        <v>124</v>
      </c>
      <c r="D76" s="10" t="s">
        <v>125</v>
      </c>
      <c r="E76" s="6">
        <v>3.59</v>
      </c>
      <c r="F76" s="6"/>
      <c r="G76" s="29">
        <v>3.5</v>
      </c>
      <c r="H76" s="29">
        <v>3.59</v>
      </c>
      <c r="I76" s="6">
        <v>3.75</v>
      </c>
      <c r="J76" s="6">
        <v>3.59</v>
      </c>
      <c r="K76" s="29"/>
      <c r="L76" s="29">
        <v>3.75</v>
      </c>
      <c r="M76" s="6"/>
    </row>
    <row r="77" spans="1:13" x14ac:dyDescent="0.35">
      <c r="A77" s="1">
        <v>78</v>
      </c>
      <c r="B77" s="1" t="s">
        <v>123</v>
      </c>
      <c r="C77" s="10" t="s">
        <v>126</v>
      </c>
      <c r="D77" s="10" t="s">
        <v>56</v>
      </c>
      <c r="E77" s="6"/>
      <c r="F77" s="6"/>
      <c r="G77" s="29"/>
      <c r="H77" s="29">
        <v>3.93</v>
      </c>
      <c r="I77" s="6">
        <v>3.99</v>
      </c>
      <c r="J77" s="6"/>
      <c r="K77" s="29"/>
      <c r="L77" s="29"/>
      <c r="M77" s="6"/>
    </row>
    <row r="78" spans="1:13" x14ac:dyDescent="0.35">
      <c r="A78" s="1">
        <v>79</v>
      </c>
      <c r="B78" s="1" t="s">
        <v>127</v>
      </c>
      <c r="C78" s="10" t="s">
        <v>128</v>
      </c>
      <c r="D78" s="10" t="s">
        <v>129</v>
      </c>
      <c r="E78" s="6">
        <v>177.95</v>
      </c>
      <c r="F78" s="6"/>
      <c r="G78" s="29">
        <v>178</v>
      </c>
      <c r="H78" s="30">
        <v>177.95</v>
      </c>
      <c r="I78" s="6">
        <v>189</v>
      </c>
      <c r="J78" s="6"/>
      <c r="K78" s="29">
        <v>182</v>
      </c>
      <c r="L78" s="29">
        <v>197</v>
      </c>
      <c r="M78" s="6"/>
    </row>
    <row r="79" spans="1:13" x14ac:dyDescent="0.35">
      <c r="A79" s="1">
        <v>80</v>
      </c>
      <c r="B79" s="1" t="s">
        <v>127</v>
      </c>
      <c r="C79" s="10" t="s">
        <v>130</v>
      </c>
      <c r="D79" s="10" t="s">
        <v>129</v>
      </c>
      <c r="E79" s="6">
        <v>118.5</v>
      </c>
      <c r="F79" s="6">
        <v>110</v>
      </c>
      <c r="G79" s="29">
        <v>109.95</v>
      </c>
      <c r="H79" s="29">
        <v>110</v>
      </c>
      <c r="I79" s="6">
        <v>119</v>
      </c>
      <c r="J79" s="6">
        <v>118.5</v>
      </c>
      <c r="K79" s="29">
        <v>113</v>
      </c>
      <c r="L79" s="29">
        <v>118</v>
      </c>
      <c r="M79" s="6">
        <v>114.45</v>
      </c>
    </row>
    <row r="80" spans="1:13" x14ac:dyDescent="0.35">
      <c r="A80" s="1">
        <v>81</v>
      </c>
      <c r="B80" s="1" t="s">
        <v>127</v>
      </c>
      <c r="C80" s="10" t="s">
        <v>131</v>
      </c>
      <c r="D80" s="10" t="s">
        <v>56</v>
      </c>
      <c r="E80" s="6">
        <v>62</v>
      </c>
      <c r="F80" s="6"/>
      <c r="G80" s="29">
        <v>61.95</v>
      </c>
      <c r="H80" s="29">
        <v>62</v>
      </c>
      <c r="I80" s="6">
        <v>61.99</v>
      </c>
      <c r="J80" s="6">
        <v>62</v>
      </c>
      <c r="K80" s="29">
        <v>59</v>
      </c>
      <c r="L80" s="29">
        <v>62</v>
      </c>
      <c r="M80" s="6">
        <v>63.25</v>
      </c>
    </row>
    <row r="81" spans="1:13" x14ac:dyDescent="0.35">
      <c r="A81" s="1">
        <v>82</v>
      </c>
      <c r="B81" s="1" t="s">
        <v>132</v>
      </c>
      <c r="C81" s="10" t="s">
        <v>133</v>
      </c>
      <c r="D81" s="10" t="s">
        <v>134</v>
      </c>
      <c r="E81" s="6">
        <v>21</v>
      </c>
      <c r="F81" s="6"/>
      <c r="G81" s="29">
        <v>21</v>
      </c>
      <c r="H81" s="29">
        <v>21</v>
      </c>
      <c r="I81" s="6">
        <v>22.99</v>
      </c>
      <c r="J81" s="6">
        <v>21</v>
      </c>
      <c r="K81" s="29">
        <v>23</v>
      </c>
      <c r="L81" s="29">
        <v>20</v>
      </c>
      <c r="M81" s="6"/>
    </row>
    <row r="82" spans="1:13" x14ac:dyDescent="0.35">
      <c r="A82" s="1">
        <v>83</v>
      </c>
      <c r="B82" s="1" t="s">
        <v>132</v>
      </c>
      <c r="C82" s="10" t="s">
        <v>135</v>
      </c>
      <c r="D82" s="10" t="s">
        <v>134</v>
      </c>
      <c r="E82" s="6">
        <v>23</v>
      </c>
      <c r="F82" s="6"/>
      <c r="G82" s="29">
        <v>21.95</v>
      </c>
      <c r="H82" s="29">
        <v>23</v>
      </c>
      <c r="I82" s="6">
        <v>24.99</v>
      </c>
      <c r="J82" s="6">
        <v>23</v>
      </c>
      <c r="K82" s="29">
        <v>23</v>
      </c>
      <c r="L82" s="29">
        <v>22.5</v>
      </c>
      <c r="M82" s="6">
        <v>24.45</v>
      </c>
    </row>
    <row r="83" spans="1:13" x14ac:dyDescent="0.35">
      <c r="A83" s="1">
        <v>84</v>
      </c>
      <c r="B83" s="1" t="s">
        <v>136</v>
      </c>
      <c r="C83" s="10" t="s">
        <v>137</v>
      </c>
      <c r="D83" s="10" t="s">
        <v>138</v>
      </c>
      <c r="E83" s="6">
        <v>14.95</v>
      </c>
      <c r="F83" s="6">
        <v>14.25</v>
      </c>
      <c r="G83" s="29"/>
      <c r="H83" s="29"/>
      <c r="I83" s="6">
        <v>14.99</v>
      </c>
      <c r="J83" s="6">
        <v>14.95</v>
      </c>
      <c r="K83" s="29">
        <v>16</v>
      </c>
      <c r="L83" s="29">
        <v>16.25</v>
      </c>
      <c r="M83" s="6">
        <v>15.95</v>
      </c>
    </row>
    <row r="84" spans="1:13" x14ac:dyDescent="0.35">
      <c r="A84" s="1">
        <v>85</v>
      </c>
      <c r="B84" s="1" t="s">
        <v>139</v>
      </c>
      <c r="C84" s="10" t="s">
        <v>140</v>
      </c>
      <c r="D84" s="10" t="s">
        <v>141</v>
      </c>
      <c r="E84" s="6">
        <v>13.5</v>
      </c>
      <c r="F84" s="6">
        <v>14.95</v>
      </c>
      <c r="G84" s="29">
        <v>13.5</v>
      </c>
      <c r="H84" s="29">
        <v>13.5</v>
      </c>
      <c r="I84" s="6">
        <v>14.99</v>
      </c>
      <c r="J84" s="6">
        <v>13.5</v>
      </c>
      <c r="K84" s="30">
        <v>12</v>
      </c>
      <c r="L84" s="29">
        <v>13.6</v>
      </c>
      <c r="M84" s="6">
        <v>13.5</v>
      </c>
    </row>
    <row r="85" spans="1:13" x14ac:dyDescent="0.35">
      <c r="A85" s="1">
        <v>86</v>
      </c>
      <c r="B85" s="1" t="s">
        <v>142</v>
      </c>
      <c r="C85" s="10" t="s">
        <v>143</v>
      </c>
      <c r="D85" s="10" t="s">
        <v>144</v>
      </c>
      <c r="E85" s="6">
        <v>18.75</v>
      </c>
      <c r="F85" s="6"/>
      <c r="G85" s="29">
        <v>16.95</v>
      </c>
      <c r="H85" s="29">
        <v>18.75</v>
      </c>
      <c r="I85" s="6">
        <v>18.989999999999998</v>
      </c>
      <c r="J85" s="6">
        <v>18.75</v>
      </c>
      <c r="K85" s="29">
        <v>17</v>
      </c>
      <c r="L85" s="29">
        <v>17.3</v>
      </c>
      <c r="M85" s="6">
        <v>17.5</v>
      </c>
    </row>
    <row r="86" spans="1:13" x14ac:dyDescent="0.35">
      <c r="A86" s="1">
        <v>87</v>
      </c>
      <c r="B86" s="1" t="s">
        <v>145</v>
      </c>
      <c r="C86" s="10" t="s">
        <v>146</v>
      </c>
      <c r="D86" s="10" t="s">
        <v>147</v>
      </c>
      <c r="E86" s="6">
        <v>15.95</v>
      </c>
      <c r="F86" s="6">
        <v>16.5</v>
      </c>
      <c r="G86" s="29">
        <v>14.95</v>
      </c>
      <c r="H86" s="29">
        <v>15.95</v>
      </c>
      <c r="I86" s="6">
        <v>16.989999999999998</v>
      </c>
      <c r="J86" s="6">
        <v>15.95</v>
      </c>
      <c r="K86" s="29">
        <v>15</v>
      </c>
      <c r="L86" s="29">
        <v>15</v>
      </c>
      <c r="M86" s="6">
        <v>16</v>
      </c>
    </row>
    <row r="87" spans="1:13" x14ac:dyDescent="0.35">
      <c r="A87" s="1">
        <v>88</v>
      </c>
      <c r="B87" s="1" t="s">
        <v>148</v>
      </c>
      <c r="C87" s="10" t="s">
        <v>149</v>
      </c>
      <c r="D87" s="10" t="s">
        <v>150</v>
      </c>
      <c r="E87" s="6">
        <v>28.95</v>
      </c>
      <c r="F87" s="6">
        <v>28</v>
      </c>
      <c r="G87" s="29">
        <v>27.95</v>
      </c>
      <c r="H87" s="29">
        <v>29.95</v>
      </c>
      <c r="I87" s="6">
        <v>29.99</v>
      </c>
      <c r="J87" s="6">
        <v>29.95</v>
      </c>
      <c r="K87" s="29"/>
      <c r="L87" s="29">
        <v>27.95</v>
      </c>
      <c r="M87" s="6">
        <v>30</v>
      </c>
    </row>
    <row r="88" spans="1:13" x14ac:dyDescent="0.35">
      <c r="A88" s="1">
        <v>89</v>
      </c>
      <c r="B88" s="1" t="s">
        <v>148</v>
      </c>
      <c r="C88" s="10" t="s">
        <v>149</v>
      </c>
      <c r="D88" s="10" t="s">
        <v>151</v>
      </c>
      <c r="E88" s="6">
        <v>8.9499999999999993</v>
      </c>
      <c r="F88" s="6"/>
      <c r="G88" s="29">
        <v>13.95</v>
      </c>
      <c r="H88" s="29">
        <v>8.9499999999999993</v>
      </c>
      <c r="I88" s="6">
        <v>12.99</v>
      </c>
      <c r="J88" s="6">
        <v>8.9499999999999993</v>
      </c>
      <c r="K88" s="29">
        <v>14</v>
      </c>
      <c r="L88" s="29">
        <v>12</v>
      </c>
      <c r="M88" s="6">
        <v>15</v>
      </c>
    </row>
    <row r="89" spans="1:13" x14ac:dyDescent="0.35">
      <c r="A89" s="1">
        <v>90</v>
      </c>
      <c r="B89" s="1" t="s">
        <v>148</v>
      </c>
      <c r="C89" s="10" t="s">
        <v>152</v>
      </c>
      <c r="D89" s="10" t="s">
        <v>150</v>
      </c>
      <c r="E89" s="31">
        <v>12.25</v>
      </c>
      <c r="F89" s="6">
        <v>15</v>
      </c>
      <c r="G89" s="29">
        <v>14.95</v>
      </c>
      <c r="H89" s="29">
        <v>14.95</v>
      </c>
      <c r="I89" s="6">
        <v>14.99</v>
      </c>
      <c r="J89" s="6">
        <v>12.25</v>
      </c>
      <c r="K89" s="29">
        <v>14</v>
      </c>
      <c r="L89" s="29">
        <v>15</v>
      </c>
      <c r="M89" s="6">
        <v>16</v>
      </c>
    </row>
    <row r="90" spans="1:13" x14ac:dyDescent="0.35">
      <c r="A90" s="1">
        <v>91</v>
      </c>
      <c r="B90" s="1" t="s">
        <v>148</v>
      </c>
      <c r="C90" s="10" t="s">
        <v>152</v>
      </c>
      <c r="D90" s="10" t="s">
        <v>153</v>
      </c>
      <c r="E90" s="6">
        <v>7.95</v>
      </c>
      <c r="F90" s="6"/>
      <c r="G90" s="29"/>
      <c r="H90" s="29"/>
      <c r="I90" s="6">
        <v>7.99</v>
      </c>
      <c r="J90" s="6">
        <v>7.95</v>
      </c>
      <c r="K90" s="29">
        <v>7</v>
      </c>
      <c r="L90" s="29">
        <v>7.6</v>
      </c>
      <c r="M90" s="6">
        <v>8</v>
      </c>
    </row>
    <row r="91" spans="1:13" x14ac:dyDescent="0.35">
      <c r="A91" s="1">
        <v>92</v>
      </c>
      <c r="B91" s="1" t="s">
        <v>154</v>
      </c>
      <c r="C91" s="10" t="s">
        <v>155</v>
      </c>
      <c r="D91" s="10" t="s">
        <v>156</v>
      </c>
      <c r="E91" s="6"/>
      <c r="F91" s="6">
        <v>8.9499999999999993</v>
      </c>
      <c r="G91" s="29">
        <v>7.5</v>
      </c>
      <c r="H91" s="29">
        <v>10.5</v>
      </c>
      <c r="I91" s="6">
        <v>9.99</v>
      </c>
      <c r="J91" s="6">
        <v>10.5</v>
      </c>
      <c r="K91" s="29">
        <v>10</v>
      </c>
      <c r="L91" s="29">
        <v>10</v>
      </c>
      <c r="M91" s="6">
        <v>10</v>
      </c>
    </row>
    <row r="92" spans="1:13" x14ac:dyDescent="0.35">
      <c r="A92" s="1">
        <v>93</v>
      </c>
      <c r="B92" s="1" t="s">
        <v>157</v>
      </c>
      <c r="C92" s="10" t="s">
        <v>155</v>
      </c>
      <c r="D92" s="10" t="s">
        <v>158</v>
      </c>
      <c r="E92" s="6">
        <v>9.5</v>
      </c>
      <c r="F92" s="31">
        <v>7.95</v>
      </c>
      <c r="G92" s="29">
        <v>7.5</v>
      </c>
      <c r="H92" s="29">
        <v>9.5</v>
      </c>
      <c r="I92" s="15">
        <v>7.99</v>
      </c>
      <c r="J92" s="15">
        <v>8.5</v>
      </c>
      <c r="K92" s="29">
        <v>9</v>
      </c>
      <c r="L92" s="29">
        <v>8</v>
      </c>
      <c r="M92" s="6">
        <v>9</v>
      </c>
    </row>
    <row r="93" spans="1:13" x14ac:dyDescent="0.35">
      <c r="A93" s="1">
        <v>94</v>
      </c>
      <c r="B93" s="1" t="s">
        <v>159</v>
      </c>
      <c r="C93" s="10" t="s">
        <v>155</v>
      </c>
      <c r="D93" s="10" t="s">
        <v>158</v>
      </c>
      <c r="E93" s="6">
        <v>9.5</v>
      </c>
      <c r="F93" s="31">
        <v>7.95</v>
      </c>
      <c r="G93" s="29">
        <v>7.5</v>
      </c>
      <c r="H93" s="29">
        <v>9.5</v>
      </c>
      <c r="I93" s="15">
        <v>7.99</v>
      </c>
      <c r="J93" s="15">
        <v>8.5</v>
      </c>
      <c r="K93" s="29">
        <v>9</v>
      </c>
      <c r="L93" s="29">
        <v>8</v>
      </c>
      <c r="M93" s="6">
        <v>9</v>
      </c>
    </row>
    <row r="94" spans="1:13" x14ac:dyDescent="0.35">
      <c r="A94" s="1">
        <v>95</v>
      </c>
      <c r="B94" s="1" t="s">
        <v>160</v>
      </c>
      <c r="C94" s="10" t="s">
        <v>161</v>
      </c>
      <c r="D94" s="10" t="s">
        <v>162</v>
      </c>
      <c r="E94" s="6">
        <v>5.25</v>
      </c>
      <c r="F94" s="6">
        <v>5.25</v>
      </c>
      <c r="G94" s="29">
        <v>5</v>
      </c>
      <c r="H94" s="29">
        <v>5.85</v>
      </c>
      <c r="I94" s="6">
        <v>5.99</v>
      </c>
      <c r="J94" s="6">
        <v>5.85</v>
      </c>
      <c r="K94" s="29">
        <v>5</v>
      </c>
      <c r="L94" s="29">
        <v>5.25</v>
      </c>
      <c r="M94" s="6">
        <v>6</v>
      </c>
    </row>
    <row r="95" spans="1:13" x14ac:dyDescent="0.35">
      <c r="A95" s="1">
        <v>96</v>
      </c>
      <c r="B95" s="11" t="s">
        <v>163</v>
      </c>
      <c r="C95" s="12" t="s">
        <v>164</v>
      </c>
      <c r="D95" s="12" t="s">
        <v>165</v>
      </c>
      <c r="E95" s="6">
        <v>18.5</v>
      </c>
      <c r="F95" s="6">
        <v>18</v>
      </c>
      <c r="G95" s="29"/>
      <c r="H95" s="29">
        <v>18.5</v>
      </c>
      <c r="I95" s="6">
        <v>18.989999999999998</v>
      </c>
      <c r="J95" s="6">
        <v>18.5</v>
      </c>
      <c r="K95" s="29">
        <v>16</v>
      </c>
      <c r="L95" s="29">
        <v>17.95</v>
      </c>
      <c r="M95" s="6">
        <v>16</v>
      </c>
    </row>
    <row r="96" spans="1:13" x14ac:dyDescent="0.35">
      <c r="A96" s="1">
        <v>97</v>
      </c>
      <c r="B96" s="1" t="s">
        <v>166</v>
      </c>
      <c r="C96" s="10"/>
      <c r="D96" s="10" t="s">
        <v>59</v>
      </c>
      <c r="E96" s="6">
        <v>40.99</v>
      </c>
      <c r="F96" s="6">
        <v>40.25</v>
      </c>
      <c r="G96" s="29">
        <v>36.950000000000003</v>
      </c>
      <c r="H96" s="29">
        <v>40.99</v>
      </c>
      <c r="I96" s="6">
        <v>42.99</v>
      </c>
      <c r="J96" s="6">
        <v>40.99</v>
      </c>
      <c r="K96" s="29">
        <v>40.25</v>
      </c>
      <c r="L96" s="29">
        <v>41</v>
      </c>
      <c r="M96" s="6">
        <v>41.95</v>
      </c>
    </row>
    <row r="97" spans="1:13" x14ac:dyDescent="0.35">
      <c r="A97" s="1">
        <v>98</v>
      </c>
      <c r="B97" s="1" t="s">
        <v>167</v>
      </c>
      <c r="C97" s="10" t="s">
        <v>168</v>
      </c>
      <c r="D97" s="10" t="s">
        <v>125</v>
      </c>
      <c r="E97" s="6">
        <v>26.95</v>
      </c>
      <c r="F97" s="6">
        <v>24.95</v>
      </c>
      <c r="G97" s="29">
        <v>22.95</v>
      </c>
      <c r="H97" s="30">
        <v>25</v>
      </c>
      <c r="I97" s="6">
        <v>26.99</v>
      </c>
      <c r="J97" s="6">
        <v>26.95</v>
      </c>
      <c r="K97" s="29">
        <v>25</v>
      </c>
      <c r="L97" s="29">
        <v>25.5</v>
      </c>
      <c r="M97" s="6">
        <v>25.95</v>
      </c>
    </row>
    <row r="98" spans="1:13" x14ac:dyDescent="0.35">
      <c r="A98" s="1">
        <v>99</v>
      </c>
      <c r="B98" s="1" t="s">
        <v>169</v>
      </c>
      <c r="C98" s="10"/>
      <c r="D98" s="10" t="s">
        <v>170</v>
      </c>
      <c r="E98" s="6">
        <v>34.5</v>
      </c>
      <c r="F98" s="6">
        <v>32.75</v>
      </c>
      <c r="G98" s="29">
        <v>30.95</v>
      </c>
      <c r="H98" s="29">
        <v>34.5</v>
      </c>
      <c r="I98" s="15">
        <v>29.99</v>
      </c>
      <c r="J98" s="6">
        <v>34.5</v>
      </c>
      <c r="K98" s="29">
        <v>30</v>
      </c>
      <c r="L98" s="29">
        <v>32.75</v>
      </c>
      <c r="M98" s="6">
        <v>33</v>
      </c>
    </row>
    <row r="99" spans="1:13" x14ac:dyDescent="0.35">
      <c r="A99" s="1">
        <v>100</v>
      </c>
      <c r="B99" s="1" t="s">
        <v>171</v>
      </c>
      <c r="C99" s="10" t="s">
        <v>172</v>
      </c>
      <c r="D99" s="10" t="s">
        <v>173</v>
      </c>
      <c r="E99" s="31">
        <v>21.5</v>
      </c>
      <c r="F99" s="6">
        <v>24.25</v>
      </c>
      <c r="G99" s="29">
        <v>27.95</v>
      </c>
      <c r="H99" s="29">
        <v>28.5</v>
      </c>
      <c r="I99" s="6">
        <v>27.99</v>
      </c>
      <c r="J99" s="15">
        <v>21.5</v>
      </c>
      <c r="K99" s="29">
        <v>29.95</v>
      </c>
      <c r="L99" s="30">
        <v>29.75</v>
      </c>
      <c r="M99" s="6">
        <v>29.95</v>
      </c>
    </row>
    <row r="100" spans="1:13" x14ac:dyDescent="0.35">
      <c r="A100" s="1">
        <v>101</v>
      </c>
      <c r="B100" s="1" t="s">
        <v>174</v>
      </c>
      <c r="C100" s="10" t="s">
        <v>172</v>
      </c>
      <c r="D100" s="10" t="s">
        <v>175</v>
      </c>
      <c r="E100" s="7">
        <v>25.9</v>
      </c>
      <c r="F100" s="6">
        <v>25</v>
      </c>
      <c r="G100" s="32"/>
      <c r="H100" s="29">
        <v>25.5</v>
      </c>
      <c r="I100" s="7">
        <v>25.99</v>
      </c>
      <c r="J100" s="15">
        <v>21.99</v>
      </c>
      <c r="K100" s="32">
        <v>25</v>
      </c>
      <c r="L100" s="29">
        <v>25</v>
      </c>
      <c r="M100" s="7">
        <v>26</v>
      </c>
    </row>
    <row r="101" spans="1:13" x14ac:dyDescent="0.35">
      <c r="A101" s="1">
        <v>102</v>
      </c>
      <c r="B101" s="1" t="s">
        <v>174</v>
      </c>
      <c r="C101" s="10" t="s">
        <v>176</v>
      </c>
      <c r="D101" s="10" t="s">
        <v>177</v>
      </c>
      <c r="E101" s="6"/>
      <c r="F101" s="6"/>
      <c r="G101" s="29"/>
      <c r="H101" s="29">
        <v>30.7</v>
      </c>
      <c r="I101" s="6">
        <v>29.99</v>
      </c>
      <c r="J101" s="6"/>
      <c r="K101" s="29">
        <v>29.95</v>
      </c>
      <c r="L101" s="29">
        <v>29.25</v>
      </c>
      <c r="M101" s="6"/>
    </row>
    <row r="102" spans="1:13" x14ac:dyDescent="0.35">
      <c r="A102" s="1">
        <v>103</v>
      </c>
      <c r="B102" s="1" t="s">
        <v>178</v>
      </c>
      <c r="C102" s="10" t="s">
        <v>50</v>
      </c>
      <c r="D102" s="10" t="s">
        <v>179</v>
      </c>
      <c r="E102" s="31">
        <v>30.95</v>
      </c>
      <c r="F102" s="31">
        <v>27.95</v>
      </c>
      <c r="G102" s="29">
        <v>32</v>
      </c>
      <c r="H102" s="29"/>
      <c r="I102" s="15">
        <v>29.99</v>
      </c>
      <c r="J102" s="6"/>
      <c r="K102" s="29">
        <v>27.5</v>
      </c>
      <c r="L102" s="29">
        <v>28.95</v>
      </c>
      <c r="M102" s="6">
        <v>33.1</v>
      </c>
    </row>
    <row r="103" spans="1:13" x14ac:dyDescent="0.35">
      <c r="A103" s="1">
        <v>104</v>
      </c>
      <c r="B103" s="1" t="s">
        <v>178</v>
      </c>
      <c r="C103" s="10" t="s">
        <v>180</v>
      </c>
      <c r="D103" s="10" t="s">
        <v>111</v>
      </c>
      <c r="E103" s="6"/>
      <c r="F103" s="6">
        <v>22</v>
      </c>
      <c r="G103" s="29">
        <v>18.95</v>
      </c>
      <c r="H103" s="29">
        <v>19.95</v>
      </c>
      <c r="I103" s="6">
        <v>23.99</v>
      </c>
      <c r="J103" s="6">
        <v>21.95</v>
      </c>
      <c r="K103" s="29">
        <v>27</v>
      </c>
      <c r="L103" s="29">
        <v>19.95</v>
      </c>
      <c r="M103" s="6">
        <v>24</v>
      </c>
    </row>
    <row r="104" spans="1:13" x14ac:dyDescent="0.35">
      <c r="A104" s="1">
        <v>105</v>
      </c>
      <c r="B104" s="1" t="s">
        <v>181</v>
      </c>
      <c r="C104" s="10" t="s">
        <v>182</v>
      </c>
      <c r="D104" s="10" t="s">
        <v>183</v>
      </c>
      <c r="E104" s="6">
        <v>13.49</v>
      </c>
      <c r="F104" s="6"/>
      <c r="G104" s="29">
        <v>12.5</v>
      </c>
      <c r="H104" s="29">
        <v>13.26</v>
      </c>
      <c r="I104" s="6">
        <v>14.99</v>
      </c>
      <c r="J104" s="6">
        <v>13.49</v>
      </c>
      <c r="K104" s="29">
        <v>13.95</v>
      </c>
      <c r="L104" s="29">
        <v>13.25</v>
      </c>
      <c r="M104" s="6"/>
    </row>
    <row r="105" spans="1:13" x14ac:dyDescent="0.35">
      <c r="A105" s="1">
        <v>106</v>
      </c>
      <c r="B105" s="1" t="s">
        <v>184</v>
      </c>
      <c r="C105" s="10" t="s">
        <v>185</v>
      </c>
      <c r="D105" s="10" t="s">
        <v>65</v>
      </c>
      <c r="E105" s="6">
        <v>3.75</v>
      </c>
      <c r="F105" s="6">
        <v>3.95</v>
      </c>
      <c r="G105" s="29">
        <v>2.75</v>
      </c>
      <c r="H105" s="29">
        <v>3</v>
      </c>
      <c r="I105" s="15">
        <v>3.25</v>
      </c>
      <c r="J105" s="6">
        <v>3.75</v>
      </c>
      <c r="K105" s="29">
        <v>3.75</v>
      </c>
      <c r="L105" s="29">
        <v>4</v>
      </c>
      <c r="M105" s="6">
        <v>4</v>
      </c>
    </row>
    <row r="106" spans="1:13" x14ac:dyDescent="0.35">
      <c r="A106" s="1">
        <v>107</v>
      </c>
      <c r="B106" s="1" t="s">
        <v>184</v>
      </c>
      <c r="C106" s="10" t="s">
        <v>185</v>
      </c>
      <c r="D106" s="10" t="s">
        <v>51</v>
      </c>
      <c r="E106" s="6">
        <v>11.75</v>
      </c>
      <c r="F106" s="6">
        <v>11.95</v>
      </c>
      <c r="G106" s="29">
        <v>8.9499999999999993</v>
      </c>
      <c r="H106" s="29">
        <v>10</v>
      </c>
      <c r="I106" s="15">
        <v>8.99</v>
      </c>
      <c r="J106" s="6">
        <v>11.75</v>
      </c>
      <c r="K106" s="29">
        <v>10</v>
      </c>
      <c r="L106" s="29">
        <v>11.5</v>
      </c>
      <c r="M106" s="6">
        <v>10.5</v>
      </c>
    </row>
    <row r="107" spans="1:13" x14ac:dyDescent="0.35">
      <c r="A107" s="1">
        <v>108</v>
      </c>
      <c r="B107" s="1" t="s">
        <v>186</v>
      </c>
      <c r="C107" s="10" t="s">
        <v>185</v>
      </c>
      <c r="D107" s="10" t="s">
        <v>51</v>
      </c>
      <c r="E107" s="6">
        <v>12</v>
      </c>
      <c r="F107" s="6">
        <v>12.75</v>
      </c>
      <c r="G107" s="29">
        <v>12.5</v>
      </c>
      <c r="H107" s="29">
        <v>10</v>
      </c>
      <c r="I107" s="6">
        <v>12.99</v>
      </c>
      <c r="J107" s="6">
        <v>12</v>
      </c>
      <c r="K107" s="29">
        <v>13.5</v>
      </c>
      <c r="L107" s="29">
        <v>11.5</v>
      </c>
      <c r="M107" s="6"/>
    </row>
    <row r="108" spans="1:13" x14ac:dyDescent="0.35">
      <c r="A108" s="1">
        <v>109</v>
      </c>
      <c r="B108" s="1" t="s">
        <v>187</v>
      </c>
      <c r="C108" s="10" t="s">
        <v>188</v>
      </c>
      <c r="D108" s="10" t="s">
        <v>189</v>
      </c>
      <c r="E108" s="6">
        <v>12</v>
      </c>
      <c r="F108" s="6"/>
      <c r="G108" s="29">
        <v>10</v>
      </c>
      <c r="H108" s="29">
        <v>12</v>
      </c>
      <c r="I108" s="6">
        <v>11.99</v>
      </c>
      <c r="J108" s="6">
        <v>12</v>
      </c>
      <c r="K108" s="29">
        <v>13</v>
      </c>
      <c r="L108" s="29">
        <v>12</v>
      </c>
      <c r="M108" s="6">
        <v>13.95</v>
      </c>
    </row>
    <row r="109" spans="1:13" x14ac:dyDescent="0.35">
      <c r="A109" s="1">
        <v>110</v>
      </c>
      <c r="B109" s="1" t="s">
        <v>187</v>
      </c>
      <c r="C109" s="10" t="s">
        <v>190</v>
      </c>
      <c r="D109" s="10" t="s">
        <v>191</v>
      </c>
      <c r="E109" s="6">
        <v>12.25</v>
      </c>
      <c r="F109" s="6"/>
      <c r="G109" s="29"/>
      <c r="H109" s="29"/>
      <c r="I109" s="6"/>
      <c r="J109" s="6"/>
      <c r="K109" s="29"/>
      <c r="L109" s="29"/>
      <c r="M109" s="6"/>
    </row>
    <row r="110" spans="1:13" x14ac:dyDescent="0.35">
      <c r="A110" s="1">
        <v>111</v>
      </c>
      <c r="B110" s="1" t="s">
        <v>192</v>
      </c>
      <c r="C110" s="10" t="s">
        <v>188</v>
      </c>
      <c r="D110" s="10" t="s">
        <v>189</v>
      </c>
      <c r="E110" s="6">
        <v>12</v>
      </c>
      <c r="F110" s="6"/>
      <c r="G110" s="29">
        <v>10</v>
      </c>
      <c r="H110" s="29">
        <v>12</v>
      </c>
      <c r="I110" s="6">
        <v>11.99</v>
      </c>
      <c r="J110" s="6">
        <v>12</v>
      </c>
      <c r="K110" s="29"/>
      <c r="L110" s="29">
        <v>12</v>
      </c>
      <c r="M110" s="6">
        <v>13.95</v>
      </c>
    </row>
    <row r="111" spans="1:13" x14ac:dyDescent="0.35">
      <c r="A111" s="1">
        <v>112</v>
      </c>
      <c r="B111" s="1" t="s">
        <v>193</v>
      </c>
      <c r="C111" s="10" t="s">
        <v>182</v>
      </c>
      <c r="D111" s="10" t="s">
        <v>125</v>
      </c>
      <c r="E111" s="6">
        <v>20.7</v>
      </c>
      <c r="F111" s="6">
        <v>20.5</v>
      </c>
      <c r="G111" s="29"/>
      <c r="H111" s="29">
        <v>20.7</v>
      </c>
      <c r="I111" s="6">
        <v>21.99</v>
      </c>
      <c r="J111" s="6">
        <v>20.7</v>
      </c>
      <c r="K111" s="29"/>
      <c r="L111" s="29">
        <v>20.5</v>
      </c>
      <c r="M111" s="6"/>
    </row>
    <row r="112" spans="1:13" x14ac:dyDescent="0.35">
      <c r="A112" s="1">
        <v>113</v>
      </c>
      <c r="B112" s="1" t="s">
        <v>194</v>
      </c>
      <c r="C112" s="10" t="s">
        <v>195</v>
      </c>
      <c r="D112" s="10" t="s">
        <v>196</v>
      </c>
      <c r="E112" s="6"/>
      <c r="F112" s="6"/>
      <c r="G112" s="29">
        <v>14.5</v>
      </c>
      <c r="H112" s="29"/>
      <c r="I112" s="6"/>
      <c r="J112" s="6"/>
      <c r="K112" s="29">
        <v>13.95</v>
      </c>
      <c r="L112" s="29">
        <v>15</v>
      </c>
      <c r="M112" s="6"/>
    </row>
    <row r="113" spans="1:13" x14ac:dyDescent="0.35">
      <c r="A113" s="1">
        <v>114</v>
      </c>
      <c r="B113" s="1" t="s">
        <v>197</v>
      </c>
      <c r="C113" s="10" t="s">
        <v>68</v>
      </c>
      <c r="D113" s="10" t="s">
        <v>196</v>
      </c>
      <c r="E113" s="6">
        <v>18.95</v>
      </c>
      <c r="F113" s="6">
        <v>17.95</v>
      </c>
      <c r="G113" s="29"/>
      <c r="H113" s="29">
        <v>17.25</v>
      </c>
      <c r="I113" s="6">
        <v>18.989999999999998</v>
      </c>
      <c r="J113" s="6">
        <v>18.95</v>
      </c>
      <c r="K113" s="29"/>
      <c r="L113" s="29">
        <v>16.95</v>
      </c>
      <c r="M113" s="6">
        <v>17</v>
      </c>
    </row>
    <row r="114" spans="1:13" x14ac:dyDescent="0.35">
      <c r="A114" s="1">
        <v>115</v>
      </c>
      <c r="B114" s="1" t="s">
        <v>197</v>
      </c>
      <c r="C114" s="10" t="s">
        <v>80</v>
      </c>
      <c r="D114" s="10" t="s">
        <v>198</v>
      </c>
      <c r="E114" s="6"/>
      <c r="F114" s="6">
        <v>69.5</v>
      </c>
      <c r="G114" s="30">
        <v>50.95</v>
      </c>
      <c r="H114" s="29">
        <v>52.99</v>
      </c>
      <c r="I114" s="6">
        <v>66.989999999999995</v>
      </c>
      <c r="J114" s="6"/>
      <c r="K114" s="29">
        <v>62</v>
      </c>
      <c r="L114" s="30">
        <v>57</v>
      </c>
      <c r="M114" s="6"/>
    </row>
    <row r="115" spans="1:13" x14ac:dyDescent="0.35">
      <c r="A115" s="1">
        <v>116</v>
      </c>
      <c r="B115" s="1" t="s">
        <v>199</v>
      </c>
      <c r="C115" s="10" t="s">
        <v>200</v>
      </c>
      <c r="D115" s="10" t="s">
        <v>196</v>
      </c>
      <c r="E115" s="6">
        <v>38.9</v>
      </c>
      <c r="F115" s="6">
        <v>37.950000000000003</v>
      </c>
      <c r="G115" s="29">
        <v>32.950000000000003</v>
      </c>
      <c r="H115" s="29">
        <v>38.9</v>
      </c>
      <c r="I115" s="6">
        <v>39.99</v>
      </c>
      <c r="J115" s="6">
        <v>38.9</v>
      </c>
      <c r="K115" s="29"/>
      <c r="L115" s="29">
        <v>37.950000000000003</v>
      </c>
      <c r="M115" s="6"/>
    </row>
    <row r="116" spans="1:13" x14ac:dyDescent="0.35">
      <c r="A116" s="1">
        <v>117</v>
      </c>
      <c r="B116" s="1" t="s">
        <v>201</v>
      </c>
      <c r="C116" s="10" t="s">
        <v>202</v>
      </c>
      <c r="D116" s="10" t="s">
        <v>51</v>
      </c>
      <c r="E116" s="31">
        <v>114.95</v>
      </c>
      <c r="F116" s="6"/>
      <c r="G116" s="29">
        <v>99.95</v>
      </c>
      <c r="H116" s="29">
        <v>132.94999999999999</v>
      </c>
      <c r="I116" s="6">
        <v>135</v>
      </c>
      <c r="J116" s="6">
        <v>114.95</v>
      </c>
      <c r="K116" s="29"/>
      <c r="L116" s="29">
        <v>100</v>
      </c>
      <c r="M116" s="6"/>
    </row>
    <row r="117" spans="1:13" x14ac:dyDescent="0.35">
      <c r="A117" s="1">
        <v>118</v>
      </c>
      <c r="B117" s="1" t="s">
        <v>203</v>
      </c>
      <c r="C117" s="10" t="s">
        <v>204</v>
      </c>
      <c r="D117" s="10" t="s">
        <v>205</v>
      </c>
      <c r="E117" s="6">
        <v>12.99</v>
      </c>
      <c r="F117" s="6"/>
      <c r="G117" s="29">
        <v>13</v>
      </c>
      <c r="H117" s="29">
        <v>12.99</v>
      </c>
      <c r="I117" s="6">
        <v>12.99</v>
      </c>
      <c r="J117" s="6">
        <v>12.99</v>
      </c>
      <c r="K117" s="29">
        <v>13</v>
      </c>
      <c r="L117" s="29">
        <v>13</v>
      </c>
      <c r="M117" s="6">
        <v>13</v>
      </c>
    </row>
    <row r="118" spans="1:13" x14ac:dyDescent="0.35">
      <c r="A118" s="1">
        <v>119</v>
      </c>
      <c r="B118" s="1" t="s">
        <v>203</v>
      </c>
      <c r="C118" s="10" t="s">
        <v>204</v>
      </c>
      <c r="D118" s="10" t="s">
        <v>206</v>
      </c>
      <c r="E118" s="6">
        <v>25.99</v>
      </c>
      <c r="F118" s="6">
        <v>25.99</v>
      </c>
      <c r="G118" s="29">
        <v>26</v>
      </c>
      <c r="H118" s="29">
        <v>25.99</v>
      </c>
      <c r="I118" s="6">
        <v>25.99</v>
      </c>
      <c r="J118" s="6">
        <v>25.99</v>
      </c>
      <c r="K118" s="29">
        <v>26</v>
      </c>
      <c r="L118" s="29"/>
      <c r="M118" s="6">
        <v>26</v>
      </c>
    </row>
    <row r="119" spans="1:13" x14ac:dyDescent="0.35">
      <c r="A119" s="1">
        <v>120</v>
      </c>
      <c r="B119" s="1" t="s">
        <v>207</v>
      </c>
      <c r="C119" s="10" t="s">
        <v>204</v>
      </c>
      <c r="D119" s="10" t="s">
        <v>205</v>
      </c>
      <c r="E119" s="6">
        <v>16.989999999999998</v>
      </c>
      <c r="F119" s="6"/>
      <c r="G119" s="29">
        <v>17</v>
      </c>
      <c r="H119" s="29">
        <v>16.989999999999998</v>
      </c>
      <c r="I119" s="6">
        <v>16.989999999999998</v>
      </c>
      <c r="J119" s="6">
        <v>16.989999999999998</v>
      </c>
      <c r="K119" s="29">
        <v>17</v>
      </c>
      <c r="L119" s="29">
        <v>15.5</v>
      </c>
      <c r="M119" s="6">
        <v>17</v>
      </c>
    </row>
    <row r="120" spans="1:13" x14ac:dyDescent="0.35">
      <c r="A120" s="1">
        <v>121</v>
      </c>
      <c r="B120" s="1" t="s">
        <v>207</v>
      </c>
      <c r="C120" s="10" t="s">
        <v>204</v>
      </c>
      <c r="D120" s="10" t="s">
        <v>208</v>
      </c>
      <c r="E120" s="6">
        <v>29.99</v>
      </c>
      <c r="F120" s="6">
        <v>30</v>
      </c>
      <c r="G120" s="29">
        <v>30</v>
      </c>
      <c r="H120" s="29">
        <v>29.99</v>
      </c>
      <c r="I120" s="6">
        <v>29.99</v>
      </c>
      <c r="J120" s="6">
        <v>29.99</v>
      </c>
      <c r="K120" s="29"/>
      <c r="L120" s="29">
        <v>27</v>
      </c>
      <c r="M120" s="6">
        <v>30</v>
      </c>
    </row>
    <row r="121" spans="1:13" x14ac:dyDescent="0.35">
      <c r="A121" s="1">
        <v>122</v>
      </c>
      <c r="B121" s="1" t="s">
        <v>209</v>
      </c>
      <c r="C121" s="10" t="s">
        <v>210</v>
      </c>
      <c r="D121" s="10" t="s">
        <v>15</v>
      </c>
      <c r="E121" s="6">
        <v>20.239999999999998</v>
      </c>
      <c r="F121" s="6"/>
      <c r="G121" s="29">
        <v>19</v>
      </c>
      <c r="H121" s="30">
        <v>20.2</v>
      </c>
      <c r="I121" s="6"/>
      <c r="J121" s="6">
        <v>20.25</v>
      </c>
      <c r="K121" s="29"/>
      <c r="L121" s="29"/>
      <c r="M121" s="6"/>
    </row>
    <row r="122" spans="1:13" x14ac:dyDescent="0.35">
      <c r="A122" s="1">
        <v>123</v>
      </c>
      <c r="B122" s="1" t="s">
        <v>209</v>
      </c>
      <c r="C122" s="10" t="s">
        <v>211</v>
      </c>
      <c r="D122" s="10" t="s">
        <v>212</v>
      </c>
      <c r="E122" s="8">
        <v>12.95</v>
      </c>
      <c r="F122" s="8"/>
      <c r="G122" s="33">
        <v>11.95</v>
      </c>
      <c r="H122" s="33"/>
      <c r="I122" s="8">
        <v>12.99</v>
      </c>
      <c r="J122" s="8">
        <v>12.95</v>
      </c>
      <c r="K122" s="33"/>
      <c r="L122" s="33"/>
      <c r="M122" s="8">
        <v>12</v>
      </c>
    </row>
    <row r="123" spans="1:13" x14ac:dyDescent="0.35">
      <c r="A123" s="1">
        <v>124</v>
      </c>
      <c r="B123" s="1" t="s">
        <v>213</v>
      </c>
      <c r="C123" s="10" t="s">
        <v>214</v>
      </c>
      <c r="D123" s="10" t="s">
        <v>215</v>
      </c>
      <c r="E123" s="6">
        <v>7.4</v>
      </c>
      <c r="F123" s="6">
        <v>7.95</v>
      </c>
      <c r="G123" s="29">
        <v>6.5</v>
      </c>
      <c r="H123" s="29"/>
      <c r="I123" s="6">
        <v>7.99</v>
      </c>
      <c r="J123" s="6">
        <v>7.4</v>
      </c>
      <c r="K123" s="29">
        <v>7</v>
      </c>
      <c r="L123" s="29">
        <v>6.95</v>
      </c>
      <c r="M123" s="6">
        <v>7</v>
      </c>
    </row>
    <row r="124" spans="1:13" x14ac:dyDescent="0.35">
      <c r="A124" s="1">
        <v>125</v>
      </c>
      <c r="B124" s="1" t="s">
        <v>216</v>
      </c>
      <c r="C124" s="10" t="s">
        <v>214</v>
      </c>
      <c r="D124" s="10" t="s">
        <v>215</v>
      </c>
      <c r="E124" s="6">
        <v>7.15</v>
      </c>
      <c r="F124" s="6">
        <v>6.75</v>
      </c>
      <c r="G124" s="29">
        <v>6.5</v>
      </c>
      <c r="H124" s="29">
        <v>7.15</v>
      </c>
      <c r="I124" s="6">
        <v>7.49</v>
      </c>
      <c r="J124" s="6">
        <v>7.15</v>
      </c>
      <c r="K124" s="30">
        <v>6.95</v>
      </c>
      <c r="L124" s="30">
        <v>7.95</v>
      </c>
      <c r="M124" s="6"/>
    </row>
    <row r="125" spans="1:13" x14ac:dyDescent="0.35">
      <c r="A125" s="1">
        <v>126</v>
      </c>
      <c r="B125" s="1" t="s">
        <v>217</v>
      </c>
      <c r="C125" s="10" t="s">
        <v>214</v>
      </c>
      <c r="D125" s="10" t="s">
        <v>215</v>
      </c>
      <c r="E125" s="6">
        <v>10.75</v>
      </c>
      <c r="F125" s="6">
        <v>10.5</v>
      </c>
      <c r="G125" s="29">
        <v>9.5</v>
      </c>
      <c r="H125" s="29">
        <v>10.8</v>
      </c>
      <c r="I125" s="15">
        <v>8.99</v>
      </c>
      <c r="J125" s="6">
        <v>10.95</v>
      </c>
      <c r="K125" s="29">
        <v>11</v>
      </c>
      <c r="L125" s="29">
        <v>10</v>
      </c>
      <c r="M125" s="6">
        <v>10.75</v>
      </c>
    </row>
    <row r="126" spans="1:13" x14ac:dyDescent="0.35">
      <c r="A126" s="1">
        <v>127</v>
      </c>
      <c r="B126" s="1" t="s">
        <v>218</v>
      </c>
      <c r="C126" s="10" t="s">
        <v>214</v>
      </c>
      <c r="D126" s="10" t="s">
        <v>215</v>
      </c>
      <c r="E126" s="6"/>
      <c r="F126" s="6">
        <v>8.25</v>
      </c>
      <c r="G126" s="29">
        <v>6.5</v>
      </c>
      <c r="H126" s="29"/>
      <c r="I126" s="15">
        <v>8.49</v>
      </c>
      <c r="J126" s="6">
        <v>7.1</v>
      </c>
      <c r="K126" s="29">
        <v>8</v>
      </c>
      <c r="L126" s="29">
        <v>6.95</v>
      </c>
      <c r="M126" s="6">
        <v>8</v>
      </c>
    </row>
    <row r="127" spans="1:13" x14ac:dyDescent="0.35">
      <c r="A127" s="10">
        <v>128</v>
      </c>
      <c r="B127" s="1" t="s">
        <v>219</v>
      </c>
      <c r="C127" s="10" t="s">
        <v>214</v>
      </c>
      <c r="D127" s="10" t="s">
        <v>215</v>
      </c>
      <c r="E127" s="6">
        <v>8.35</v>
      </c>
      <c r="F127" s="6">
        <v>10.75</v>
      </c>
      <c r="G127" s="29">
        <v>7.5</v>
      </c>
      <c r="H127" s="30">
        <v>7.5</v>
      </c>
      <c r="I127" s="6">
        <v>8.99</v>
      </c>
      <c r="J127" s="6">
        <v>10.9</v>
      </c>
      <c r="K127" s="29">
        <v>8</v>
      </c>
      <c r="L127" s="29">
        <v>7.95</v>
      </c>
      <c r="M127" s="6">
        <v>8.25</v>
      </c>
    </row>
    <row r="128" spans="1:13" x14ac:dyDescent="0.35">
      <c r="A128" s="10">
        <v>129</v>
      </c>
      <c r="B128" s="1" t="s">
        <v>220</v>
      </c>
      <c r="C128" s="10" t="s">
        <v>182</v>
      </c>
      <c r="D128" s="10" t="s">
        <v>183</v>
      </c>
      <c r="E128" s="6">
        <v>12.99</v>
      </c>
      <c r="F128" s="6">
        <v>11.25</v>
      </c>
      <c r="G128" s="29">
        <v>10.95</v>
      </c>
      <c r="H128" s="29">
        <v>11.25</v>
      </c>
      <c r="I128" s="15">
        <v>10.99</v>
      </c>
      <c r="J128" s="6">
        <v>12.99</v>
      </c>
      <c r="K128" s="29">
        <v>11</v>
      </c>
      <c r="L128" s="29">
        <v>9.5</v>
      </c>
      <c r="M128" s="6">
        <v>9.5</v>
      </c>
    </row>
    <row r="129" spans="1:13" x14ac:dyDescent="0.35">
      <c r="A129" s="10">
        <v>130</v>
      </c>
      <c r="B129" s="1" t="s">
        <v>221</v>
      </c>
      <c r="C129" s="10" t="s">
        <v>70</v>
      </c>
      <c r="D129" s="10" t="s">
        <v>183</v>
      </c>
      <c r="E129" s="6">
        <v>9.5</v>
      </c>
      <c r="F129" s="6"/>
      <c r="G129" s="29">
        <v>6.95</v>
      </c>
      <c r="H129" s="29">
        <v>9.5</v>
      </c>
      <c r="I129" s="6">
        <v>9.99</v>
      </c>
      <c r="J129" s="6">
        <v>9.5</v>
      </c>
      <c r="K129" s="29">
        <v>7.5</v>
      </c>
      <c r="L129" s="29">
        <v>7.3</v>
      </c>
      <c r="M129" s="6">
        <v>9.5</v>
      </c>
    </row>
    <row r="130" spans="1:13" x14ac:dyDescent="0.35">
      <c r="A130" s="10">
        <v>131</v>
      </c>
      <c r="B130" s="1" t="s">
        <v>222</v>
      </c>
      <c r="C130" s="10" t="s">
        <v>70</v>
      </c>
      <c r="D130" s="10" t="s">
        <v>223</v>
      </c>
      <c r="E130" s="6"/>
      <c r="F130" s="6"/>
      <c r="G130" s="29"/>
      <c r="H130" s="29"/>
      <c r="I130" s="6">
        <v>10.99</v>
      </c>
      <c r="J130" s="6">
        <v>9.75</v>
      </c>
      <c r="K130" s="29">
        <v>9.5</v>
      </c>
      <c r="L130" s="29"/>
      <c r="M130" s="6"/>
    </row>
    <row r="131" spans="1:13" x14ac:dyDescent="0.35">
      <c r="A131" s="10">
        <v>132</v>
      </c>
      <c r="B131" s="1" t="s">
        <v>224</v>
      </c>
      <c r="C131" s="10" t="s">
        <v>182</v>
      </c>
      <c r="D131" s="10" t="s">
        <v>225</v>
      </c>
      <c r="E131" s="6"/>
      <c r="F131" s="6">
        <v>13.25</v>
      </c>
      <c r="G131" s="29">
        <v>12.5</v>
      </c>
      <c r="H131" s="29"/>
      <c r="I131" s="6">
        <v>14.99</v>
      </c>
      <c r="J131" s="6"/>
      <c r="K131" s="29">
        <v>13</v>
      </c>
      <c r="L131" s="29">
        <v>13</v>
      </c>
      <c r="M131" s="6">
        <v>13</v>
      </c>
    </row>
    <row r="132" spans="1:13" x14ac:dyDescent="0.35">
      <c r="A132" s="1">
        <v>8</v>
      </c>
      <c r="B132" s="1" t="s">
        <v>226</v>
      </c>
      <c r="C132" s="10"/>
      <c r="D132" s="10" t="s">
        <v>15</v>
      </c>
      <c r="E132" s="28">
        <v>19.84</v>
      </c>
      <c r="F132" s="28">
        <v>19.09</v>
      </c>
      <c r="G132" s="34">
        <v>21.07</v>
      </c>
      <c r="H132" s="34"/>
      <c r="I132" s="28">
        <v>18.989999999999998</v>
      </c>
      <c r="J132" s="28">
        <v>19.84</v>
      </c>
      <c r="K132" s="34"/>
      <c r="L132" s="34"/>
      <c r="M132" s="28"/>
    </row>
    <row r="133" spans="1:13" x14ac:dyDescent="0.35">
      <c r="A133" s="1">
        <v>9</v>
      </c>
      <c r="B133" s="1" t="s">
        <v>227</v>
      </c>
      <c r="C133" s="10"/>
      <c r="D133" s="10" t="s">
        <v>15</v>
      </c>
      <c r="E133" s="28">
        <v>22.64</v>
      </c>
      <c r="F133" s="28">
        <v>20.91</v>
      </c>
      <c r="G133" s="34">
        <v>21.81</v>
      </c>
      <c r="H133" s="34"/>
      <c r="I133" s="28">
        <v>20.99</v>
      </c>
      <c r="J133" s="28">
        <v>22.63</v>
      </c>
      <c r="K133" s="34">
        <v>22.27</v>
      </c>
      <c r="L133" s="34"/>
      <c r="M133" s="28"/>
    </row>
    <row r="134" spans="1:13" x14ac:dyDescent="0.35">
      <c r="A134" s="1">
        <v>10</v>
      </c>
      <c r="B134" s="1" t="s">
        <v>228</v>
      </c>
      <c r="C134" s="10"/>
      <c r="D134" s="10" t="s">
        <v>15</v>
      </c>
      <c r="E134" s="28">
        <v>13.75</v>
      </c>
      <c r="F134" s="28">
        <v>14.07</v>
      </c>
      <c r="G134" s="30">
        <v>13.68</v>
      </c>
      <c r="H134" s="34"/>
      <c r="I134" s="28"/>
      <c r="J134" s="28"/>
      <c r="K134" s="34"/>
      <c r="L134" s="34"/>
      <c r="M134" s="28"/>
    </row>
    <row r="135" spans="1:13" x14ac:dyDescent="0.35">
      <c r="A135" s="1">
        <v>11</v>
      </c>
      <c r="B135" s="1" t="s">
        <v>229</v>
      </c>
      <c r="C135" s="10"/>
      <c r="D135" s="10" t="s">
        <v>15</v>
      </c>
      <c r="E135" s="28">
        <v>22.68</v>
      </c>
      <c r="F135" s="28">
        <v>20</v>
      </c>
      <c r="G135" s="30">
        <v>17</v>
      </c>
      <c r="H135" s="34"/>
      <c r="I135" s="28">
        <v>19.989999999999998</v>
      </c>
      <c r="J135" s="28">
        <v>22.68</v>
      </c>
      <c r="K135" s="34">
        <v>22.27</v>
      </c>
      <c r="L135" s="34"/>
      <c r="M135" s="28"/>
    </row>
  </sheetData>
  <mergeCells count="5">
    <mergeCell ref="E1:M1"/>
    <mergeCell ref="E2:F2"/>
    <mergeCell ref="G2:H2"/>
    <mergeCell ref="I2:J2"/>
    <mergeCell ref="K2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R135"/>
  <sheetViews>
    <sheetView workbookViewId="0"/>
  </sheetViews>
  <sheetFormatPr defaultRowHeight="14.5" x14ac:dyDescent="0.35"/>
  <cols>
    <col min="2" max="2" width="27.453125" customWidth="1"/>
    <col min="3" max="3" width="15.26953125" customWidth="1"/>
  </cols>
  <sheetData>
    <row r="1" spans="1:18" x14ac:dyDescent="0.35">
      <c r="A1" s="1"/>
      <c r="B1" s="1"/>
      <c r="C1" s="1"/>
      <c r="D1" s="1"/>
      <c r="E1" s="185" t="s">
        <v>253</v>
      </c>
      <c r="F1" s="185"/>
      <c r="G1" s="185"/>
      <c r="H1" s="185"/>
      <c r="I1" s="185"/>
      <c r="J1" s="185"/>
      <c r="K1" s="185"/>
      <c r="L1" s="185"/>
      <c r="M1" s="185" t="s">
        <v>253</v>
      </c>
      <c r="N1" s="185"/>
      <c r="O1" s="185"/>
      <c r="P1" s="185"/>
      <c r="Q1" s="185"/>
      <c r="R1" s="185"/>
    </row>
    <row r="2" spans="1:18" x14ac:dyDescent="0.35">
      <c r="A2" s="2"/>
      <c r="B2" s="2"/>
      <c r="C2" s="2"/>
      <c r="D2" s="2"/>
      <c r="E2" s="185" t="s">
        <v>254</v>
      </c>
      <c r="F2" s="185"/>
      <c r="G2" s="154" t="s">
        <v>255</v>
      </c>
      <c r="H2" s="154"/>
      <c r="I2" s="154" t="s">
        <v>256</v>
      </c>
      <c r="J2" s="154"/>
      <c r="K2" s="186" t="s">
        <v>257</v>
      </c>
      <c r="L2" s="186"/>
      <c r="M2" s="185" t="s">
        <v>258</v>
      </c>
      <c r="N2" s="185"/>
      <c r="O2" s="185" t="s">
        <v>259</v>
      </c>
      <c r="P2" s="185"/>
      <c r="Q2" s="154" t="s">
        <v>260</v>
      </c>
      <c r="R2" s="154"/>
    </row>
    <row r="3" spans="1:18" ht="43.5" x14ac:dyDescent="0.35">
      <c r="A3" s="2" t="s">
        <v>5</v>
      </c>
      <c r="B3" s="2" t="s">
        <v>6</v>
      </c>
      <c r="C3" s="2" t="s">
        <v>7</v>
      </c>
      <c r="D3" s="2" t="s">
        <v>8</v>
      </c>
      <c r="E3" s="4" t="s">
        <v>261</v>
      </c>
      <c r="F3" s="4" t="s">
        <v>262</v>
      </c>
      <c r="G3" s="9" t="s">
        <v>263</v>
      </c>
      <c r="H3" s="9" t="s">
        <v>264</v>
      </c>
      <c r="I3" s="9" t="s">
        <v>265</v>
      </c>
      <c r="J3" s="9" t="s">
        <v>266</v>
      </c>
      <c r="K3" s="4" t="s">
        <v>267</v>
      </c>
      <c r="L3" s="5" t="s">
        <v>268</v>
      </c>
      <c r="M3" s="4" t="s">
        <v>269</v>
      </c>
      <c r="N3" s="4" t="s">
        <v>270</v>
      </c>
      <c r="O3" s="4" t="s">
        <v>271</v>
      </c>
      <c r="P3" s="4" t="s">
        <v>270</v>
      </c>
      <c r="Q3" s="9" t="s">
        <v>271</v>
      </c>
      <c r="R3" s="9" t="s">
        <v>270</v>
      </c>
    </row>
    <row r="4" spans="1:18" x14ac:dyDescent="0.35">
      <c r="A4" s="1">
        <v>1</v>
      </c>
      <c r="B4" s="1" t="s">
        <v>13</v>
      </c>
      <c r="C4" s="1" t="s">
        <v>14</v>
      </c>
      <c r="D4" s="1" t="s">
        <v>15</v>
      </c>
      <c r="E4" s="13"/>
      <c r="F4" s="13"/>
      <c r="G4" s="6"/>
      <c r="H4" s="13"/>
      <c r="I4" s="13"/>
      <c r="J4" s="13"/>
      <c r="K4" s="6"/>
      <c r="L4" s="13"/>
      <c r="M4" s="13"/>
      <c r="N4" s="13"/>
      <c r="O4" s="6"/>
      <c r="P4" s="13"/>
      <c r="Q4" s="13"/>
      <c r="R4" s="13"/>
    </row>
    <row r="5" spans="1:18" x14ac:dyDescent="0.35">
      <c r="A5" s="1">
        <v>2</v>
      </c>
      <c r="B5" s="1" t="s">
        <v>13</v>
      </c>
      <c r="C5" s="1" t="s">
        <v>16</v>
      </c>
      <c r="D5" s="1" t="s">
        <v>15</v>
      </c>
      <c r="E5" s="6">
        <v>12.25</v>
      </c>
      <c r="F5" s="6">
        <v>14</v>
      </c>
      <c r="G5" s="13"/>
      <c r="H5" s="13"/>
      <c r="I5" s="13"/>
      <c r="J5" s="13"/>
      <c r="K5" s="17">
        <v>13.61</v>
      </c>
      <c r="L5" s="13"/>
      <c r="M5" s="13"/>
      <c r="N5" s="13"/>
      <c r="O5" s="6">
        <v>15.95</v>
      </c>
      <c r="P5" s="13"/>
      <c r="Q5" s="6">
        <v>19.95</v>
      </c>
      <c r="R5" s="13"/>
    </row>
    <row r="6" spans="1:18" x14ac:dyDescent="0.35">
      <c r="A6" s="1">
        <v>3</v>
      </c>
      <c r="B6" s="1" t="s">
        <v>17</v>
      </c>
      <c r="C6" s="10" t="s">
        <v>18</v>
      </c>
      <c r="D6" s="10" t="s">
        <v>19</v>
      </c>
      <c r="E6" s="6"/>
      <c r="F6" s="15">
        <v>13.95</v>
      </c>
      <c r="G6" s="6"/>
      <c r="H6" s="6"/>
      <c r="I6" s="6">
        <v>26.5</v>
      </c>
      <c r="J6" s="6"/>
      <c r="K6" s="6">
        <v>15</v>
      </c>
      <c r="L6" s="6"/>
      <c r="M6" s="6"/>
      <c r="N6" s="6"/>
      <c r="O6" s="6"/>
      <c r="P6" s="6"/>
      <c r="Q6" s="6"/>
      <c r="R6" s="6"/>
    </row>
    <row r="7" spans="1:18" x14ac:dyDescent="0.35">
      <c r="A7" s="1">
        <v>4</v>
      </c>
      <c r="B7" s="1" t="s">
        <v>20</v>
      </c>
      <c r="C7" s="10" t="s">
        <v>18</v>
      </c>
      <c r="D7" s="10" t="s">
        <v>19</v>
      </c>
      <c r="E7" s="6"/>
      <c r="F7" s="6">
        <v>13.95</v>
      </c>
      <c r="G7" s="6"/>
      <c r="H7" s="6"/>
      <c r="I7" s="6">
        <v>26.5</v>
      </c>
      <c r="J7" s="6">
        <v>25.95</v>
      </c>
      <c r="K7" s="6"/>
      <c r="L7" s="6"/>
      <c r="M7" s="6"/>
      <c r="N7" s="6"/>
      <c r="O7" s="6"/>
      <c r="P7" s="6"/>
      <c r="Q7" s="6"/>
      <c r="R7" s="6"/>
    </row>
    <row r="8" spans="1:18" x14ac:dyDescent="0.35">
      <c r="A8" s="1">
        <v>5</v>
      </c>
      <c r="B8" s="1" t="s">
        <v>21</v>
      </c>
      <c r="C8" s="10" t="s">
        <v>18</v>
      </c>
      <c r="D8" s="10" t="s">
        <v>19</v>
      </c>
      <c r="E8" s="6"/>
      <c r="F8" s="6">
        <v>14.95</v>
      </c>
      <c r="G8" s="6"/>
      <c r="H8" s="6"/>
      <c r="I8" s="6">
        <v>18</v>
      </c>
      <c r="J8" s="6">
        <v>16.95</v>
      </c>
      <c r="K8" s="6"/>
      <c r="L8" s="6">
        <v>17.989999999999998</v>
      </c>
      <c r="M8" s="6"/>
      <c r="N8" s="6">
        <v>25</v>
      </c>
      <c r="O8" s="6">
        <v>12.95</v>
      </c>
      <c r="P8" s="6"/>
      <c r="Q8" s="6">
        <v>16.95</v>
      </c>
      <c r="R8" s="6"/>
    </row>
    <row r="9" spans="1:18" x14ac:dyDescent="0.35">
      <c r="A9" s="1">
        <v>6</v>
      </c>
      <c r="B9" s="1" t="s">
        <v>22</v>
      </c>
      <c r="C9" s="10" t="s">
        <v>18</v>
      </c>
      <c r="D9" s="10" t="s">
        <v>19</v>
      </c>
      <c r="E9" s="6"/>
      <c r="F9" s="6">
        <v>13.95</v>
      </c>
      <c r="G9" s="6"/>
      <c r="H9" s="6"/>
      <c r="I9" s="6">
        <v>26.5</v>
      </c>
      <c r="J9" s="6"/>
      <c r="K9" s="6">
        <v>15.99</v>
      </c>
      <c r="L9" s="6"/>
      <c r="M9" s="6"/>
      <c r="N9" s="6"/>
      <c r="O9" s="6"/>
      <c r="P9" s="6"/>
      <c r="Q9" s="6"/>
      <c r="R9" s="6"/>
    </row>
    <row r="10" spans="1:18" x14ac:dyDescent="0.35">
      <c r="A10" s="1">
        <v>7</v>
      </c>
      <c r="B10" s="1" t="s">
        <v>23</v>
      </c>
      <c r="C10" s="10" t="s">
        <v>18</v>
      </c>
      <c r="D10" s="10" t="s">
        <v>19</v>
      </c>
      <c r="E10" s="6"/>
      <c r="F10" s="6">
        <v>23.95</v>
      </c>
      <c r="G10" s="6"/>
      <c r="H10" s="6"/>
      <c r="I10" s="6">
        <v>34.5</v>
      </c>
      <c r="J10" s="6">
        <v>28.95</v>
      </c>
      <c r="K10" s="6">
        <v>25</v>
      </c>
      <c r="L10" s="6">
        <v>20</v>
      </c>
      <c r="M10" s="6"/>
      <c r="N10" s="6">
        <v>20</v>
      </c>
      <c r="O10" s="19">
        <v>19.95</v>
      </c>
      <c r="P10" s="6"/>
      <c r="Q10" s="15">
        <v>19.95</v>
      </c>
      <c r="R10" s="15">
        <v>20</v>
      </c>
    </row>
    <row r="11" spans="1:18" x14ac:dyDescent="0.35">
      <c r="A11" s="1">
        <v>8</v>
      </c>
      <c r="B11" s="1" t="s">
        <v>226</v>
      </c>
      <c r="C11" s="10"/>
      <c r="D11" s="10" t="s">
        <v>15</v>
      </c>
      <c r="E11" s="14">
        <v>16.93</v>
      </c>
      <c r="F11" s="14">
        <v>18.95</v>
      </c>
      <c r="G11" s="14"/>
      <c r="H11" s="14"/>
      <c r="I11" s="14"/>
      <c r="J11" s="14"/>
      <c r="K11" s="14"/>
      <c r="L11" s="14">
        <v>19.04</v>
      </c>
      <c r="M11" s="14"/>
      <c r="N11" s="14"/>
      <c r="O11" s="20">
        <v>20</v>
      </c>
      <c r="P11" s="14"/>
      <c r="Q11" s="14"/>
      <c r="R11" s="14"/>
    </row>
    <row r="12" spans="1:18" x14ac:dyDescent="0.35">
      <c r="A12" s="1">
        <v>9</v>
      </c>
      <c r="B12" s="1" t="s">
        <v>227</v>
      </c>
      <c r="C12" s="10"/>
      <c r="D12" s="10" t="s">
        <v>15</v>
      </c>
      <c r="E12" s="14">
        <v>19.2</v>
      </c>
      <c r="F12" s="14">
        <v>18.95</v>
      </c>
      <c r="G12" s="14"/>
      <c r="H12" s="14"/>
      <c r="I12" s="14"/>
      <c r="J12" s="14"/>
      <c r="K12" s="14"/>
      <c r="L12" s="14">
        <v>21.76</v>
      </c>
      <c r="M12" s="14"/>
      <c r="N12" s="14"/>
      <c r="O12" s="20">
        <v>21.95</v>
      </c>
      <c r="P12" s="14"/>
      <c r="Q12" s="14">
        <v>21.95</v>
      </c>
      <c r="R12" s="14"/>
    </row>
    <row r="13" spans="1:18" x14ac:dyDescent="0.35">
      <c r="A13" s="1">
        <v>10</v>
      </c>
      <c r="B13" s="1" t="s">
        <v>228</v>
      </c>
      <c r="C13" s="10"/>
      <c r="D13" s="10" t="s">
        <v>15</v>
      </c>
      <c r="E13" s="14">
        <v>9.09</v>
      </c>
      <c r="F13" s="14">
        <v>14.5</v>
      </c>
      <c r="G13" s="14"/>
      <c r="H13" s="14"/>
      <c r="I13" s="14"/>
      <c r="J13" s="14"/>
      <c r="K13" s="14"/>
      <c r="L13" s="14"/>
      <c r="M13" s="14"/>
      <c r="N13" s="14"/>
      <c r="O13" s="20">
        <v>12</v>
      </c>
      <c r="P13" s="14"/>
      <c r="Q13" s="14"/>
      <c r="R13" s="14"/>
    </row>
    <row r="14" spans="1:18" x14ac:dyDescent="0.35">
      <c r="A14" s="1">
        <v>11</v>
      </c>
      <c r="B14" s="1" t="s">
        <v>229</v>
      </c>
      <c r="C14" s="10"/>
      <c r="D14" s="10" t="s">
        <v>15</v>
      </c>
      <c r="E14" s="14">
        <v>21.48</v>
      </c>
      <c r="F14" s="14"/>
      <c r="G14" s="14"/>
      <c r="H14" s="14"/>
      <c r="I14" s="14"/>
      <c r="J14" s="14"/>
      <c r="K14" s="14"/>
      <c r="L14" s="14">
        <v>23.99</v>
      </c>
      <c r="M14" s="14"/>
      <c r="N14" s="14"/>
      <c r="O14" s="20">
        <v>21.95</v>
      </c>
      <c r="P14" s="14"/>
      <c r="Q14" s="14">
        <v>21.95</v>
      </c>
      <c r="R14" s="14"/>
    </row>
    <row r="15" spans="1:18" x14ac:dyDescent="0.35">
      <c r="A15" s="1">
        <v>12</v>
      </c>
      <c r="B15" s="1" t="s">
        <v>24</v>
      </c>
      <c r="C15" s="10"/>
      <c r="D15" s="10" t="s">
        <v>15</v>
      </c>
      <c r="E15" s="6">
        <v>13.06</v>
      </c>
      <c r="F15" s="6"/>
      <c r="G15" s="6">
        <v>18</v>
      </c>
      <c r="H15" s="6">
        <v>14.95</v>
      </c>
      <c r="I15" s="6">
        <v>14</v>
      </c>
      <c r="J15" s="6">
        <v>17.95</v>
      </c>
      <c r="K15" s="6"/>
      <c r="L15" s="6">
        <v>15</v>
      </c>
      <c r="M15" s="6"/>
      <c r="N15" s="6">
        <v>14.95</v>
      </c>
      <c r="O15" s="6">
        <v>12.95</v>
      </c>
      <c r="P15" s="6"/>
      <c r="Q15" s="6">
        <v>12.95</v>
      </c>
      <c r="R15" s="6">
        <v>14.99</v>
      </c>
    </row>
    <row r="16" spans="1:18" x14ac:dyDescent="0.35">
      <c r="A16" s="1">
        <v>13</v>
      </c>
      <c r="B16" s="1" t="s">
        <v>25</v>
      </c>
      <c r="C16" s="10"/>
      <c r="D16" s="10" t="s">
        <v>15</v>
      </c>
      <c r="E16" s="6">
        <v>26.82</v>
      </c>
      <c r="F16" s="6">
        <v>19.95</v>
      </c>
      <c r="G16" s="6"/>
      <c r="H16" s="6"/>
      <c r="I16" s="6">
        <v>30</v>
      </c>
      <c r="J16" s="6">
        <v>27.95</v>
      </c>
      <c r="K16" s="6"/>
      <c r="L16" s="6">
        <v>25</v>
      </c>
      <c r="M16" s="6"/>
      <c r="N16" s="6">
        <v>26</v>
      </c>
      <c r="O16" s="6"/>
      <c r="P16" s="6"/>
      <c r="Q16" s="6">
        <v>26.95</v>
      </c>
      <c r="R16" s="6">
        <v>26</v>
      </c>
    </row>
    <row r="17" spans="1:18" x14ac:dyDescent="0.35">
      <c r="A17" s="1">
        <v>14</v>
      </c>
      <c r="B17" s="1" t="s">
        <v>26</v>
      </c>
      <c r="C17" s="10"/>
      <c r="D17" s="10" t="s">
        <v>15</v>
      </c>
      <c r="E17" s="6">
        <v>27.73</v>
      </c>
      <c r="F17" s="6"/>
      <c r="G17" s="6">
        <v>22.95</v>
      </c>
      <c r="H17" s="6"/>
      <c r="I17" s="6">
        <v>27</v>
      </c>
      <c r="J17" s="6">
        <v>19.95</v>
      </c>
      <c r="K17" s="6">
        <v>24.99</v>
      </c>
      <c r="L17" s="6">
        <v>25.04</v>
      </c>
      <c r="M17" s="6">
        <v>23</v>
      </c>
      <c r="N17" s="6">
        <v>23.95</v>
      </c>
      <c r="O17" s="6"/>
      <c r="P17" s="6"/>
      <c r="Q17" s="6"/>
      <c r="R17" s="6">
        <v>25</v>
      </c>
    </row>
    <row r="18" spans="1:18" x14ac:dyDescent="0.35">
      <c r="A18" s="1">
        <v>15</v>
      </c>
      <c r="B18" s="1" t="s">
        <v>27</v>
      </c>
      <c r="C18" s="10" t="s">
        <v>28</v>
      </c>
      <c r="D18" s="10" t="s">
        <v>29</v>
      </c>
      <c r="E18" s="6">
        <v>15.5</v>
      </c>
      <c r="F18" s="6">
        <v>14.95</v>
      </c>
      <c r="G18" s="6">
        <v>15.95</v>
      </c>
      <c r="H18" s="6">
        <v>15.95</v>
      </c>
      <c r="I18" s="6"/>
      <c r="J18" s="6"/>
      <c r="K18" s="6">
        <v>15.5</v>
      </c>
      <c r="L18" s="6">
        <v>15.99</v>
      </c>
      <c r="M18" s="6"/>
      <c r="N18" s="6">
        <v>15.99</v>
      </c>
      <c r="O18" s="6">
        <v>15.95</v>
      </c>
      <c r="P18" s="6">
        <v>15.99</v>
      </c>
      <c r="Q18" s="6">
        <v>15.95</v>
      </c>
      <c r="R18" s="6"/>
    </row>
    <row r="19" spans="1:18" x14ac:dyDescent="0.35">
      <c r="A19" s="1">
        <v>16</v>
      </c>
      <c r="B19" s="1" t="s">
        <v>30</v>
      </c>
      <c r="C19" s="10" t="s">
        <v>31</v>
      </c>
      <c r="D19" s="10" t="s">
        <v>15</v>
      </c>
      <c r="E19" s="6"/>
      <c r="F19" s="6">
        <v>18.95</v>
      </c>
      <c r="G19" s="6">
        <v>22.95</v>
      </c>
      <c r="H19" s="6">
        <v>24.95</v>
      </c>
      <c r="I19" s="6"/>
      <c r="J19" s="6">
        <v>23.99</v>
      </c>
      <c r="K19" s="6">
        <v>26.81</v>
      </c>
      <c r="L19" s="6">
        <v>27.26</v>
      </c>
      <c r="M19" s="6">
        <v>11</v>
      </c>
      <c r="N19" s="6"/>
      <c r="O19" s="6">
        <v>24.95</v>
      </c>
      <c r="P19" s="6">
        <v>26</v>
      </c>
      <c r="Q19" s="6">
        <v>24.95</v>
      </c>
      <c r="R19" s="6">
        <v>27.21</v>
      </c>
    </row>
    <row r="20" spans="1:18" x14ac:dyDescent="0.35">
      <c r="A20" s="1">
        <v>17</v>
      </c>
      <c r="B20" s="1" t="s">
        <v>30</v>
      </c>
      <c r="C20" s="10" t="s">
        <v>32</v>
      </c>
      <c r="D20" s="10" t="s">
        <v>15</v>
      </c>
      <c r="E20" s="6"/>
      <c r="F20" s="6"/>
      <c r="G20" s="6"/>
      <c r="H20" s="6"/>
      <c r="I20" s="6">
        <v>28.5</v>
      </c>
      <c r="J20" s="6"/>
      <c r="K20" s="6"/>
      <c r="L20" s="6"/>
      <c r="M20" s="6">
        <v>13</v>
      </c>
      <c r="N20" s="6">
        <v>12.99</v>
      </c>
      <c r="O20" s="6"/>
      <c r="P20" s="6"/>
      <c r="Q20" s="6"/>
      <c r="R20" s="6"/>
    </row>
    <row r="21" spans="1:18" x14ac:dyDescent="0.35">
      <c r="A21" s="1">
        <v>18</v>
      </c>
      <c r="B21" s="1" t="s">
        <v>33</v>
      </c>
      <c r="C21" s="10" t="s">
        <v>31</v>
      </c>
      <c r="D21" s="10" t="s">
        <v>15</v>
      </c>
      <c r="E21" s="6"/>
      <c r="F21" s="6">
        <v>29.95</v>
      </c>
      <c r="G21" s="6"/>
      <c r="H21" s="6"/>
      <c r="I21" s="6"/>
      <c r="J21" s="6"/>
      <c r="K21" s="6">
        <v>26.79</v>
      </c>
      <c r="L21" s="6"/>
      <c r="M21" s="6"/>
      <c r="N21" s="6"/>
      <c r="O21" s="6">
        <v>29.95</v>
      </c>
      <c r="P21" s="6"/>
      <c r="Q21" s="6">
        <v>29.95</v>
      </c>
      <c r="R21" s="6"/>
    </row>
    <row r="22" spans="1:18" x14ac:dyDescent="0.35">
      <c r="A22" s="1">
        <v>19</v>
      </c>
      <c r="B22" s="1" t="s">
        <v>33</v>
      </c>
      <c r="C22" s="10" t="s">
        <v>32</v>
      </c>
      <c r="D22" s="10" t="s">
        <v>15</v>
      </c>
      <c r="E22" s="6"/>
      <c r="F22" s="6"/>
      <c r="G22" s="6">
        <v>26.95</v>
      </c>
      <c r="H22" s="6">
        <v>24.95</v>
      </c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x14ac:dyDescent="0.35">
      <c r="A23" s="1">
        <v>20</v>
      </c>
      <c r="B23" s="1" t="s">
        <v>34</v>
      </c>
      <c r="C23" s="10"/>
      <c r="D23" s="10" t="s">
        <v>15</v>
      </c>
      <c r="E23" s="6">
        <v>19.66</v>
      </c>
      <c r="F23" s="6">
        <v>14.95</v>
      </c>
      <c r="G23" s="6">
        <v>37.950000000000003</v>
      </c>
      <c r="H23" s="6">
        <v>24.95</v>
      </c>
      <c r="I23" s="6"/>
      <c r="J23" s="6">
        <v>18.95</v>
      </c>
      <c r="K23" s="6">
        <v>19.97</v>
      </c>
      <c r="L23" s="6">
        <v>19.54</v>
      </c>
      <c r="M23" s="6">
        <v>16.5</v>
      </c>
      <c r="N23" s="6">
        <v>25.58</v>
      </c>
      <c r="O23" s="6">
        <v>18.95</v>
      </c>
      <c r="P23" s="6">
        <v>19.489999999999998</v>
      </c>
      <c r="Q23" s="6">
        <v>19.95</v>
      </c>
      <c r="R23" s="6">
        <v>19.5</v>
      </c>
    </row>
    <row r="24" spans="1:18" x14ac:dyDescent="0.35">
      <c r="A24" s="1">
        <v>21</v>
      </c>
      <c r="B24" s="1" t="s">
        <v>35</v>
      </c>
      <c r="C24" s="10" t="s">
        <v>36</v>
      </c>
      <c r="D24" s="10" t="s">
        <v>15</v>
      </c>
      <c r="E24" s="6">
        <v>52.75</v>
      </c>
      <c r="F24" s="6">
        <v>56.95</v>
      </c>
      <c r="G24" s="6">
        <v>54.95</v>
      </c>
      <c r="H24" s="6">
        <v>52.95</v>
      </c>
      <c r="I24" s="6"/>
      <c r="J24" s="6"/>
      <c r="K24" s="6"/>
      <c r="L24" s="6">
        <v>57.99</v>
      </c>
      <c r="M24" s="6"/>
      <c r="N24" s="6">
        <v>54.99</v>
      </c>
      <c r="O24" s="6"/>
      <c r="P24" s="6">
        <v>54.99</v>
      </c>
      <c r="Q24" s="6">
        <v>54.95</v>
      </c>
      <c r="R24" s="6"/>
    </row>
    <row r="25" spans="1:18" x14ac:dyDescent="0.35">
      <c r="A25" s="1">
        <v>22</v>
      </c>
      <c r="B25" s="1" t="s">
        <v>37</v>
      </c>
      <c r="C25" s="10"/>
      <c r="D25" s="10" t="s">
        <v>15</v>
      </c>
      <c r="E25" s="6">
        <v>24.55</v>
      </c>
      <c r="F25" s="6">
        <v>21.95</v>
      </c>
      <c r="G25" s="6">
        <v>20</v>
      </c>
      <c r="H25" s="6"/>
      <c r="I25" s="6">
        <v>25</v>
      </c>
      <c r="J25" s="6">
        <v>22.95</v>
      </c>
      <c r="K25" s="6">
        <v>22.72</v>
      </c>
      <c r="L25" s="6">
        <v>24.08</v>
      </c>
      <c r="M25" s="6"/>
      <c r="N25" s="6">
        <v>20</v>
      </c>
      <c r="O25" s="6">
        <v>21.99</v>
      </c>
      <c r="P25" s="6">
        <v>22.99</v>
      </c>
      <c r="Q25" s="6">
        <v>21.95</v>
      </c>
      <c r="R25" s="6">
        <v>22.99</v>
      </c>
    </row>
    <row r="26" spans="1:18" x14ac:dyDescent="0.35">
      <c r="A26" s="1">
        <v>23</v>
      </c>
      <c r="B26" s="1" t="s">
        <v>38</v>
      </c>
      <c r="C26" s="10" t="s">
        <v>39</v>
      </c>
      <c r="D26" s="10" t="s">
        <v>40</v>
      </c>
      <c r="E26" s="6">
        <v>11</v>
      </c>
      <c r="F26" s="6">
        <v>11.5</v>
      </c>
      <c r="G26" s="24"/>
      <c r="H26" s="6">
        <v>9.5</v>
      </c>
      <c r="I26" s="6">
        <v>12</v>
      </c>
      <c r="J26" s="15">
        <v>5.5</v>
      </c>
      <c r="K26" s="6">
        <v>11.5</v>
      </c>
      <c r="L26" s="6">
        <v>10.99</v>
      </c>
      <c r="M26" s="6">
        <v>6.99</v>
      </c>
      <c r="N26" s="6">
        <v>6.99</v>
      </c>
      <c r="O26" s="6">
        <v>11.95</v>
      </c>
      <c r="P26" s="6">
        <v>10.99</v>
      </c>
      <c r="Q26" s="6">
        <v>11.95</v>
      </c>
      <c r="R26" s="6">
        <v>10.99</v>
      </c>
    </row>
    <row r="27" spans="1:18" x14ac:dyDescent="0.35">
      <c r="A27" s="1">
        <v>24</v>
      </c>
      <c r="B27" s="1" t="s">
        <v>38</v>
      </c>
      <c r="C27" s="10" t="s">
        <v>41</v>
      </c>
      <c r="D27" s="10" t="s">
        <v>40</v>
      </c>
      <c r="E27" s="6">
        <v>8</v>
      </c>
      <c r="F27" s="6">
        <v>7.95</v>
      </c>
      <c r="G27" s="6">
        <v>7.95</v>
      </c>
      <c r="H27" s="6">
        <v>8.5</v>
      </c>
      <c r="I27" s="6">
        <v>8.75</v>
      </c>
      <c r="J27" s="15">
        <v>4.5</v>
      </c>
      <c r="K27" s="6">
        <v>7.95</v>
      </c>
      <c r="L27" s="6">
        <v>8.99</v>
      </c>
      <c r="M27" s="6"/>
      <c r="N27" s="6">
        <v>8.99</v>
      </c>
      <c r="O27" s="6">
        <v>8.9499999999999993</v>
      </c>
      <c r="P27" s="6">
        <v>8.99</v>
      </c>
      <c r="Q27" s="6">
        <v>8.9499999999999993</v>
      </c>
      <c r="R27" s="6">
        <v>8.99</v>
      </c>
    </row>
    <row r="28" spans="1:18" x14ac:dyDescent="0.35">
      <c r="A28" s="1">
        <v>25</v>
      </c>
      <c r="B28" s="1" t="s">
        <v>42</v>
      </c>
      <c r="C28" s="10" t="s">
        <v>43</v>
      </c>
      <c r="D28" s="10" t="s">
        <v>40</v>
      </c>
      <c r="E28" s="6">
        <v>8.5</v>
      </c>
      <c r="F28" s="6">
        <v>8.9499999999999993</v>
      </c>
      <c r="G28" s="6">
        <v>9.9499999999999993</v>
      </c>
      <c r="H28" s="6">
        <v>13.5</v>
      </c>
      <c r="I28" s="6">
        <v>10.5</v>
      </c>
      <c r="J28" s="6">
        <v>7.95</v>
      </c>
      <c r="K28" s="6">
        <v>10.99</v>
      </c>
      <c r="L28" s="6">
        <v>9.99</v>
      </c>
      <c r="M28" s="6">
        <v>10.95</v>
      </c>
      <c r="N28" s="6"/>
      <c r="O28" s="6">
        <v>8.9499999999999993</v>
      </c>
      <c r="P28" s="6">
        <v>9.99</v>
      </c>
      <c r="Q28" s="6">
        <v>8.9499999999999993</v>
      </c>
      <c r="R28" s="6">
        <v>9.99</v>
      </c>
    </row>
    <row r="29" spans="1:18" x14ac:dyDescent="0.35">
      <c r="A29" s="1">
        <v>26</v>
      </c>
      <c r="B29" s="1" t="s">
        <v>42</v>
      </c>
      <c r="C29" s="10" t="s">
        <v>44</v>
      </c>
      <c r="D29" s="10" t="s">
        <v>45</v>
      </c>
      <c r="E29" s="6">
        <v>21.25</v>
      </c>
      <c r="F29" s="6">
        <v>21.95</v>
      </c>
      <c r="G29" s="6"/>
      <c r="H29" s="24">
        <v>18.5</v>
      </c>
      <c r="I29" s="6">
        <v>25.95</v>
      </c>
      <c r="J29" s="6">
        <v>21.95</v>
      </c>
      <c r="K29" s="6">
        <v>21.25</v>
      </c>
      <c r="L29" s="6">
        <v>23.99</v>
      </c>
      <c r="M29" s="6"/>
      <c r="N29" s="6">
        <v>19.989999999999998</v>
      </c>
      <c r="O29" s="6">
        <v>19.95</v>
      </c>
      <c r="P29" s="6"/>
      <c r="Q29" s="6">
        <v>22.95</v>
      </c>
      <c r="R29" s="6">
        <v>23.99</v>
      </c>
    </row>
    <row r="30" spans="1:18" x14ac:dyDescent="0.35">
      <c r="A30" s="1">
        <v>27</v>
      </c>
      <c r="B30" s="1" t="s">
        <v>46</v>
      </c>
      <c r="C30" s="10" t="s">
        <v>47</v>
      </c>
      <c r="D30" s="10" t="s">
        <v>48</v>
      </c>
      <c r="E30" s="6">
        <v>22.5</v>
      </c>
      <c r="F30" s="6">
        <v>19.95</v>
      </c>
      <c r="G30" s="6">
        <v>18.25</v>
      </c>
      <c r="H30" s="6">
        <v>19.95</v>
      </c>
      <c r="I30" s="6">
        <v>20</v>
      </c>
      <c r="J30" s="6">
        <v>19.95</v>
      </c>
      <c r="K30" s="17">
        <v>20</v>
      </c>
      <c r="L30" s="17">
        <v>19.989999999999998</v>
      </c>
      <c r="M30" s="23">
        <v>22.95</v>
      </c>
      <c r="N30" s="23">
        <v>20.99</v>
      </c>
      <c r="O30" s="6">
        <v>19.95</v>
      </c>
      <c r="P30" s="6">
        <v>19.989999999999998</v>
      </c>
      <c r="Q30" s="6">
        <v>24.95</v>
      </c>
      <c r="R30" s="6">
        <v>19.989999999999998</v>
      </c>
    </row>
    <row r="31" spans="1:18" x14ac:dyDescent="0.35">
      <c r="A31" s="1">
        <v>28</v>
      </c>
      <c r="B31" s="1" t="s">
        <v>49</v>
      </c>
      <c r="C31" s="10" t="s">
        <v>50</v>
      </c>
      <c r="D31" s="10" t="s">
        <v>51</v>
      </c>
      <c r="E31" s="6">
        <v>12.5</v>
      </c>
      <c r="F31" s="6">
        <v>12.95</v>
      </c>
      <c r="G31" s="6">
        <v>11.95</v>
      </c>
      <c r="H31" s="6">
        <v>12.95</v>
      </c>
      <c r="I31" s="6"/>
      <c r="J31" s="6">
        <v>12.95</v>
      </c>
      <c r="K31" s="6">
        <v>13.95</v>
      </c>
      <c r="L31" s="6">
        <v>13.99</v>
      </c>
      <c r="M31" s="23">
        <v>12.95</v>
      </c>
      <c r="N31" s="23">
        <v>12.99</v>
      </c>
      <c r="O31" s="6">
        <v>12.95</v>
      </c>
      <c r="P31" s="6">
        <v>13.99</v>
      </c>
      <c r="Q31" s="6">
        <v>12.95</v>
      </c>
      <c r="R31" s="6">
        <v>12.99</v>
      </c>
    </row>
    <row r="32" spans="1:18" x14ac:dyDescent="0.35">
      <c r="A32" s="1">
        <v>29</v>
      </c>
      <c r="B32" s="1" t="s">
        <v>52</v>
      </c>
      <c r="C32" s="10" t="s">
        <v>53</v>
      </c>
      <c r="D32" s="10" t="s">
        <v>51</v>
      </c>
      <c r="E32" s="6">
        <v>13</v>
      </c>
      <c r="F32" s="6">
        <v>12.95</v>
      </c>
      <c r="G32" s="6">
        <v>12.95</v>
      </c>
      <c r="H32" s="6">
        <v>11.95</v>
      </c>
      <c r="I32" s="6">
        <v>13.5</v>
      </c>
      <c r="J32" s="6">
        <v>13.5</v>
      </c>
      <c r="K32" s="6">
        <v>13.95</v>
      </c>
      <c r="L32" s="6">
        <v>13.99</v>
      </c>
      <c r="M32" s="6"/>
      <c r="N32" s="6">
        <v>13.99</v>
      </c>
      <c r="O32" s="6">
        <v>12.95</v>
      </c>
      <c r="P32" s="6">
        <v>13.99</v>
      </c>
      <c r="Q32" s="6">
        <v>12.95</v>
      </c>
      <c r="R32" s="6">
        <v>13.99</v>
      </c>
    </row>
    <row r="33" spans="1:18" x14ac:dyDescent="0.35">
      <c r="A33" s="1">
        <v>30</v>
      </c>
      <c r="B33" s="1" t="s">
        <v>54</v>
      </c>
      <c r="C33" s="10" t="s">
        <v>55</v>
      </c>
      <c r="D33" s="10" t="s">
        <v>56</v>
      </c>
      <c r="E33" s="6">
        <v>52.95</v>
      </c>
      <c r="F33" s="6">
        <v>52.95</v>
      </c>
      <c r="G33" s="6">
        <v>52.95</v>
      </c>
      <c r="H33" s="6">
        <v>52.95</v>
      </c>
      <c r="I33" s="6">
        <v>52.95</v>
      </c>
      <c r="J33" s="6">
        <v>52.95</v>
      </c>
      <c r="K33" s="6">
        <v>52.95</v>
      </c>
      <c r="L33" s="6">
        <v>52.95</v>
      </c>
      <c r="M33" s="6"/>
      <c r="N33" s="6">
        <v>52.99</v>
      </c>
      <c r="O33" s="6">
        <v>52.95</v>
      </c>
      <c r="P33" s="6">
        <v>52.95</v>
      </c>
      <c r="Q33" s="6">
        <v>52.95</v>
      </c>
      <c r="R33" s="6">
        <v>52.95</v>
      </c>
    </row>
    <row r="34" spans="1:18" x14ac:dyDescent="0.35">
      <c r="A34" s="1">
        <v>31</v>
      </c>
      <c r="B34" s="1" t="s">
        <v>54</v>
      </c>
      <c r="C34" s="10" t="s">
        <v>55</v>
      </c>
      <c r="D34" s="10" t="s">
        <v>57</v>
      </c>
      <c r="E34" s="6">
        <v>16.5</v>
      </c>
      <c r="F34" s="6">
        <v>16.5</v>
      </c>
      <c r="G34" s="6">
        <v>15.95</v>
      </c>
      <c r="H34" s="6">
        <v>16.5</v>
      </c>
      <c r="I34" s="6">
        <v>16.5</v>
      </c>
      <c r="J34" s="6">
        <v>16.95</v>
      </c>
      <c r="K34" s="6">
        <v>16.5</v>
      </c>
      <c r="L34" s="6">
        <v>16.5</v>
      </c>
      <c r="M34" s="6"/>
      <c r="N34" s="6">
        <v>16.5</v>
      </c>
      <c r="O34" s="6">
        <v>16.5</v>
      </c>
      <c r="P34" s="6">
        <v>16.5</v>
      </c>
      <c r="Q34" s="6">
        <v>16.5</v>
      </c>
      <c r="R34" s="6">
        <v>16.5</v>
      </c>
    </row>
    <row r="35" spans="1:18" x14ac:dyDescent="0.35">
      <c r="A35" s="1">
        <v>32</v>
      </c>
      <c r="B35" s="1" t="s">
        <v>58</v>
      </c>
      <c r="C35" s="10" t="s">
        <v>55</v>
      </c>
      <c r="D35" s="10" t="s">
        <v>56</v>
      </c>
      <c r="E35" s="6">
        <v>57.95</v>
      </c>
      <c r="F35" s="6">
        <v>57.95</v>
      </c>
      <c r="G35" s="24">
        <v>57.95</v>
      </c>
      <c r="H35" s="24">
        <v>57.95</v>
      </c>
      <c r="I35" s="6">
        <v>57.95</v>
      </c>
      <c r="J35" s="6">
        <v>60.95</v>
      </c>
      <c r="K35" s="6">
        <v>57.95</v>
      </c>
      <c r="L35" s="6">
        <v>57.95</v>
      </c>
      <c r="M35" s="6"/>
      <c r="N35" s="6"/>
      <c r="O35" s="6">
        <v>57.95</v>
      </c>
      <c r="P35" s="6">
        <v>57.95</v>
      </c>
      <c r="Q35" s="6">
        <v>57.95</v>
      </c>
      <c r="R35" s="6">
        <v>57.95</v>
      </c>
    </row>
    <row r="36" spans="1:18" x14ac:dyDescent="0.35">
      <c r="A36" s="1">
        <v>33</v>
      </c>
      <c r="B36" s="1" t="s">
        <v>58</v>
      </c>
      <c r="C36" s="10" t="s">
        <v>55</v>
      </c>
      <c r="D36" s="10" t="s">
        <v>59</v>
      </c>
      <c r="E36" s="6">
        <v>30.95</v>
      </c>
      <c r="F36" s="6">
        <v>30.95</v>
      </c>
      <c r="G36" s="24"/>
      <c r="H36" s="6">
        <v>30.95</v>
      </c>
      <c r="I36" s="6">
        <v>30.95</v>
      </c>
      <c r="J36" s="6">
        <v>32.950000000000003</v>
      </c>
      <c r="K36" s="6">
        <v>30.95</v>
      </c>
      <c r="L36" s="6">
        <v>30.95</v>
      </c>
      <c r="M36" s="6">
        <v>30.95</v>
      </c>
      <c r="N36" s="23">
        <v>30.95</v>
      </c>
      <c r="O36" s="6">
        <v>30.95</v>
      </c>
      <c r="P36" s="6">
        <v>30.95</v>
      </c>
      <c r="Q36" s="6">
        <v>30.95</v>
      </c>
      <c r="R36" s="6">
        <v>30.95</v>
      </c>
    </row>
    <row r="37" spans="1:18" x14ac:dyDescent="0.35">
      <c r="A37" s="1">
        <v>57</v>
      </c>
      <c r="B37" s="1" t="s">
        <v>60</v>
      </c>
      <c r="C37" s="10" t="s">
        <v>61</v>
      </c>
      <c r="D37" s="10" t="s">
        <v>62</v>
      </c>
      <c r="E37" s="6">
        <v>9.9499999999999993</v>
      </c>
      <c r="F37" s="6">
        <v>10.75</v>
      </c>
      <c r="G37" s="6">
        <v>9.9499999999999993</v>
      </c>
      <c r="H37" s="6">
        <v>10.5</v>
      </c>
      <c r="I37" s="6">
        <v>10.5</v>
      </c>
      <c r="J37" s="6">
        <v>10.95</v>
      </c>
      <c r="K37" s="6">
        <v>10.95</v>
      </c>
      <c r="L37" s="6">
        <v>10.99</v>
      </c>
      <c r="M37" s="6">
        <v>10.99</v>
      </c>
      <c r="N37" s="6">
        <v>10.99</v>
      </c>
      <c r="O37" s="6">
        <v>11</v>
      </c>
      <c r="P37" s="6">
        <v>10.99</v>
      </c>
      <c r="Q37" s="6">
        <v>10.95</v>
      </c>
      <c r="R37" s="6">
        <v>10.99</v>
      </c>
    </row>
    <row r="38" spans="1:18" x14ac:dyDescent="0.35">
      <c r="A38" s="1">
        <v>35</v>
      </c>
      <c r="B38" s="1" t="s">
        <v>63</v>
      </c>
      <c r="C38" s="10" t="s">
        <v>64</v>
      </c>
      <c r="D38" s="10" t="s">
        <v>65</v>
      </c>
      <c r="E38" s="6">
        <v>5.5</v>
      </c>
      <c r="F38" s="6">
        <v>6.5</v>
      </c>
      <c r="G38" s="6">
        <v>7.5</v>
      </c>
      <c r="H38" s="24"/>
      <c r="I38" s="6">
        <v>6</v>
      </c>
      <c r="J38" s="6">
        <v>4.95</v>
      </c>
      <c r="K38" s="6">
        <v>6.25</v>
      </c>
      <c r="L38" s="6">
        <v>5.99</v>
      </c>
      <c r="M38" s="6">
        <v>7</v>
      </c>
      <c r="N38" s="6"/>
      <c r="O38" s="6">
        <v>5.95</v>
      </c>
      <c r="P38" s="6">
        <v>5.99</v>
      </c>
      <c r="Q38" s="6">
        <v>8</v>
      </c>
      <c r="R38" s="15">
        <v>5</v>
      </c>
    </row>
    <row r="39" spans="1:18" x14ac:dyDescent="0.35">
      <c r="A39" s="1">
        <v>36</v>
      </c>
      <c r="B39" s="1" t="s">
        <v>66</v>
      </c>
      <c r="C39" s="10" t="s">
        <v>50</v>
      </c>
      <c r="D39" s="10" t="s">
        <v>67</v>
      </c>
      <c r="E39" s="6">
        <v>11.75</v>
      </c>
      <c r="F39" s="6">
        <v>10.95</v>
      </c>
      <c r="G39" s="6">
        <v>9.9499999999999993</v>
      </c>
      <c r="H39" s="6">
        <v>10.95</v>
      </c>
      <c r="I39" s="6">
        <v>12.5</v>
      </c>
      <c r="J39" s="6">
        <v>12.95</v>
      </c>
      <c r="K39" s="15">
        <v>10</v>
      </c>
      <c r="L39" s="6">
        <v>13.99</v>
      </c>
      <c r="M39" s="6"/>
      <c r="N39" s="6">
        <v>10.99</v>
      </c>
      <c r="O39" s="6">
        <v>11.95</v>
      </c>
      <c r="P39" s="6"/>
      <c r="Q39" s="6">
        <v>13</v>
      </c>
      <c r="R39" s="6">
        <v>10.99</v>
      </c>
    </row>
    <row r="40" spans="1:18" x14ac:dyDescent="0.35">
      <c r="A40" s="1">
        <v>37</v>
      </c>
      <c r="B40" s="1" t="s">
        <v>66</v>
      </c>
      <c r="C40" s="10" t="s">
        <v>68</v>
      </c>
      <c r="D40" s="10" t="s">
        <v>67</v>
      </c>
      <c r="E40" s="6">
        <v>6.25</v>
      </c>
      <c r="F40" s="6">
        <v>6.95</v>
      </c>
      <c r="G40" s="6">
        <v>7</v>
      </c>
      <c r="H40" s="6">
        <v>5.95</v>
      </c>
      <c r="I40" s="6">
        <v>6.95</v>
      </c>
      <c r="J40" s="6">
        <v>5.95</v>
      </c>
      <c r="K40" s="15"/>
      <c r="L40" s="6">
        <v>6.99</v>
      </c>
      <c r="M40" s="6">
        <v>7</v>
      </c>
      <c r="N40" s="6">
        <v>6.99</v>
      </c>
      <c r="O40" s="6">
        <v>6.99</v>
      </c>
      <c r="P40" s="6">
        <v>6.99</v>
      </c>
      <c r="Q40" s="6">
        <v>6.95</v>
      </c>
      <c r="R40" s="6"/>
    </row>
    <row r="41" spans="1:18" x14ac:dyDescent="0.35">
      <c r="A41" s="1">
        <v>38</v>
      </c>
      <c r="B41" s="1" t="s">
        <v>69</v>
      </c>
      <c r="C41" s="10" t="s">
        <v>70</v>
      </c>
      <c r="D41" s="10" t="s">
        <v>59</v>
      </c>
      <c r="E41" s="6">
        <v>5</v>
      </c>
      <c r="F41" s="6">
        <v>4.95</v>
      </c>
      <c r="G41" s="24"/>
      <c r="H41" s="24">
        <v>4</v>
      </c>
      <c r="I41" s="6">
        <v>4.95</v>
      </c>
      <c r="J41" s="6">
        <v>4.95</v>
      </c>
      <c r="K41" s="6">
        <v>4.99</v>
      </c>
      <c r="L41" s="6">
        <v>4.99</v>
      </c>
      <c r="M41" s="6">
        <v>5.95</v>
      </c>
      <c r="N41" s="6">
        <v>6.99</v>
      </c>
      <c r="O41" s="6">
        <v>5.95</v>
      </c>
      <c r="P41" s="6">
        <v>4.99</v>
      </c>
      <c r="Q41" s="6">
        <v>5.95</v>
      </c>
      <c r="R41" s="6">
        <v>4.99</v>
      </c>
    </row>
    <row r="42" spans="1:18" x14ac:dyDescent="0.35">
      <c r="A42" s="1">
        <v>39</v>
      </c>
      <c r="B42" s="1" t="s">
        <v>71</v>
      </c>
      <c r="C42" s="10" t="s">
        <v>70</v>
      </c>
      <c r="D42" s="10" t="s">
        <v>59</v>
      </c>
      <c r="E42" s="6"/>
      <c r="F42" s="6">
        <v>6.5</v>
      </c>
      <c r="G42" s="24"/>
      <c r="H42" s="24">
        <v>7.95</v>
      </c>
      <c r="I42" s="6">
        <v>6.75</v>
      </c>
      <c r="J42" s="6"/>
      <c r="K42" s="6">
        <v>6.5</v>
      </c>
      <c r="L42" s="6"/>
      <c r="M42" s="6"/>
      <c r="N42" s="6">
        <v>5.99</v>
      </c>
      <c r="O42" s="6">
        <v>6.95</v>
      </c>
      <c r="P42" s="6">
        <v>6.99</v>
      </c>
      <c r="Q42" s="6"/>
      <c r="R42" s="6">
        <v>6.99</v>
      </c>
    </row>
    <row r="43" spans="1:18" x14ac:dyDescent="0.35">
      <c r="A43" s="1">
        <v>40</v>
      </c>
      <c r="B43" s="1" t="s">
        <v>72</v>
      </c>
      <c r="C43" s="10" t="s">
        <v>73</v>
      </c>
      <c r="D43" s="10" t="s">
        <v>15</v>
      </c>
      <c r="E43" s="6">
        <v>11.25</v>
      </c>
      <c r="F43" s="6">
        <v>11.5</v>
      </c>
      <c r="G43" s="6">
        <v>11.5</v>
      </c>
      <c r="H43" s="6">
        <v>9.85</v>
      </c>
      <c r="I43" s="6">
        <v>11.3</v>
      </c>
      <c r="J43" s="6">
        <v>10.95</v>
      </c>
      <c r="K43" s="6">
        <v>11.4</v>
      </c>
      <c r="L43" s="6">
        <v>11.49</v>
      </c>
      <c r="M43" s="6">
        <v>12</v>
      </c>
      <c r="N43" s="6">
        <v>11.49</v>
      </c>
      <c r="O43" s="6">
        <v>11.95</v>
      </c>
      <c r="P43" s="6">
        <v>11.49</v>
      </c>
      <c r="Q43" s="6">
        <v>11.95</v>
      </c>
      <c r="R43" s="6">
        <v>11.99</v>
      </c>
    </row>
    <row r="44" spans="1:18" x14ac:dyDescent="0.35">
      <c r="A44" s="1">
        <v>41</v>
      </c>
      <c r="B44" s="1" t="s">
        <v>74</v>
      </c>
      <c r="C44" s="10" t="s">
        <v>75</v>
      </c>
      <c r="D44" s="10" t="s">
        <v>76</v>
      </c>
      <c r="E44" s="6">
        <v>12.5</v>
      </c>
      <c r="F44" s="16">
        <v>12</v>
      </c>
      <c r="G44" s="6">
        <v>11.95</v>
      </c>
      <c r="H44" s="16">
        <v>12.95</v>
      </c>
      <c r="I44" s="6">
        <v>13</v>
      </c>
      <c r="J44" s="16"/>
      <c r="K44" s="6">
        <v>12.95</v>
      </c>
      <c r="L44" s="17">
        <v>13.99</v>
      </c>
      <c r="M44" s="6"/>
      <c r="N44" s="17">
        <v>13.99</v>
      </c>
      <c r="O44" s="6">
        <v>12.95</v>
      </c>
      <c r="P44" s="17">
        <v>13.99</v>
      </c>
      <c r="Q44" s="6">
        <v>12.95</v>
      </c>
      <c r="R44" s="17">
        <v>13.99</v>
      </c>
    </row>
    <row r="45" spans="1:18" x14ac:dyDescent="0.35">
      <c r="A45" s="1">
        <v>42</v>
      </c>
      <c r="B45" s="1" t="s">
        <v>77</v>
      </c>
      <c r="C45" s="10" t="s">
        <v>75</v>
      </c>
      <c r="D45" s="10" t="s">
        <v>78</v>
      </c>
      <c r="E45" s="6">
        <v>62.5</v>
      </c>
      <c r="F45" s="6">
        <v>59.95</v>
      </c>
      <c r="G45" s="6">
        <v>57</v>
      </c>
      <c r="H45" s="6">
        <v>57</v>
      </c>
      <c r="I45" s="6">
        <v>63.95</v>
      </c>
      <c r="J45" s="6"/>
      <c r="K45" s="6">
        <v>61.95</v>
      </c>
      <c r="L45" s="6">
        <v>65.989999999999995</v>
      </c>
      <c r="M45" s="6"/>
      <c r="N45" s="6"/>
      <c r="O45" s="6"/>
      <c r="P45" s="6"/>
      <c r="Q45" s="6"/>
      <c r="R45" s="6"/>
    </row>
    <row r="46" spans="1:18" x14ac:dyDescent="0.35">
      <c r="A46" s="1">
        <v>43</v>
      </c>
      <c r="B46" s="1" t="s">
        <v>79</v>
      </c>
      <c r="C46" s="10" t="s">
        <v>80</v>
      </c>
      <c r="D46" s="10" t="s">
        <v>81</v>
      </c>
      <c r="E46" s="6"/>
      <c r="F46" s="6">
        <v>21.95</v>
      </c>
      <c r="G46" s="6">
        <v>22.95</v>
      </c>
      <c r="H46" s="6">
        <v>21.95</v>
      </c>
      <c r="I46" s="6">
        <v>23</v>
      </c>
      <c r="J46" s="6"/>
      <c r="K46" s="6">
        <v>23.5</v>
      </c>
      <c r="L46" s="6">
        <v>21.99</v>
      </c>
      <c r="M46" s="6"/>
      <c r="N46" s="6">
        <v>20.99</v>
      </c>
      <c r="O46" s="6">
        <v>21.95</v>
      </c>
      <c r="P46" s="6"/>
      <c r="Q46" s="6">
        <v>21.95</v>
      </c>
      <c r="R46" s="6"/>
    </row>
    <row r="47" spans="1:18" x14ac:dyDescent="0.35">
      <c r="A47" s="1">
        <v>44</v>
      </c>
      <c r="B47" s="1" t="s">
        <v>79</v>
      </c>
      <c r="C47" s="10" t="s">
        <v>82</v>
      </c>
      <c r="D47" s="10" t="s">
        <v>76</v>
      </c>
      <c r="E47" s="6"/>
      <c r="F47" s="6"/>
      <c r="G47" s="24"/>
      <c r="H47" s="6">
        <v>17.95</v>
      </c>
      <c r="I47" s="6">
        <v>19.25</v>
      </c>
      <c r="J47" s="6">
        <v>22.95</v>
      </c>
      <c r="K47" s="6">
        <v>19.399999999999999</v>
      </c>
      <c r="L47" s="6"/>
      <c r="M47" s="6"/>
      <c r="N47" s="6"/>
      <c r="O47" s="6"/>
      <c r="P47" s="6"/>
      <c r="Q47" s="6">
        <v>18.95</v>
      </c>
      <c r="R47" s="6"/>
    </row>
    <row r="48" spans="1:18" x14ac:dyDescent="0.35">
      <c r="A48" s="1">
        <v>45</v>
      </c>
      <c r="B48" s="1" t="s">
        <v>79</v>
      </c>
      <c r="C48" s="10" t="s">
        <v>82</v>
      </c>
      <c r="D48" s="10" t="s">
        <v>83</v>
      </c>
      <c r="E48" s="6">
        <v>9</v>
      </c>
      <c r="F48" s="6"/>
      <c r="G48" s="6"/>
      <c r="H48" s="6"/>
      <c r="I48" s="6">
        <v>9.9499999999999993</v>
      </c>
      <c r="J48" s="6">
        <v>13.95</v>
      </c>
      <c r="K48" s="6">
        <v>9.99</v>
      </c>
      <c r="L48" s="6"/>
      <c r="M48" s="6"/>
      <c r="N48" s="6"/>
      <c r="O48" s="6"/>
      <c r="P48" s="6"/>
      <c r="Q48" s="6"/>
      <c r="R48" s="6"/>
    </row>
    <row r="49" spans="1:18" x14ac:dyDescent="0.35">
      <c r="A49" s="1">
        <v>46</v>
      </c>
      <c r="B49" s="1" t="s">
        <v>84</v>
      </c>
      <c r="C49" s="10" t="s">
        <v>85</v>
      </c>
      <c r="D49" s="10" t="s">
        <v>86</v>
      </c>
      <c r="E49" s="6"/>
      <c r="F49" s="6">
        <v>3.95</v>
      </c>
      <c r="G49" s="6">
        <v>4</v>
      </c>
      <c r="H49" s="6">
        <v>4.5</v>
      </c>
      <c r="I49" s="6">
        <v>3.95</v>
      </c>
      <c r="J49" s="6">
        <v>3.95</v>
      </c>
      <c r="K49" s="6">
        <v>3.85</v>
      </c>
      <c r="L49" s="6">
        <v>3.99</v>
      </c>
      <c r="M49" s="6"/>
      <c r="N49" s="6">
        <v>3.99</v>
      </c>
      <c r="O49" s="6"/>
      <c r="P49" s="6">
        <v>3.99</v>
      </c>
      <c r="Q49" s="6">
        <v>3.95</v>
      </c>
      <c r="R49" s="6">
        <v>3.99</v>
      </c>
    </row>
    <row r="50" spans="1:18" x14ac:dyDescent="0.35">
      <c r="A50" s="1">
        <v>47</v>
      </c>
      <c r="B50" s="1" t="s">
        <v>87</v>
      </c>
      <c r="C50" s="10" t="s">
        <v>88</v>
      </c>
      <c r="D50" s="10" t="s">
        <v>89</v>
      </c>
      <c r="E50" s="6">
        <v>7.25</v>
      </c>
      <c r="F50" s="6">
        <v>7.25</v>
      </c>
      <c r="G50" s="24"/>
      <c r="H50" s="6">
        <v>6.95</v>
      </c>
      <c r="I50" s="6">
        <v>6.75</v>
      </c>
      <c r="J50" s="6">
        <v>6.95</v>
      </c>
      <c r="K50" s="6">
        <v>7.25</v>
      </c>
      <c r="L50" s="6">
        <v>7.99</v>
      </c>
      <c r="M50" s="6"/>
      <c r="N50" s="6">
        <v>6.99</v>
      </c>
      <c r="O50" s="6">
        <v>6.95</v>
      </c>
      <c r="P50" s="6"/>
      <c r="Q50" s="6">
        <v>6.95</v>
      </c>
      <c r="R50" s="6">
        <v>6.99</v>
      </c>
    </row>
    <row r="51" spans="1:18" x14ac:dyDescent="0.35">
      <c r="A51" s="1">
        <v>48</v>
      </c>
      <c r="B51" s="1" t="s">
        <v>90</v>
      </c>
      <c r="C51" s="10" t="s">
        <v>91</v>
      </c>
      <c r="D51" s="10" t="s">
        <v>15</v>
      </c>
      <c r="E51" s="6">
        <v>5.75</v>
      </c>
      <c r="F51" s="6">
        <v>6.95</v>
      </c>
      <c r="G51" s="6"/>
      <c r="H51" s="6"/>
      <c r="I51" s="6">
        <v>8.75</v>
      </c>
      <c r="J51" s="6"/>
      <c r="K51" s="6">
        <v>6.5</v>
      </c>
      <c r="L51" s="6">
        <v>6.99</v>
      </c>
      <c r="M51" s="6"/>
      <c r="N51" s="6">
        <v>6.99</v>
      </c>
      <c r="O51" s="6"/>
      <c r="P51" s="6"/>
      <c r="Q51" s="6">
        <v>6.95</v>
      </c>
      <c r="R51" s="6">
        <v>6.99</v>
      </c>
    </row>
    <row r="52" spans="1:18" x14ac:dyDescent="0.35">
      <c r="A52" s="1">
        <v>49</v>
      </c>
      <c r="B52" s="1" t="s">
        <v>92</v>
      </c>
      <c r="C52" s="10" t="s">
        <v>93</v>
      </c>
      <c r="D52" s="10" t="s">
        <v>94</v>
      </c>
      <c r="E52" s="6">
        <v>13</v>
      </c>
      <c r="F52" s="6"/>
      <c r="G52" s="6">
        <v>13</v>
      </c>
      <c r="H52" s="24">
        <v>13</v>
      </c>
      <c r="I52" s="6">
        <v>13</v>
      </c>
      <c r="J52" s="6">
        <v>13</v>
      </c>
      <c r="K52" s="6">
        <v>13</v>
      </c>
      <c r="L52" s="6">
        <v>13</v>
      </c>
      <c r="M52" s="6">
        <v>13</v>
      </c>
      <c r="N52" s="6">
        <v>13</v>
      </c>
      <c r="O52" s="6">
        <v>12.95</v>
      </c>
      <c r="P52" s="6">
        <v>13</v>
      </c>
      <c r="Q52" s="6">
        <v>13</v>
      </c>
      <c r="R52" s="6">
        <v>13</v>
      </c>
    </row>
    <row r="53" spans="1:18" x14ac:dyDescent="0.35">
      <c r="A53" s="1">
        <v>50</v>
      </c>
      <c r="B53" s="1" t="s">
        <v>95</v>
      </c>
      <c r="C53" s="10"/>
      <c r="D53" s="10" t="s">
        <v>15</v>
      </c>
      <c r="E53" s="6">
        <v>3.5</v>
      </c>
      <c r="F53" s="6">
        <v>5.95</v>
      </c>
      <c r="G53" s="6">
        <v>4.95</v>
      </c>
      <c r="H53" s="6">
        <v>3</v>
      </c>
      <c r="I53" s="6"/>
      <c r="J53" s="6">
        <v>3.95</v>
      </c>
      <c r="K53" s="15">
        <v>3.99</v>
      </c>
      <c r="L53" s="6"/>
      <c r="M53" s="6">
        <v>3.5</v>
      </c>
      <c r="N53" s="6">
        <v>4.5</v>
      </c>
      <c r="O53" s="6"/>
      <c r="P53" s="6"/>
      <c r="Q53" s="6"/>
      <c r="R53" s="6"/>
    </row>
    <row r="54" spans="1:18" x14ac:dyDescent="0.35">
      <c r="A54" s="1">
        <v>51</v>
      </c>
      <c r="B54" s="1" t="s">
        <v>95</v>
      </c>
      <c r="C54" s="10"/>
      <c r="D54" s="10" t="s">
        <v>59</v>
      </c>
      <c r="E54" s="6"/>
      <c r="F54" s="6"/>
      <c r="G54" s="6"/>
      <c r="H54" s="6"/>
      <c r="I54" s="6">
        <v>3.75</v>
      </c>
      <c r="J54" s="6"/>
      <c r="K54" s="6">
        <v>3.99</v>
      </c>
      <c r="L54" s="6">
        <v>4.5</v>
      </c>
      <c r="M54" s="6"/>
      <c r="N54" s="6"/>
      <c r="O54" s="6">
        <v>3.95</v>
      </c>
      <c r="P54" s="6">
        <v>4.5</v>
      </c>
      <c r="Q54" s="6"/>
      <c r="R54" s="6">
        <v>4.5</v>
      </c>
    </row>
    <row r="55" spans="1:18" x14ac:dyDescent="0.35">
      <c r="A55" s="1">
        <v>52</v>
      </c>
      <c r="B55" s="1" t="s">
        <v>96</v>
      </c>
      <c r="C55" s="10" t="s">
        <v>97</v>
      </c>
      <c r="D55" s="10" t="s">
        <v>15</v>
      </c>
      <c r="E55" s="6">
        <v>11</v>
      </c>
      <c r="F55" s="6">
        <v>8.9499999999999993</v>
      </c>
      <c r="G55" s="6">
        <v>9.9499999999999993</v>
      </c>
      <c r="H55" s="6">
        <v>10</v>
      </c>
      <c r="I55" s="6"/>
      <c r="J55" s="6">
        <v>8.9499999999999993</v>
      </c>
      <c r="K55" s="6">
        <v>7.25</v>
      </c>
      <c r="L55" s="6"/>
      <c r="M55" s="6">
        <v>10.95</v>
      </c>
      <c r="N55" s="6">
        <v>9.99</v>
      </c>
      <c r="O55" s="6"/>
      <c r="P55" s="6"/>
      <c r="Q55" s="6"/>
      <c r="R55" s="6"/>
    </row>
    <row r="56" spans="1:18" x14ac:dyDescent="0.35">
      <c r="A56" s="1">
        <v>53</v>
      </c>
      <c r="B56" s="1" t="s">
        <v>96</v>
      </c>
      <c r="C56" s="10"/>
      <c r="D56" s="10" t="s">
        <v>59</v>
      </c>
      <c r="E56" s="6"/>
      <c r="F56" s="6"/>
      <c r="G56" s="6"/>
      <c r="H56" s="6"/>
      <c r="I56" s="6">
        <v>9.98</v>
      </c>
      <c r="J56" s="6"/>
      <c r="K56" s="6"/>
      <c r="L56" s="6">
        <v>9.99</v>
      </c>
      <c r="M56" s="6"/>
      <c r="N56" s="6"/>
      <c r="O56" s="6">
        <v>9.9499999999999993</v>
      </c>
      <c r="P56" s="6">
        <v>9.99</v>
      </c>
      <c r="Q56" s="6"/>
      <c r="R56" s="6">
        <v>8.99</v>
      </c>
    </row>
    <row r="57" spans="1:18" x14ac:dyDescent="0.35">
      <c r="A57" s="1">
        <v>54</v>
      </c>
      <c r="B57" s="1" t="s">
        <v>98</v>
      </c>
      <c r="C57" s="10"/>
      <c r="D57" s="10" t="s">
        <v>15</v>
      </c>
      <c r="E57" s="6">
        <v>7.75</v>
      </c>
      <c r="F57" s="6">
        <v>6.95</v>
      </c>
      <c r="G57" s="6">
        <v>6.95</v>
      </c>
      <c r="H57" s="6">
        <v>6.95</v>
      </c>
      <c r="I57" s="6"/>
      <c r="J57" s="6">
        <v>6.95</v>
      </c>
      <c r="K57" s="6">
        <v>8.9499999999999993</v>
      </c>
      <c r="L57" s="6"/>
      <c r="M57" s="6">
        <v>8</v>
      </c>
      <c r="N57" s="6">
        <v>8.99</v>
      </c>
      <c r="O57" s="6"/>
      <c r="P57" s="6"/>
      <c r="Q57" s="6"/>
      <c r="R57" s="6"/>
    </row>
    <row r="58" spans="1:18" x14ac:dyDescent="0.35">
      <c r="A58" s="1">
        <v>55</v>
      </c>
      <c r="B58" s="1" t="s">
        <v>98</v>
      </c>
      <c r="C58" s="10"/>
      <c r="D58" s="10" t="s">
        <v>59</v>
      </c>
      <c r="E58" s="6"/>
      <c r="F58" s="6"/>
      <c r="G58" s="6"/>
      <c r="H58" s="6"/>
      <c r="I58" s="6">
        <v>9</v>
      </c>
      <c r="J58" s="6">
        <v>9.9499999999999993</v>
      </c>
      <c r="K58" s="6"/>
      <c r="L58" s="6">
        <v>8.99</v>
      </c>
      <c r="M58" s="6"/>
      <c r="N58" s="6"/>
      <c r="O58" s="6">
        <v>7.95</v>
      </c>
      <c r="P58" s="6">
        <v>7.99</v>
      </c>
      <c r="Q58" s="6"/>
      <c r="R58" s="6">
        <v>8.99</v>
      </c>
    </row>
    <row r="59" spans="1:18" x14ac:dyDescent="0.35">
      <c r="A59" s="1">
        <v>56</v>
      </c>
      <c r="B59" s="1" t="s">
        <v>99</v>
      </c>
      <c r="C59" s="10" t="s">
        <v>47</v>
      </c>
      <c r="D59" s="10" t="s">
        <v>15</v>
      </c>
      <c r="E59" s="6">
        <v>7.5</v>
      </c>
      <c r="F59" s="6">
        <v>9.9499999999999993</v>
      </c>
      <c r="G59" s="6">
        <v>6.75</v>
      </c>
      <c r="H59" s="6">
        <v>7</v>
      </c>
      <c r="I59" s="6"/>
      <c r="J59" s="6">
        <v>6.95</v>
      </c>
      <c r="K59" s="6">
        <v>8.25</v>
      </c>
      <c r="L59" s="6"/>
      <c r="M59" s="6">
        <v>6.95</v>
      </c>
      <c r="N59" s="6">
        <v>5.99</v>
      </c>
      <c r="O59" s="21"/>
      <c r="P59" s="22"/>
      <c r="Q59" s="6"/>
      <c r="R59" s="6">
        <v>9</v>
      </c>
    </row>
    <row r="60" spans="1:18" x14ac:dyDescent="0.35">
      <c r="A60" s="1">
        <v>57</v>
      </c>
      <c r="B60" s="1" t="s">
        <v>99</v>
      </c>
      <c r="C60" s="10"/>
      <c r="D60" s="10" t="s">
        <v>59</v>
      </c>
      <c r="E60" s="6"/>
      <c r="F60" s="6"/>
      <c r="G60" s="6"/>
      <c r="H60" s="6"/>
      <c r="I60" s="6">
        <v>9</v>
      </c>
      <c r="J60" s="6">
        <v>11.95</v>
      </c>
      <c r="K60" s="6"/>
      <c r="L60" s="6">
        <v>8.99</v>
      </c>
      <c r="M60" s="6"/>
      <c r="N60" s="6"/>
      <c r="O60" s="6">
        <v>6.95</v>
      </c>
      <c r="P60" s="6">
        <v>8.99</v>
      </c>
      <c r="Q60" s="6"/>
      <c r="R60" s="6"/>
    </row>
    <row r="61" spans="1:18" x14ac:dyDescent="0.35">
      <c r="A61" s="1">
        <v>58</v>
      </c>
      <c r="B61" s="1" t="s">
        <v>100</v>
      </c>
      <c r="C61" s="10"/>
      <c r="D61" s="10" t="s">
        <v>15</v>
      </c>
      <c r="E61" s="6">
        <v>7</v>
      </c>
      <c r="F61" s="6">
        <v>6.95</v>
      </c>
      <c r="G61" s="6"/>
      <c r="H61" s="6">
        <v>7</v>
      </c>
      <c r="I61" s="6"/>
      <c r="J61" s="6">
        <v>6.95</v>
      </c>
      <c r="K61" s="6">
        <v>8.9499999999999993</v>
      </c>
      <c r="L61" s="6"/>
      <c r="M61" s="6">
        <v>5.95</v>
      </c>
      <c r="N61" s="6">
        <v>6.49</v>
      </c>
      <c r="O61" s="21"/>
      <c r="P61" s="22"/>
      <c r="Q61" s="6"/>
      <c r="R61" s="6"/>
    </row>
    <row r="62" spans="1:18" x14ac:dyDescent="0.35">
      <c r="A62" s="1">
        <v>59</v>
      </c>
      <c r="B62" s="1" t="s">
        <v>100</v>
      </c>
      <c r="C62" s="10"/>
      <c r="D62" s="10" t="s">
        <v>59</v>
      </c>
      <c r="E62" s="6"/>
      <c r="F62" s="6"/>
      <c r="G62" s="6"/>
      <c r="H62" s="6"/>
      <c r="I62" s="6">
        <v>8</v>
      </c>
      <c r="J62" s="6">
        <v>7.95</v>
      </c>
      <c r="K62" s="6"/>
      <c r="L62" s="6">
        <v>6.49</v>
      </c>
      <c r="M62" s="6"/>
      <c r="N62" s="6"/>
      <c r="O62" s="6">
        <v>6.95</v>
      </c>
      <c r="P62" s="6">
        <v>6.49</v>
      </c>
      <c r="Q62" s="6"/>
      <c r="R62" s="6">
        <v>6.49</v>
      </c>
    </row>
    <row r="63" spans="1:18" x14ac:dyDescent="0.35">
      <c r="A63" s="1">
        <v>60</v>
      </c>
      <c r="B63" s="1" t="s">
        <v>101</v>
      </c>
      <c r="C63" s="10"/>
      <c r="D63" s="10" t="s">
        <v>15</v>
      </c>
      <c r="E63" s="6"/>
      <c r="F63" s="6">
        <v>6.95</v>
      </c>
      <c r="G63" s="6">
        <v>4.95</v>
      </c>
      <c r="H63" s="6">
        <v>4</v>
      </c>
      <c r="I63" s="6"/>
      <c r="J63" s="6">
        <v>3.95</v>
      </c>
      <c r="K63" s="6">
        <v>6.75</v>
      </c>
      <c r="L63" s="6"/>
      <c r="M63" s="6">
        <v>4.95</v>
      </c>
      <c r="N63" s="6">
        <v>4.5</v>
      </c>
      <c r="O63" s="6"/>
      <c r="P63" s="6"/>
      <c r="Q63" s="6"/>
      <c r="R63" s="6"/>
    </row>
    <row r="64" spans="1:18" x14ac:dyDescent="0.35">
      <c r="A64" s="1">
        <v>61</v>
      </c>
      <c r="B64" s="1" t="s">
        <v>101</v>
      </c>
      <c r="C64" s="10"/>
      <c r="D64" s="10" t="s">
        <v>59</v>
      </c>
      <c r="E64" s="6"/>
      <c r="F64" s="6"/>
      <c r="G64" s="6"/>
      <c r="H64" s="6"/>
      <c r="I64" s="6">
        <v>5.5</v>
      </c>
      <c r="J64" s="6"/>
      <c r="K64" s="6"/>
      <c r="L64" s="6">
        <v>5.99</v>
      </c>
      <c r="M64" s="6"/>
      <c r="N64" s="6"/>
      <c r="O64" s="6">
        <v>4.95</v>
      </c>
      <c r="P64" s="6">
        <v>5.99</v>
      </c>
      <c r="Q64" s="6"/>
      <c r="R64" s="6">
        <v>5.99</v>
      </c>
    </row>
    <row r="65" spans="1:18" x14ac:dyDescent="0.35">
      <c r="A65" s="1">
        <v>62</v>
      </c>
      <c r="B65" s="1" t="s">
        <v>102</v>
      </c>
      <c r="C65" s="10" t="s">
        <v>103</v>
      </c>
      <c r="D65" s="10" t="s">
        <v>59</v>
      </c>
      <c r="E65" s="6"/>
      <c r="F65" s="6"/>
      <c r="G65" s="24"/>
      <c r="H65" s="24">
        <v>6.25</v>
      </c>
      <c r="I65" s="6"/>
      <c r="J65" s="6"/>
      <c r="K65" s="6">
        <v>3.99</v>
      </c>
      <c r="L65" s="6"/>
      <c r="M65" s="6"/>
      <c r="N65" s="6"/>
      <c r="O65" s="6"/>
      <c r="P65" s="6"/>
      <c r="Q65" s="6"/>
      <c r="R65" s="6"/>
    </row>
    <row r="66" spans="1:18" x14ac:dyDescent="0.35">
      <c r="A66" s="1">
        <v>63</v>
      </c>
      <c r="B66" s="1" t="s">
        <v>104</v>
      </c>
      <c r="C66" s="10" t="s">
        <v>103</v>
      </c>
      <c r="D66" s="10" t="s">
        <v>59</v>
      </c>
      <c r="E66" s="6"/>
      <c r="F66" s="6"/>
      <c r="G66" s="24"/>
      <c r="H66" s="6">
        <v>10.5</v>
      </c>
      <c r="I66" s="6"/>
      <c r="J66" s="6"/>
      <c r="K66" s="6">
        <v>10.99</v>
      </c>
      <c r="L66" s="6"/>
      <c r="M66" s="6"/>
      <c r="N66" s="6"/>
      <c r="O66" s="6"/>
      <c r="P66" s="6"/>
      <c r="Q66" s="6"/>
      <c r="R66" s="6"/>
    </row>
    <row r="67" spans="1:18" x14ac:dyDescent="0.35">
      <c r="A67" s="1">
        <v>64</v>
      </c>
      <c r="B67" s="1" t="s">
        <v>105</v>
      </c>
      <c r="C67" s="10" t="s">
        <v>103</v>
      </c>
      <c r="D67" s="10" t="s">
        <v>59</v>
      </c>
      <c r="E67" s="6"/>
      <c r="F67" s="6"/>
      <c r="G67" s="6"/>
      <c r="H67" s="6">
        <v>8.9499999999999993</v>
      </c>
      <c r="I67" s="6"/>
      <c r="J67" s="6"/>
      <c r="K67" s="6">
        <v>6.99</v>
      </c>
      <c r="L67" s="6">
        <v>8.99</v>
      </c>
      <c r="M67" s="6"/>
      <c r="N67" s="6"/>
      <c r="O67" s="6"/>
      <c r="P67" s="6"/>
      <c r="Q67" s="6"/>
      <c r="R67" s="6"/>
    </row>
    <row r="68" spans="1:18" x14ac:dyDescent="0.35">
      <c r="A68" s="1">
        <v>65</v>
      </c>
      <c r="B68" s="1" t="s">
        <v>106</v>
      </c>
      <c r="C68" s="10" t="s">
        <v>103</v>
      </c>
      <c r="D68" s="10" t="s">
        <v>59</v>
      </c>
      <c r="E68" s="6"/>
      <c r="F68" s="6"/>
      <c r="G68" s="6"/>
      <c r="H68" s="6"/>
      <c r="I68" s="6"/>
      <c r="J68" s="6"/>
      <c r="K68" s="6">
        <v>7.99</v>
      </c>
      <c r="L68" s="6"/>
      <c r="M68" s="6"/>
      <c r="N68" s="6"/>
      <c r="O68" s="6"/>
      <c r="P68" s="6"/>
      <c r="Q68" s="6"/>
      <c r="R68" s="6"/>
    </row>
    <row r="69" spans="1:18" x14ac:dyDescent="0.35">
      <c r="A69" s="1">
        <v>66</v>
      </c>
      <c r="B69" s="1" t="s">
        <v>107</v>
      </c>
      <c r="C69" s="10" t="s">
        <v>103</v>
      </c>
      <c r="D69" s="10" t="s">
        <v>59</v>
      </c>
      <c r="E69" s="6"/>
      <c r="F69" s="6"/>
      <c r="G69" s="6">
        <v>7.25</v>
      </c>
      <c r="H69" s="6">
        <v>7.25</v>
      </c>
      <c r="I69" s="6"/>
      <c r="J69" s="6"/>
      <c r="K69" s="6">
        <v>7.99</v>
      </c>
      <c r="L69" s="6">
        <v>7.99</v>
      </c>
      <c r="M69" s="6"/>
      <c r="N69" s="6"/>
      <c r="O69" s="6"/>
      <c r="P69" s="6"/>
      <c r="Q69" s="6"/>
      <c r="R69" s="6"/>
    </row>
    <row r="70" spans="1:18" x14ac:dyDescent="0.35">
      <c r="A70" s="1">
        <v>67</v>
      </c>
      <c r="B70" s="1" t="s">
        <v>108</v>
      </c>
      <c r="C70" s="10" t="s">
        <v>103</v>
      </c>
      <c r="D70" s="10" t="s">
        <v>59</v>
      </c>
      <c r="E70" s="6"/>
      <c r="F70" s="6"/>
      <c r="G70" s="6">
        <v>7.95</v>
      </c>
      <c r="H70" s="6">
        <v>10.95</v>
      </c>
      <c r="I70" s="6"/>
      <c r="J70" s="6"/>
      <c r="K70" s="6">
        <v>4.99</v>
      </c>
      <c r="L70" s="6"/>
      <c r="M70" s="6"/>
      <c r="N70" s="6"/>
      <c r="O70" s="6"/>
      <c r="P70" s="6">
        <v>7.49</v>
      </c>
      <c r="Q70" s="6"/>
      <c r="R70" s="6"/>
    </row>
    <row r="71" spans="1:18" x14ac:dyDescent="0.35">
      <c r="A71" s="1">
        <v>68</v>
      </c>
      <c r="B71" s="1" t="s">
        <v>109</v>
      </c>
      <c r="C71" s="10" t="s">
        <v>110</v>
      </c>
      <c r="D71" s="10" t="s">
        <v>111</v>
      </c>
      <c r="E71" s="6">
        <v>6.95</v>
      </c>
      <c r="F71" s="6">
        <v>6.95</v>
      </c>
      <c r="G71" s="6">
        <v>7</v>
      </c>
      <c r="H71" s="6">
        <v>7.5</v>
      </c>
      <c r="I71" s="6">
        <v>7</v>
      </c>
      <c r="J71" s="6">
        <v>9.9499999999999993</v>
      </c>
      <c r="K71" s="6">
        <v>6.99</v>
      </c>
      <c r="L71" s="6"/>
      <c r="M71" s="6"/>
      <c r="N71" s="6">
        <v>7.99</v>
      </c>
      <c r="O71" s="6">
        <v>7.95</v>
      </c>
      <c r="P71" s="6">
        <v>7.99</v>
      </c>
      <c r="Q71" s="6">
        <v>7.95</v>
      </c>
      <c r="R71" s="6">
        <v>7.99</v>
      </c>
    </row>
    <row r="72" spans="1:18" x14ac:dyDescent="0.35">
      <c r="A72" s="1">
        <v>69</v>
      </c>
      <c r="B72" s="1" t="s">
        <v>112</v>
      </c>
      <c r="C72" s="10" t="s">
        <v>113</v>
      </c>
      <c r="D72" s="10" t="s">
        <v>51</v>
      </c>
      <c r="E72" s="6">
        <v>6.75</v>
      </c>
      <c r="F72" s="6">
        <v>6.75</v>
      </c>
      <c r="G72" s="6">
        <v>6.75</v>
      </c>
      <c r="H72" s="6">
        <v>6.95</v>
      </c>
      <c r="I72" s="6">
        <v>7</v>
      </c>
      <c r="J72" s="6">
        <v>7.95</v>
      </c>
      <c r="K72" s="6">
        <v>6.75</v>
      </c>
      <c r="L72" s="6">
        <v>7.99</v>
      </c>
      <c r="M72" s="6">
        <v>6.95</v>
      </c>
      <c r="N72" s="6">
        <v>7.99</v>
      </c>
      <c r="O72" s="6"/>
      <c r="P72" s="6">
        <v>7.99</v>
      </c>
      <c r="Q72" s="6">
        <v>7.95</v>
      </c>
      <c r="R72" s="6">
        <v>7.99</v>
      </c>
    </row>
    <row r="73" spans="1:18" x14ac:dyDescent="0.35">
      <c r="A73" s="1">
        <v>70</v>
      </c>
      <c r="B73" s="1" t="s">
        <v>114</v>
      </c>
      <c r="C73" s="10"/>
      <c r="D73" s="10" t="s">
        <v>15</v>
      </c>
      <c r="E73" s="6">
        <v>1.88</v>
      </c>
      <c r="F73" s="6">
        <v>2.5</v>
      </c>
      <c r="G73" s="6">
        <v>2</v>
      </c>
      <c r="H73" s="6">
        <v>2</v>
      </c>
      <c r="I73" s="6">
        <v>2.2000000000000002</v>
      </c>
      <c r="J73" s="6">
        <v>3</v>
      </c>
      <c r="K73" s="6"/>
      <c r="L73" s="6"/>
      <c r="M73" s="6">
        <v>3.25</v>
      </c>
      <c r="N73" s="6">
        <v>3</v>
      </c>
      <c r="O73" s="6">
        <v>3</v>
      </c>
      <c r="P73" s="6">
        <v>3</v>
      </c>
      <c r="Q73" s="6">
        <v>3.95</v>
      </c>
      <c r="R73" s="15">
        <v>2</v>
      </c>
    </row>
    <row r="74" spans="1:18" x14ac:dyDescent="0.35">
      <c r="A74" s="1">
        <v>71</v>
      </c>
      <c r="B74" s="1" t="s">
        <v>115</v>
      </c>
      <c r="C74" s="10"/>
      <c r="D74" s="10" t="s">
        <v>15</v>
      </c>
      <c r="E74" s="6">
        <v>3</v>
      </c>
      <c r="F74" s="6">
        <v>2.95</v>
      </c>
      <c r="G74" s="24"/>
      <c r="H74" s="6">
        <v>2.5</v>
      </c>
      <c r="I74" s="6">
        <v>3.5</v>
      </c>
      <c r="J74" s="6">
        <v>3</v>
      </c>
      <c r="K74" s="6"/>
      <c r="L74" s="6">
        <v>3</v>
      </c>
      <c r="M74" s="6">
        <v>3.75</v>
      </c>
      <c r="N74" s="6"/>
      <c r="O74" s="6">
        <v>3</v>
      </c>
      <c r="P74" s="6">
        <v>3</v>
      </c>
      <c r="Q74" s="6">
        <v>3.95</v>
      </c>
      <c r="R74" s="6">
        <v>2.99</v>
      </c>
    </row>
    <row r="75" spans="1:18" x14ac:dyDescent="0.35">
      <c r="A75" s="1">
        <v>72</v>
      </c>
      <c r="B75" s="1" t="s">
        <v>116</v>
      </c>
      <c r="C75" s="10"/>
      <c r="D75" s="10" t="s">
        <v>15</v>
      </c>
      <c r="E75" s="6"/>
      <c r="F75" s="6">
        <v>9.9499999999999993</v>
      </c>
      <c r="G75" s="6">
        <v>9.9499999999999993</v>
      </c>
      <c r="H75" s="6">
        <v>12</v>
      </c>
      <c r="I75" s="6">
        <v>8.5</v>
      </c>
      <c r="J75" s="6">
        <v>13.95</v>
      </c>
      <c r="K75" s="6"/>
      <c r="L75" s="6"/>
      <c r="M75" s="6"/>
      <c r="N75" s="6">
        <v>9.99</v>
      </c>
      <c r="O75" s="6"/>
      <c r="P75" s="6">
        <v>10</v>
      </c>
      <c r="Q75" s="6">
        <v>8.9499999999999993</v>
      </c>
      <c r="R75" s="6">
        <v>10</v>
      </c>
    </row>
    <row r="76" spans="1:18" x14ac:dyDescent="0.35">
      <c r="A76" s="1">
        <v>73</v>
      </c>
      <c r="B76" s="1" t="s">
        <v>116</v>
      </c>
      <c r="C76" s="10"/>
      <c r="D76" s="10" t="s">
        <v>40</v>
      </c>
      <c r="E76" s="6"/>
      <c r="F76" s="6">
        <v>5.95</v>
      </c>
      <c r="G76" s="6"/>
      <c r="H76" s="6"/>
      <c r="I76" s="6">
        <v>4.25</v>
      </c>
      <c r="J76" s="6"/>
      <c r="K76" s="6">
        <v>5.99</v>
      </c>
      <c r="L76" s="6">
        <v>5.99</v>
      </c>
      <c r="M76" s="6">
        <v>6.98</v>
      </c>
      <c r="N76" s="6">
        <v>6.95</v>
      </c>
      <c r="O76" s="6">
        <v>5.95</v>
      </c>
      <c r="P76" s="6">
        <v>4.99</v>
      </c>
      <c r="Q76" s="6">
        <v>3.95</v>
      </c>
      <c r="R76" s="6">
        <v>4.99</v>
      </c>
    </row>
    <row r="77" spans="1:18" x14ac:dyDescent="0.35">
      <c r="A77" s="1">
        <v>74</v>
      </c>
      <c r="B77" s="1" t="s">
        <v>117</v>
      </c>
      <c r="C77" s="10" t="s">
        <v>118</v>
      </c>
      <c r="D77" s="10" t="s">
        <v>15</v>
      </c>
      <c r="E77" s="6"/>
      <c r="F77" s="6"/>
      <c r="G77" s="6"/>
      <c r="H77" s="6"/>
      <c r="I77" s="6"/>
      <c r="J77" s="6">
        <v>4</v>
      </c>
      <c r="K77" s="6"/>
      <c r="L77" s="6"/>
      <c r="M77" s="6">
        <v>3.95</v>
      </c>
      <c r="N77" s="6">
        <v>3.99</v>
      </c>
      <c r="O77" s="6">
        <v>4.9800000000000004</v>
      </c>
      <c r="P77" s="6"/>
      <c r="Q77" s="6">
        <v>3.5</v>
      </c>
      <c r="R77" s="6">
        <v>4</v>
      </c>
    </row>
    <row r="78" spans="1:18" x14ac:dyDescent="0.35">
      <c r="A78" s="1">
        <v>75</v>
      </c>
      <c r="B78" s="1" t="s">
        <v>119</v>
      </c>
      <c r="C78" s="10" t="s">
        <v>120</v>
      </c>
      <c r="D78" s="10" t="s">
        <v>81</v>
      </c>
      <c r="E78" s="6">
        <v>19.25</v>
      </c>
      <c r="F78" s="6">
        <v>18.95</v>
      </c>
      <c r="G78" s="6">
        <v>19.95</v>
      </c>
      <c r="H78" s="6">
        <v>19.95</v>
      </c>
      <c r="I78" s="6"/>
      <c r="J78" s="6">
        <v>19.95</v>
      </c>
      <c r="K78" s="6"/>
      <c r="L78" s="6"/>
      <c r="M78" s="6"/>
      <c r="N78" s="6"/>
      <c r="O78" s="6"/>
      <c r="P78" s="6"/>
      <c r="Q78" s="6"/>
      <c r="R78" s="6"/>
    </row>
    <row r="79" spans="1:18" x14ac:dyDescent="0.35">
      <c r="A79" s="1">
        <v>76</v>
      </c>
      <c r="B79" s="1" t="s">
        <v>121</v>
      </c>
      <c r="C79" s="10" t="s">
        <v>122</v>
      </c>
      <c r="D79" s="10" t="s">
        <v>81</v>
      </c>
      <c r="E79" s="6">
        <v>19</v>
      </c>
      <c r="F79" s="6">
        <v>17.25</v>
      </c>
      <c r="G79" s="6">
        <v>17.25</v>
      </c>
      <c r="H79" s="6">
        <v>16.95</v>
      </c>
      <c r="I79" s="6">
        <v>22.5</v>
      </c>
      <c r="J79" s="6">
        <v>17.95</v>
      </c>
      <c r="K79" s="6">
        <v>18.989999999999998</v>
      </c>
      <c r="L79" s="6">
        <v>18.989999999999998</v>
      </c>
      <c r="M79" s="6">
        <v>17</v>
      </c>
      <c r="N79" s="6">
        <v>18.989999999999998</v>
      </c>
      <c r="O79" s="6">
        <v>18.95</v>
      </c>
      <c r="P79" s="6">
        <v>18.989999999999998</v>
      </c>
      <c r="Q79" s="6">
        <v>19.95</v>
      </c>
      <c r="R79" s="6">
        <v>18.989999999999998</v>
      </c>
    </row>
    <row r="80" spans="1:18" x14ac:dyDescent="0.35">
      <c r="A80" s="1">
        <v>77</v>
      </c>
      <c r="B80" s="1" t="s">
        <v>123</v>
      </c>
      <c r="C80" s="10" t="s">
        <v>124</v>
      </c>
      <c r="D80" s="10" t="s">
        <v>125</v>
      </c>
      <c r="E80" s="6">
        <v>3.5</v>
      </c>
      <c r="F80" s="6">
        <v>3.5</v>
      </c>
      <c r="G80" s="24"/>
      <c r="H80" s="6">
        <v>3.95</v>
      </c>
      <c r="I80" s="6">
        <v>3.5</v>
      </c>
      <c r="J80" s="6">
        <v>3.95</v>
      </c>
      <c r="K80" s="6"/>
      <c r="L80" s="6">
        <v>3.5</v>
      </c>
      <c r="M80" s="6">
        <v>4</v>
      </c>
      <c r="N80" s="6">
        <v>3.5</v>
      </c>
      <c r="O80" s="6">
        <v>3.95</v>
      </c>
      <c r="P80" s="6">
        <v>3.5</v>
      </c>
      <c r="Q80" s="6"/>
      <c r="R80" s="6"/>
    </row>
    <row r="81" spans="1:18" x14ac:dyDescent="0.35">
      <c r="A81" s="1">
        <v>78</v>
      </c>
      <c r="B81" s="1" t="s">
        <v>123</v>
      </c>
      <c r="C81" s="10" t="s">
        <v>126</v>
      </c>
      <c r="D81" s="10" t="s">
        <v>56</v>
      </c>
      <c r="E81" s="6"/>
      <c r="F81" s="6">
        <v>3.65</v>
      </c>
      <c r="G81" s="6"/>
      <c r="H81" s="6">
        <v>3</v>
      </c>
      <c r="I81" s="6"/>
      <c r="J81" s="6">
        <v>3.95</v>
      </c>
      <c r="K81" s="6"/>
      <c r="L81" s="6"/>
      <c r="M81" s="6"/>
      <c r="N81" s="6"/>
      <c r="O81" s="6">
        <v>4.95</v>
      </c>
      <c r="P81" s="6"/>
      <c r="Q81" s="6"/>
      <c r="R81" s="6"/>
    </row>
    <row r="82" spans="1:18" x14ac:dyDescent="0.35">
      <c r="A82" s="1">
        <v>79</v>
      </c>
      <c r="B82" s="1" t="s">
        <v>127</v>
      </c>
      <c r="C82" s="10" t="s">
        <v>128</v>
      </c>
      <c r="D82" s="10" t="s">
        <v>129</v>
      </c>
      <c r="E82" s="6">
        <v>185</v>
      </c>
      <c r="F82" s="6">
        <v>195</v>
      </c>
      <c r="G82" s="6"/>
      <c r="H82" s="6"/>
      <c r="I82" s="6"/>
      <c r="J82" s="6"/>
      <c r="K82" s="6"/>
      <c r="L82" s="6"/>
      <c r="M82" s="6"/>
      <c r="N82" s="6">
        <v>186.99</v>
      </c>
      <c r="O82" s="6"/>
      <c r="P82" s="6"/>
      <c r="Q82" s="6">
        <v>182.95</v>
      </c>
      <c r="R82" s="6">
        <v>189.99</v>
      </c>
    </row>
    <row r="83" spans="1:18" x14ac:dyDescent="0.35">
      <c r="A83" s="1">
        <v>80</v>
      </c>
      <c r="B83" s="1" t="s">
        <v>127</v>
      </c>
      <c r="C83" s="10" t="s">
        <v>130</v>
      </c>
      <c r="D83" s="10" t="s">
        <v>129</v>
      </c>
      <c r="E83" s="6">
        <v>109.95</v>
      </c>
      <c r="F83" s="6">
        <v>115</v>
      </c>
      <c r="G83" s="6">
        <v>103.95</v>
      </c>
      <c r="H83" s="6">
        <v>104.95</v>
      </c>
      <c r="I83" s="6"/>
      <c r="J83" s="6">
        <v>109.95</v>
      </c>
      <c r="K83" s="6"/>
      <c r="L83" s="6">
        <v>107.99</v>
      </c>
      <c r="M83" s="6"/>
      <c r="N83" s="6">
        <v>102.99</v>
      </c>
      <c r="O83" s="6">
        <v>111.95</v>
      </c>
      <c r="P83" s="6">
        <v>102.99</v>
      </c>
      <c r="Q83" s="6">
        <v>103.95</v>
      </c>
      <c r="R83" s="6">
        <v>107.99</v>
      </c>
    </row>
    <row r="84" spans="1:18" x14ac:dyDescent="0.35">
      <c r="A84" s="1">
        <v>81</v>
      </c>
      <c r="B84" s="1" t="s">
        <v>127</v>
      </c>
      <c r="C84" s="10" t="s">
        <v>131</v>
      </c>
      <c r="D84" s="10" t="s">
        <v>56</v>
      </c>
      <c r="E84" s="6">
        <v>62</v>
      </c>
      <c r="F84" s="6">
        <v>64.95</v>
      </c>
      <c r="G84" s="6">
        <v>52.25</v>
      </c>
      <c r="H84" s="6">
        <v>61.95</v>
      </c>
      <c r="I84" s="6">
        <v>64.75</v>
      </c>
      <c r="J84" s="6">
        <v>61.95</v>
      </c>
      <c r="K84" s="6">
        <v>62</v>
      </c>
      <c r="L84" s="6">
        <v>60.99</v>
      </c>
      <c r="M84" s="6"/>
      <c r="N84" s="6">
        <v>57.99</v>
      </c>
      <c r="O84" s="6">
        <v>55.95</v>
      </c>
      <c r="P84" s="6">
        <v>60.99</v>
      </c>
      <c r="Q84" s="6">
        <v>65.95</v>
      </c>
      <c r="R84" s="6">
        <v>60.99</v>
      </c>
    </row>
    <row r="85" spans="1:18" x14ac:dyDescent="0.35">
      <c r="A85" s="1">
        <v>82</v>
      </c>
      <c r="B85" s="1" t="s">
        <v>132</v>
      </c>
      <c r="C85" s="10" t="s">
        <v>133</v>
      </c>
      <c r="D85" s="10" t="s">
        <v>134</v>
      </c>
      <c r="E85" s="6">
        <v>21</v>
      </c>
      <c r="F85" s="6">
        <v>21.95</v>
      </c>
      <c r="G85" s="6">
        <v>22.5</v>
      </c>
      <c r="H85" s="6">
        <v>24.95</v>
      </c>
      <c r="I85" s="6">
        <v>24</v>
      </c>
      <c r="J85" s="6">
        <v>21.95</v>
      </c>
      <c r="K85" s="6">
        <v>21</v>
      </c>
      <c r="L85" s="6">
        <v>22.99</v>
      </c>
      <c r="M85" s="6">
        <v>25.95</v>
      </c>
      <c r="N85" s="6">
        <v>23.99</v>
      </c>
      <c r="O85" s="6">
        <v>22.95</v>
      </c>
      <c r="P85" s="6">
        <v>22.99</v>
      </c>
      <c r="Q85" s="6">
        <v>24.95</v>
      </c>
      <c r="R85" s="6">
        <v>22.99</v>
      </c>
    </row>
    <row r="86" spans="1:18" x14ac:dyDescent="0.35">
      <c r="A86" s="1">
        <v>83</v>
      </c>
      <c r="B86" s="1" t="s">
        <v>132</v>
      </c>
      <c r="C86" s="10" t="s">
        <v>135</v>
      </c>
      <c r="D86" s="10" t="s">
        <v>134</v>
      </c>
      <c r="E86" s="6">
        <v>23</v>
      </c>
      <c r="F86" s="6">
        <v>24.95</v>
      </c>
      <c r="G86" s="6">
        <v>22.5</v>
      </c>
      <c r="H86" s="6">
        <v>24.95</v>
      </c>
      <c r="I86" s="6">
        <v>24</v>
      </c>
      <c r="J86" s="6">
        <v>23.95</v>
      </c>
      <c r="K86" s="6"/>
      <c r="L86" s="6">
        <v>23.99</v>
      </c>
      <c r="M86" s="6">
        <v>25.95</v>
      </c>
      <c r="N86" s="6">
        <v>23.99</v>
      </c>
      <c r="O86" s="6">
        <v>22.95</v>
      </c>
      <c r="P86" s="6">
        <v>23.99</v>
      </c>
      <c r="Q86" s="6">
        <v>23.95</v>
      </c>
      <c r="R86" s="6">
        <v>23.99</v>
      </c>
    </row>
    <row r="87" spans="1:18" x14ac:dyDescent="0.35">
      <c r="A87" s="1">
        <v>84</v>
      </c>
      <c r="B87" s="1" t="s">
        <v>136</v>
      </c>
      <c r="C87" s="10" t="s">
        <v>137</v>
      </c>
      <c r="D87" s="10" t="s">
        <v>138</v>
      </c>
      <c r="E87" s="6">
        <v>13</v>
      </c>
      <c r="F87" s="6"/>
      <c r="G87" s="6">
        <v>11.95</v>
      </c>
      <c r="H87" s="6">
        <v>12.95</v>
      </c>
      <c r="I87" s="6">
        <v>16.5</v>
      </c>
      <c r="J87" s="6"/>
      <c r="K87" s="6"/>
      <c r="L87" s="6">
        <v>10.99</v>
      </c>
      <c r="M87" s="6">
        <v>16.95</v>
      </c>
      <c r="N87" s="6">
        <v>10.99</v>
      </c>
      <c r="O87" s="6"/>
      <c r="P87" s="6"/>
      <c r="Q87" s="6"/>
      <c r="R87" s="6">
        <v>10.99</v>
      </c>
    </row>
    <row r="88" spans="1:18" x14ac:dyDescent="0.35">
      <c r="A88" s="1">
        <v>85</v>
      </c>
      <c r="B88" s="1" t="s">
        <v>139</v>
      </c>
      <c r="C88" s="10" t="s">
        <v>140</v>
      </c>
      <c r="D88" s="10" t="s">
        <v>141</v>
      </c>
      <c r="E88" s="6">
        <v>13.5</v>
      </c>
      <c r="F88" s="6">
        <v>13.95</v>
      </c>
      <c r="G88" s="6">
        <v>13.75</v>
      </c>
      <c r="H88" s="6">
        <v>13.5</v>
      </c>
      <c r="I88" s="6"/>
      <c r="J88" s="6">
        <v>13.95</v>
      </c>
      <c r="K88" s="6">
        <v>14.95</v>
      </c>
      <c r="L88" s="6">
        <v>13.99</v>
      </c>
      <c r="M88" s="6"/>
      <c r="N88" s="6">
        <v>13.99</v>
      </c>
      <c r="O88" s="16">
        <v>9.9499999999999993</v>
      </c>
      <c r="P88" s="6">
        <v>13.99</v>
      </c>
      <c r="Q88" s="6">
        <v>13.95</v>
      </c>
      <c r="R88" s="6">
        <v>13.99</v>
      </c>
    </row>
    <row r="89" spans="1:18" x14ac:dyDescent="0.35">
      <c r="A89" s="1">
        <v>86</v>
      </c>
      <c r="B89" s="1" t="s">
        <v>142</v>
      </c>
      <c r="C89" s="10" t="s">
        <v>143</v>
      </c>
      <c r="D89" s="10" t="s">
        <v>144</v>
      </c>
      <c r="E89" s="6">
        <v>17.75</v>
      </c>
      <c r="F89" s="6">
        <v>16.75</v>
      </c>
      <c r="G89" s="6">
        <v>19.75</v>
      </c>
      <c r="H89" s="6">
        <v>19.95</v>
      </c>
      <c r="I89" s="6"/>
      <c r="J89" s="6">
        <v>17.95</v>
      </c>
      <c r="K89" s="6">
        <v>19.75</v>
      </c>
      <c r="L89" s="6">
        <v>18.989999999999998</v>
      </c>
      <c r="M89" s="6">
        <v>18.95</v>
      </c>
      <c r="N89" s="6">
        <v>21.99</v>
      </c>
      <c r="O89" s="6">
        <v>17.95</v>
      </c>
      <c r="P89" s="6">
        <v>16.989999999999998</v>
      </c>
      <c r="Q89" s="6">
        <v>19.95</v>
      </c>
      <c r="R89" s="6">
        <v>16.989999999999998</v>
      </c>
    </row>
    <row r="90" spans="1:18" x14ac:dyDescent="0.35">
      <c r="A90" s="1">
        <v>87</v>
      </c>
      <c r="B90" s="1" t="s">
        <v>145</v>
      </c>
      <c r="C90" s="10" t="s">
        <v>146</v>
      </c>
      <c r="D90" s="10" t="s">
        <v>147</v>
      </c>
      <c r="E90" s="6">
        <v>14.5</v>
      </c>
      <c r="F90" s="6">
        <v>16</v>
      </c>
      <c r="G90" s="6">
        <v>15.95</v>
      </c>
      <c r="H90" s="6">
        <v>15.95</v>
      </c>
      <c r="I90" s="6">
        <v>16.75</v>
      </c>
      <c r="J90" s="6">
        <v>14.95</v>
      </c>
      <c r="K90" s="6">
        <v>15.99</v>
      </c>
      <c r="L90" s="6">
        <v>16.989999999999998</v>
      </c>
      <c r="M90" s="6"/>
      <c r="N90" s="6">
        <v>16.989999999999998</v>
      </c>
      <c r="O90" s="6">
        <v>16.95</v>
      </c>
      <c r="P90" s="6">
        <v>16.989999999999998</v>
      </c>
      <c r="Q90" s="15">
        <v>14.95</v>
      </c>
      <c r="R90" s="6">
        <v>15.99</v>
      </c>
    </row>
    <row r="91" spans="1:18" x14ac:dyDescent="0.35">
      <c r="A91" s="1">
        <v>88</v>
      </c>
      <c r="B91" s="1" t="s">
        <v>148</v>
      </c>
      <c r="C91" s="10" t="s">
        <v>149</v>
      </c>
      <c r="D91" s="10" t="s">
        <v>150</v>
      </c>
      <c r="E91" s="6">
        <v>27</v>
      </c>
      <c r="F91" s="6">
        <v>29.95</v>
      </c>
      <c r="G91" s="6">
        <v>28.95</v>
      </c>
      <c r="H91" s="6">
        <v>29.95</v>
      </c>
      <c r="I91" s="6">
        <v>29.5</v>
      </c>
      <c r="J91" s="6">
        <v>29.95</v>
      </c>
      <c r="K91" s="6">
        <v>29.5</v>
      </c>
      <c r="L91" s="6"/>
      <c r="M91" s="6">
        <v>24.99</v>
      </c>
      <c r="N91" s="6"/>
      <c r="O91" s="6">
        <v>29.95</v>
      </c>
      <c r="P91" s="6">
        <v>27.99</v>
      </c>
      <c r="Q91" s="6">
        <v>28.95</v>
      </c>
      <c r="R91" s="6">
        <v>29.99</v>
      </c>
    </row>
    <row r="92" spans="1:18" x14ac:dyDescent="0.35">
      <c r="A92" s="1">
        <v>89</v>
      </c>
      <c r="B92" s="1" t="s">
        <v>148</v>
      </c>
      <c r="C92" s="10" t="s">
        <v>149</v>
      </c>
      <c r="D92" s="10" t="s">
        <v>151</v>
      </c>
      <c r="E92" s="6"/>
      <c r="F92" s="6">
        <v>13.95</v>
      </c>
      <c r="G92" s="24"/>
      <c r="H92" s="24"/>
      <c r="I92" s="6">
        <v>14.75</v>
      </c>
      <c r="J92" s="6">
        <v>14.95</v>
      </c>
      <c r="K92" s="6">
        <v>14.99</v>
      </c>
      <c r="L92" s="6"/>
      <c r="M92" s="6">
        <v>8.9499999999999993</v>
      </c>
      <c r="N92" s="6">
        <v>13.99</v>
      </c>
      <c r="O92" s="6">
        <v>14.95</v>
      </c>
      <c r="P92" s="6">
        <v>13.99</v>
      </c>
      <c r="Q92" s="6">
        <v>13.95</v>
      </c>
      <c r="R92" s="6">
        <v>13.99</v>
      </c>
    </row>
    <row r="93" spans="1:18" x14ac:dyDescent="0.35">
      <c r="A93" s="1">
        <v>90</v>
      </c>
      <c r="B93" s="1" t="s">
        <v>148</v>
      </c>
      <c r="C93" s="10" t="s">
        <v>152</v>
      </c>
      <c r="D93" s="10" t="s">
        <v>150</v>
      </c>
      <c r="E93" s="6">
        <v>15.25</v>
      </c>
      <c r="F93" s="6">
        <v>13.95</v>
      </c>
      <c r="G93" s="6"/>
      <c r="H93" s="6">
        <v>16.5</v>
      </c>
      <c r="I93" s="6"/>
      <c r="J93" s="6">
        <v>15.95</v>
      </c>
      <c r="K93" s="6">
        <v>15</v>
      </c>
      <c r="L93" s="6">
        <v>14.99</v>
      </c>
      <c r="M93" s="6"/>
      <c r="N93" s="6">
        <v>14.99</v>
      </c>
      <c r="O93" s="6">
        <v>16.95</v>
      </c>
      <c r="P93" s="6">
        <v>14.99</v>
      </c>
      <c r="Q93" s="6">
        <v>15.95</v>
      </c>
      <c r="R93" s="6">
        <v>14.99</v>
      </c>
    </row>
    <row r="94" spans="1:18" x14ac:dyDescent="0.35">
      <c r="A94" s="1">
        <v>91</v>
      </c>
      <c r="B94" s="1" t="s">
        <v>148</v>
      </c>
      <c r="C94" s="10" t="s">
        <v>152</v>
      </c>
      <c r="D94" s="10" t="s">
        <v>153</v>
      </c>
      <c r="E94" s="6">
        <v>7.5</v>
      </c>
      <c r="F94" s="6">
        <v>6.95</v>
      </c>
      <c r="G94" s="6"/>
      <c r="H94" s="6">
        <v>8.5</v>
      </c>
      <c r="I94" s="6">
        <v>8.25</v>
      </c>
      <c r="J94" s="6">
        <v>7.95</v>
      </c>
      <c r="K94" s="6">
        <v>7.5</v>
      </c>
      <c r="L94" s="6">
        <v>7.99</v>
      </c>
      <c r="M94" s="6"/>
      <c r="N94" s="6">
        <v>7.99</v>
      </c>
      <c r="O94" s="6">
        <v>7.95</v>
      </c>
      <c r="P94" s="6">
        <v>7.99</v>
      </c>
      <c r="Q94" s="6">
        <v>7.95</v>
      </c>
      <c r="R94" s="6">
        <v>7.99</v>
      </c>
    </row>
    <row r="95" spans="1:18" x14ac:dyDescent="0.35">
      <c r="A95" s="1">
        <v>92</v>
      </c>
      <c r="B95" s="1" t="s">
        <v>154</v>
      </c>
      <c r="C95" s="10" t="s">
        <v>155</v>
      </c>
      <c r="D95" s="10" t="s">
        <v>156</v>
      </c>
      <c r="E95" s="6">
        <v>9.25</v>
      </c>
      <c r="F95" s="6">
        <v>8.5</v>
      </c>
      <c r="G95" s="6">
        <v>9.25</v>
      </c>
      <c r="H95" s="6">
        <v>9.9499999999999993</v>
      </c>
      <c r="I95" s="6">
        <v>9.9499999999999993</v>
      </c>
      <c r="J95" s="6">
        <v>10.95</v>
      </c>
      <c r="K95" s="6">
        <v>9.99</v>
      </c>
      <c r="L95" s="6">
        <v>9.99</v>
      </c>
      <c r="M95" s="6">
        <v>9.5</v>
      </c>
      <c r="N95" s="6">
        <v>9.99</v>
      </c>
      <c r="O95" s="6">
        <v>9.9499999999999993</v>
      </c>
      <c r="P95" s="6">
        <v>9.99</v>
      </c>
      <c r="Q95" s="6">
        <v>9.9499999999999993</v>
      </c>
      <c r="R95" s="6">
        <v>9.99</v>
      </c>
    </row>
    <row r="96" spans="1:18" x14ac:dyDescent="0.35">
      <c r="A96" s="1">
        <v>93</v>
      </c>
      <c r="B96" s="1" t="s">
        <v>157</v>
      </c>
      <c r="C96" s="10" t="s">
        <v>155</v>
      </c>
      <c r="D96" s="10" t="s">
        <v>158</v>
      </c>
      <c r="E96" s="6">
        <v>9</v>
      </c>
      <c r="F96" s="6">
        <v>7.95</v>
      </c>
      <c r="G96" s="6">
        <v>9.5</v>
      </c>
      <c r="H96" s="6">
        <v>8.9499999999999993</v>
      </c>
      <c r="I96" s="6">
        <v>9</v>
      </c>
      <c r="J96" s="6">
        <v>8.9499999999999993</v>
      </c>
      <c r="K96" s="6">
        <v>8.99</v>
      </c>
      <c r="L96" s="6">
        <v>8.99</v>
      </c>
      <c r="M96" s="6"/>
      <c r="N96" s="6">
        <v>11.99</v>
      </c>
      <c r="O96" s="6">
        <v>8.9499999999999993</v>
      </c>
      <c r="P96" s="6">
        <v>8.99</v>
      </c>
      <c r="Q96" s="6">
        <v>8.9499999999999993</v>
      </c>
      <c r="R96" s="6">
        <v>8.99</v>
      </c>
    </row>
    <row r="97" spans="1:18" x14ac:dyDescent="0.35">
      <c r="A97" s="1">
        <v>94</v>
      </c>
      <c r="B97" s="1" t="s">
        <v>159</v>
      </c>
      <c r="C97" s="10" t="s">
        <v>155</v>
      </c>
      <c r="D97" s="10" t="s">
        <v>158</v>
      </c>
      <c r="E97" s="6">
        <v>9</v>
      </c>
      <c r="F97" s="6">
        <v>7.95</v>
      </c>
      <c r="G97" s="6">
        <v>9.5</v>
      </c>
      <c r="H97" s="6">
        <v>8.9499999999999993</v>
      </c>
      <c r="I97" s="6">
        <v>9</v>
      </c>
      <c r="J97" s="6">
        <v>8.9499999999999993</v>
      </c>
      <c r="K97" s="6">
        <v>8.99</v>
      </c>
      <c r="L97" s="6">
        <v>7.99</v>
      </c>
      <c r="M97" s="6"/>
      <c r="N97" s="6">
        <v>8.99</v>
      </c>
      <c r="O97" s="6">
        <v>8.9499999999999993</v>
      </c>
      <c r="P97" s="6">
        <v>8.99</v>
      </c>
      <c r="Q97" s="6">
        <v>8.9499999999999993</v>
      </c>
      <c r="R97" s="6">
        <v>8.99</v>
      </c>
    </row>
    <row r="98" spans="1:18" x14ac:dyDescent="0.35">
      <c r="A98" s="1">
        <v>95</v>
      </c>
      <c r="B98" s="1" t="s">
        <v>160</v>
      </c>
      <c r="C98" s="10" t="s">
        <v>161</v>
      </c>
      <c r="D98" s="10" t="s">
        <v>162</v>
      </c>
      <c r="E98" s="6">
        <v>5.5</v>
      </c>
      <c r="F98" s="6">
        <v>5.25</v>
      </c>
      <c r="G98" s="6"/>
      <c r="H98" s="6">
        <v>6</v>
      </c>
      <c r="I98" s="6">
        <v>5.25</v>
      </c>
      <c r="J98" s="6">
        <v>5.95</v>
      </c>
      <c r="K98" s="6">
        <v>5.25</v>
      </c>
      <c r="L98" s="6">
        <v>5.99</v>
      </c>
      <c r="M98" s="6">
        <v>5.25</v>
      </c>
      <c r="N98" s="6">
        <v>5.99</v>
      </c>
      <c r="O98" s="6">
        <v>5.95</v>
      </c>
      <c r="P98" s="6">
        <v>5.49</v>
      </c>
      <c r="Q98" s="6">
        <v>5.95</v>
      </c>
      <c r="R98" s="6"/>
    </row>
    <row r="99" spans="1:18" x14ac:dyDescent="0.35">
      <c r="A99" s="1">
        <v>96</v>
      </c>
      <c r="B99" s="11" t="s">
        <v>163</v>
      </c>
      <c r="C99" s="12" t="s">
        <v>164</v>
      </c>
      <c r="D99" s="12" t="s">
        <v>165</v>
      </c>
      <c r="E99" s="6">
        <v>18</v>
      </c>
      <c r="F99" s="6">
        <v>15.5</v>
      </c>
      <c r="G99" s="6"/>
      <c r="H99" s="6"/>
      <c r="I99" s="6">
        <v>18</v>
      </c>
      <c r="J99" s="6">
        <v>18.95</v>
      </c>
      <c r="K99" s="6">
        <v>17.989999999999998</v>
      </c>
      <c r="L99" s="6">
        <v>18.989999999999998</v>
      </c>
      <c r="M99" s="6"/>
      <c r="N99" s="6">
        <v>18.989999999999998</v>
      </c>
      <c r="O99" s="6">
        <v>16.95</v>
      </c>
      <c r="P99" s="6">
        <v>17.989999999999998</v>
      </c>
      <c r="Q99" s="6">
        <v>17.95</v>
      </c>
      <c r="R99" s="6">
        <v>18.989999999999998</v>
      </c>
    </row>
    <row r="100" spans="1:18" x14ac:dyDescent="0.35">
      <c r="A100" s="1">
        <v>97</v>
      </c>
      <c r="B100" s="1" t="s">
        <v>166</v>
      </c>
      <c r="C100" s="10"/>
      <c r="D100" s="10" t="s">
        <v>59</v>
      </c>
      <c r="E100" s="6">
        <v>38</v>
      </c>
      <c r="F100" s="6">
        <v>37.950000000000003</v>
      </c>
      <c r="G100" s="6">
        <v>32.950000000000003</v>
      </c>
      <c r="H100" s="6">
        <v>38.950000000000003</v>
      </c>
      <c r="I100" s="6">
        <v>40.5</v>
      </c>
      <c r="J100" s="6">
        <v>41.95</v>
      </c>
      <c r="K100" s="6">
        <v>39.99</v>
      </c>
      <c r="L100" s="6">
        <v>42.99</v>
      </c>
      <c r="M100" s="6">
        <v>39.950000000000003</v>
      </c>
      <c r="N100" s="6">
        <v>40.99</v>
      </c>
      <c r="O100" s="6">
        <v>36.950000000000003</v>
      </c>
      <c r="P100" s="6">
        <v>42.99</v>
      </c>
      <c r="Q100" s="6">
        <v>38.950000000000003</v>
      </c>
      <c r="R100" s="6">
        <v>40.99</v>
      </c>
    </row>
    <row r="101" spans="1:18" x14ac:dyDescent="0.35">
      <c r="A101" s="1">
        <v>98</v>
      </c>
      <c r="B101" s="1" t="s">
        <v>167</v>
      </c>
      <c r="C101" s="10" t="s">
        <v>168</v>
      </c>
      <c r="D101" s="10" t="s">
        <v>125</v>
      </c>
      <c r="E101" s="6">
        <v>23.75</v>
      </c>
      <c r="F101" s="6">
        <v>26.5</v>
      </c>
      <c r="G101" s="6">
        <v>21.95</v>
      </c>
      <c r="H101" s="6">
        <v>24.95</v>
      </c>
      <c r="I101" s="6">
        <v>25</v>
      </c>
      <c r="J101" s="6">
        <v>25.95</v>
      </c>
      <c r="K101" s="6">
        <v>25.15</v>
      </c>
      <c r="L101" s="6">
        <v>26.99</v>
      </c>
      <c r="M101" s="6"/>
      <c r="N101" s="6"/>
      <c r="O101" s="6">
        <v>22.95</v>
      </c>
      <c r="P101" s="6">
        <v>26.99</v>
      </c>
      <c r="Q101" s="6">
        <v>21.95</v>
      </c>
      <c r="R101" s="6">
        <v>25.99</v>
      </c>
    </row>
    <row r="102" spans="1:18" x14ac:dyDescent="0.35">
      <c r="A102" s="1">
        <v>99</v>
      </c>
      <c r="B102" s="1" t="s">
        <v>169</v>
      </c>
      <c r="C102" s="10"/>
      <c r="D102" s="10" t="s">
        <v>170</v>
      </c>
      <c r="E102" s="6">
        <v>30.25</v>
      </c>
      <c r="F102" s="6">
        <v>32.950000000000003</v>
      </c>
      <c r="G102" s="6">
        <v>32.75</v>
      </c>
      <c r="H102" s="6">
        <v>30.95</v>
      </c>
      <c r="I102" s="6">
        <v>34.950000000000003</v>
      </c>
      <c r="J102" s="6">
        <v>33.950000000000003</v>
      </c>
      <c r="K102" s="15">
        <v>32.75</v>
      </c>
      <c r="L102" s="6">
        <v>29.99</v>
      </c>
      <c r="M102" s="6"/>
      <c r="N102" s="6">
        <v>29.99</v>
      </c>
      <c r="O102" s="6">
        <v>31.95</v>
      </c>
      <c r="P102" s="6">
        <v>32.99</v>
      </c>
      <c r="Q102" s="6">
        <v>31.95</v>
      </c>
      <c r="R102" s="6"/>
    </row>
    <row r="103" spans="1:18" x14ac:dyDescent="0.35">
      <c r="A103" s="1">
        <v>100</v>
      </c>
      <c r="B103" s="1" t="s">
        <v>171</v>
      </c>
      <c r="C103" s="10" t="s">
        <v>172</v>
      </c>
      <c r="D103" s="10" t="s">
        <v>173</v>
      </c>
      <c r="E103" s="6">
        <v>22.25</v>
      </c>
      <c r="F103" s="6">
        <v>28.5</v>
      </c>
      <c r="G103" s="6">
        <v>28.25</v>
      </c>
      <c r="H103" s="6">
        <v>26.95</v>
      </c>
      <c r="I103" s="6"/>
      <c r="J103" s="6"/>
      <c r="K103" s="6">
        <v>29.5</v>
      </c>
      <c r="L103" s="15">
        <v>27.99</v>
      </c>
      <c r="M103" s="6"/>
      <c r="N103" s="6"/>
      <c r="O103" s="6">
        <v>26.95</v>
      </c>
      <c r="P103" s="6">
        <v>27.99</v>
      </c>
      <c r="Q103" s="6">
        <v>26.95</v>
      </c>
      <c r="R103" s="6"/>
    </row>
    <row r="104" spans="1:18" x14ac:dyDescent="0.35">
      <c r="A104" s="1">
        <v>101</v>
      </c>
      <c r="B104" s="1" t="s">
        <v>174</v>
      </c>
      <c r="C104" s="10" t="s">
        <v>172</v>
      </c>
      <c r="D104" s="10" t="s">
        <v>175</v>
      </c>
      <c r="E104" s="7">
        <v>25.75</v>
      </c>
      <c r="F104" s="6">
        <v>24.95</v>
      </c>
      <c r="G104" s="7">
        <v>24.95</v>
      </c>
      <c r="H104" s="24"/>
      <c r="I104" s="7"/>
      <c r="J104" s="6"/>
      <c r="K104" s="7">
        <v>24.99</v>
      </c>
      <c r="L104" s="6">
        <v>24.99</v>
      </c>
      <c r="M104" s="7"/>
      <c r="N104" s="6">
        <v>24.99</v>
      </c>
      <c r="O104" s="7">
        <v>23.95</v>
      </c>
      <c r="P104" s="6"/>
      <c r="Q104" s="7">
        <v>23.95</v>
      </c>
      <c r="R104" s="6">
        <v>24.99</v>
      </c>
    </row>
    <row r="105" spans="1:18" x14ac:dyDescent="0.35">
      <c r="A105" s="1">
        <v>102</v>
      </c>
      <c r="B105" s="1" t="s">
        <v>174</v>
      </c>
      <c r="C105" s="10" t="s">
        <v>176</v>
      </c>
      <c r="D105" s="10" t="s">
        <v>177</v>
      </c>
      <c r="E105" s="6">
        <v>28.75</v>
      </c>
      <c r="F105" s="6">
        <v>28.95</v>
      </c>
      <c r="G105" s="6"/>
      <c r="H105" s="6">
        <v>29.95</v>
      </c>
      <c r="I105" s="6">
        <v>21</v>
      </c>
      <c r="J105" s="6"/>
      <c r="K105" s="6">
        <v>28.75</v>
      </c>
      <c r="L105" s="6"/>
      <c r="M105" s="6"/>
      <c r="N105" s="6">
        <v>28.99</v>
      </c>
      <c r="O105" s="6">
        <v>27.95</v>
      </c>
      <c r="P105" s="6"/>
      <c r="Q105" s="6">
        <v>28.95</v>
      </c>
      <c r="R105" s="6">
        <v>28.99</v>
      </c>
    </row>
    <row r="106" spans="1:18" x14ac:dyDescent="0.35">
      <c r="A106" s="1">
        <v>103</v>
      </c>
      <c r="B106" s="1" t="s">
        <v>178</v>
      </c>
      <c r="C106" s="10" t="s">
        <v>50</v>
      </c>
      <c r="D106" s="10" t="s">
        <v>179</v>
      </c>
      <c r="E106" s="16">
        <v>28</v>
      </c>
      <c r="F106" s="6">
        <v>29.95</v>
      </c>
      <c r="G106" s="16">
        <v>31.5</v>
      </c>
      <c r="H106" s="6">
        <v>34.950000000000003</v>
      </c>
      <c r="I106" s="16"/>
      <c r="J106" s="6">
        <v>35.950000000000003</v>
      </c>
      <c r="K106" s="17">
        <v>32.99</v>
      </c>
      <c r="L106" s="6">
        <v>31.99</v>
      </c>
      <c r="M106" s="17">
        <v>32.950000000000003</v>
      </c>
      <c r="N106" s="6">
        <v>31.99</v>
      </c>
      <c r="O106" s="16">
        <v>29.99</v>
      </c>
      <c r="P106" s="6">
        <v>31.99</v>
      </c>
      <c r="Q106" s="17">
        <v>34.950000000000003</v>
      </c>
      <c r="R106" s="6">
        <v>33.99</v>
      </c>
    </row>
    <row r="107" spans="1:18" x14ac:dyDescent="0.35">
      <c r="A107" s="1">
        <v>104</v>
      </c>
      <c r="B107" s="1" t="s">
        <v>178</v>
      </c>
      <c r="C107" s="10" t="s">
        <v>180</v>
      </c>
      <c r="D107" s="10" t="s">
        <v>111</v>
      </c>
      <c r="E107" s="6">
        <v>18.5</v>
      </c>
      <c r="F107" s="6">
        <v>19.95</v>
      </c>
      <c r="G107" s="6">
        <v>26.95</v>
      </c>
      <c r="H107" s="6">
        <v>20.95</v>
      </c>
      <c r="I107" s="6">
        <v>19.95</v>
      </c>
      <c r="J107" s="6">
        <v>20.95</v>
      </c>
      <c r="K107" s="6">
        <v>19.95</v>
      </c>
      <c r="L107" s="6">
        <v>19.989999999999998</v>
      </c>
      <c r="M107" s="6"/>
      <c r="N107" s="6">
        <v>26.99</v>
      </c>
      <c r="O107" s="6"/>
      <c r="P107" s="6"/>
      <c r="Q107" s="6">
        <v>19.95</v>
      </c>
      <c r="R107" s="6"/>
    </row>
    <row r="108" spans="1:18" x14ac:dyDescent="0.35">
      <c r="A108" s="1">
        <v>105</v>
      </c>
      <c r="B108" s="1" t="s">
        <v>181</v>
      </c>
      <c r="C108" s="10" t="s">
        <v>182</v>
      </c>
      <c r="D108" s="10" t="s">
        <v>183</v>
      </c>
      <c r="E108" s="6">
        <v>13.25</v>
      </c>
      <c r="F108" s="6"/>
      <c r="G108" s="6">
        <v>10.75</v>
      </c>
      <c r="H108" s="6">
        <v>13.95</v>
      </c>
      <c r="I108" s="6"/>
      <c r="J108" s="6">
        <v>14.95</v>
      </c>
      <c r="K108" s="15">
        <v>10.99</v>
      </c>
      <c r="L108" s="6">
        <v>13.99</v>
      </c>
      <c r="M108" s="6"/>
      <c r="N108" s="6">
        <v>13.99</v>
      </c>
      <c r="O108" s="6">
        <v>12.95</v>
      </c>
      <c r="P108" s="6"/>
      <c r="Q108" s="6">
        <v>14.95</v>
      </c>
      <c r="R108" s="6">
        <v>13.99</v>
      </c>
    </row>
    <row r="109" spans="1:18" x14ac:dyDescent="0.35">
      <c r="A109" s="1">
        <v>106</v>
      </c>
      <c r="B109" s="1" t="s">
        <v>184</v>
      </c>
      <c r="C109" s="10" t="s">
        <v>185</v>
      </c>
      <c r="D109" s="10" t="s">
        <v>65</v>
      </c>
      <c r="E109" s="6">
        <v>2.5</v>
      </c>
      <c r="F109" s="16"/>
      <c r="G109" s="6">
        <v>2.95</v>
      </c>
      <c r="H109" s="16">
        <v>3</v>
      </c>
      <c r="I109" s="6"/>
      <c r="J109" s="16">
        <v>4.95</v>
      </c>
      <c r="K109" s="6">
        <v>3.99</v>
      </c>
      <c r="L109" s="17">
        <v>3.99</v>
      </c>
      <c r="M109" s="6">
        <v>3</v>
      </c>
      <c r="N109" s="17">
        <v>3.99</v>
      </c>
      <c r="O109" s="6">
        <v>3.95</v>
      </c>
      <c r="P109" s="17">
        <v>3.99</v>
      </c>
      <c r="Q109" s="6">
        <v>2.95</v>
      </c>
      <c r="R109" s="15">
        <v>2.5</v>
      </c>
    </row>
    <row r="110" spans="1:18" x14ac:dyDescent="0.35">
      <c r="A110" s="1">
        <v>107</v>
      </c>
      <c r="B110" s="1" t="s">
        <v>184</v>
      </c>
      <c r="C110" s="10" t="s">
        <v>185</v>
      </c>
      <c r="D110" s="10" t="s">
        <v>51</v>
      </c>
      <c r="E110" s="6">
        <v>8.75</v>
      </c>
      <c r="F110" s="17">
        <v>9.9499999999999993</v>
      </c>
      <c r="G110" s="6">
        <v>10.95</v>
      </c>
      <c r="H110" s="16">
        <v>8.9499999999999993</v>
      </c>
      <c r="I110" s="6">
        <v>12</v>
      </c>
      <c r="J110" s="17">
        <v>9.9499999999999993</v>
      </c>
      <c r="K110" s="6">
        <v>12.25</v>
      </c>
      <c r="L110" s="17">
        <v>11.99</v>
      </c>
      <c r="M110" s="6">
        <v>11</v>
      </c>
      <c r="N110" s="17">
        <v>13.99</v>
      </c>
      <c r="O110" s="6">
        <v>11.95</v>
      </c>
      <c r="P110" s="17">
        <v>11.99</v>
      </c>
      <c r="Q110" s="6">
        <v>9.9499999999999993</v>
      </c>
      <c r="R110" s="17">
        <v>11.99</v>
      </c>
    </row>
    <row r="111" spans="1:18" x14ac:dyDescent="0.35">
      <c r="A111" s="1">
        <v>108</v>
      </c>
      <c r="B111" s="1" t="s">
        <v>186</v>
      </c>
      <c r="C111" s="10" t="s">
        <v>185</v>
      </c>
      <c r="D111" s="10" t="s">
        <v>51</v>
      </c>
      <c r="E111" s="6">
        <v>11.95</v>
      </c>
      <c r="F111" s="6">
        <v>9.9499999999999993</v>
      </c>
      <c r="G111" s="6">
        <v>10.95</v>
      </c>
      <c r="H111" s="6">
        <v>12.95</v>
      </c>
      <c r="I111" s="6">
        <v>12</v>
      </c>
      <c r="J111" s="6">
        <v>13.95</v>
      </c>
      <c r="K111" s="6">
        <v>12.75</v>
      </c>
      <c r="L111" s="6">
        <v>12.99</v>
      </c>
      <c r="M111" s="6">
        <v>11</v>
      </c>
      <c r="N111" s="6">
        <v>13.99</v>
      </c>
      <c r="O111" s="6">
        <v>12.95</v>
      </c>
      <c r="P111" s="6">
        <v>12.99</v>
      </c>
      <c r="Q111" s="6">
        <v>12.95</v>
      </c>
      <c r="R111" s="6">
        <v>12.99</v>
      </c>
    </row>
    <row r="112" spans="1:18" x14ac:dyDescent="0.35">
      <c r="A112" s="1">
        <v>109</v>
      </c>
      <c r="B112" s="1" t="s">
        <v>187</v>
      </c>
      <c r="C112" s="10" t="s">
        <v>188</v>
      </c>
      <c r="D112" s="10" t="s">
        <v>189</v>
      </c>
      <c r="E112" s="6">
        <v>12.25</v>
      </c>
      <c r="F112" s="6">
        <v>10.95</v>
      </c>
      <c r="G112" s="6">
        <v>10.95</v>
      </c>
      <c r="H112" s="6">
        <v>11.5</v>
      </c>
      <c r="I112" s="6">
        <v>13.95</v>
      </c>
      <c r="J112" s="6">
        <v>13.95</v>
      </c>
      <c r="K112" s="6">
        <v>11.99</v>
      </c>
      <c r="L112" s="6">
        <v>11.99</v>
      </c>
      <c r="M112" s="6">
        <v>13</v>
      </c>
      <c r="N112" s="6"/>
      <c r="O112" s="6">
        <v>11.95</v>
      </c>
      <c r="P112" s="6">
        <v>11.99</v>
      </c>
      <c r="Q112" s="6">
        <v>11.95</v>
      </c>
      <c r="R112" s="6">
        <v>11.99</v>
      </c>
    </row>
    <row r="113" spans="1:18" x14ac:dyDescent="0.35">
      <c r="A113" s="1">
        <v>110</v>
      </c>
      <c r="B113" s="1" t="s">
        <v>187</v>
      </c>
      <c r="C113" s="10" t="s">
        <v>190</v>
      </c>
      <c r="D113" s="10" t="s">
        <v>191</v>
      </c>
      <c r="E113" s="6">
        <v>11</v>
      </c>
      <c r="F113" s="6">
        <v>11.95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x14ac:dyDescent="0.35">
      <c r="A114" s="1">
        <v>111</v>
      </c>
      <c r="B114" s="1" t="s">
        <v>192</v>
      </c>
      <c r="C114" s="10" t="s">
        <v>188</v>
      </c>
      <c r="D114" s="10" t="s">
        <v>189</v>
      </c>
      <c r="E114" s="6">
        <v>12.25</v>
      </c>
      <c r="F114" s="6">
        <v>10.95</v>
      </c>
      <c r="G114" s="6">
        <v>10.95</v>
      </c>
      <c r="H114" s="6">
        <v>11.5</v>
      </c>
      <c r="I114" s="6">
        <v>13.95</v>
      </c>
      <c r="J114" s="6">
        <v>13.95</v>
      </c>
      <c r="K114" s="6">
        <v>11.95</v>
      </c>
      <c r="L114" s="6">
        <v>11.99</v>
      </c>
      <c r="M114" s="6"/>
      <c r="N114" s="6">
        <v>11.99</v>
      </c>
      <c r="O114" s="6">
        <v>11.95</v>
      </c>
      <c r="P114" s="6">
        <v>11.99</v>
      </c>
      <c r="Q114" s="6">
        <v>11.95</v>
      </c>
      <c r="R114" s="6">
        <v>11.99</v>
      </c>
    </row>
    <row r="115" spans="1:18" x14ac:dyDescent="0.35">
      <c r="A115" s="1">
        <v>112</v>
      </c>
      <c r="B115" s="1" t="s">
        <v>193</v>
      </c>
      <c r="C115" s="10" t="s">
        <v>182</v>
      </c>
      <c r="D115" s="10" t="s">
        <v>125</v>
      </c>
      <c r="E115" s="6">
        <v>19.5</v>
      </c>
      <c r="F115" s="6">
        <v>19.95</v>
      </c>
      <c r="G115" s="6"/>
      <c r="H115" s="6"/>
      <c r="I115" s="6">
        <v>19.5</v>
      </c>
      <c r="J115" s="6">
        <v>21.95</v>
      </c>
      <c r="K115" s="6">
        <v>20.5</v>
      </c>
      <c r="L115" s="6">
        <v>19.989999999999998</v>
      </c>
      <c r="M115" s="6">
        <v>19.95</v>
      </c>
      <c r="N115" s="6">
        <v>19.989999999999998</v>
      </c>
      <c r="O115" s="6">
        <v>16.95</v>
      </c>
      <c r="P115" s="6">
        <v>20.99</v>
      </c>
      <c r="Q115" s="6">
        <v>18.95</v>
      </c>
      <c r="R115" s="6">
        <v>20.99</v>
      </c>
    </row>
    <row r="116" spans="1:18" x14ac:dyDescent="0.35">
      <c r="A116" s="1">
        <v>113</v>
      </c>
      <c r="B116" s="1" t="s">
        <v>194</v>
      </c>
      <c r="C116" s="10" t="s">
        <v>195</v>
      </c>
      <c r="D116" s="10" t="s">
        <v>196</v>
      </c>
      <c r="E116" s="6"/>
      <c r="F116" s="6"/>
      <c r="G116" s="6">
        <v>19.95</v>
      </c>
      <c r="H116" s="6"/>
      <c r="I116" s="6"/>
      <c r="J116" s="6"/>
      <c r="K116" s="6"/>
      <c r="L116" s="6"/>
      <c r="M116" s="6"/>
      <c r="N116" s="6">
        <v>12.99</v>
      </c>
      <c r="O116" s="6"/>
      <c r="P116" s="6"/>
      <c r="Q116" s="6"/>
      <c r="R116" s="6"/>
    </row>
    <row r="117" spans="1:18" x14ac:dyDescent="0.35">
      <c r="A117" s="1">
        <v>114</v>
      </c>
      <c r="B117" s="1" t="s">
        <v>197</v>
      </c>
      <c r="C117" s="10" t="s">
        <v>68</v>
      </c>
      <c r="D117" s="10" t="s">
        <v>196</v>
      </c>
      <c r="E117" s="6">
        <v>15.5</v>
      </c>
      <c r="F117" s="6">
        <v>16.95</v>
      </c>
      <c r="G117" s="6">
        <v>17.5</v>
      </c>
      <c r="H117" s="6"/>
      <c r="I117" s="6">
        <v>16.95</v>
      </c>
      <c r="J117" s="6">
        <v>20.95</v>
      </c>
      <c r="K117" s="6">
        <v>16.95</v>
      </c>
      <c r="L117" s="6">
        <v>16.989999999999998</v>
      </c>
      <c r="M117" s="6"/>
      <c r="N117" s="6"/>
      <c r="O117" s="6"/>
      <c r="P117" s="6"/>
      <c r="Q117" s="6"/>
      <c r="R117" s="6"/>
    </row>
    <row r="118" spans="1:18" x14ac:dyDescent="0.35">
      <c r="A118" s="1">
        <v>115</v>
      </c>
      <c r="B118" s="1" t="s">
        <v>197</v>
      </c>
      <c r="C118" s="10" t="s">
        <v>80</v>
      </c>
      <c r="D118" s="10" t="s">
        <v>198</v>
      </c>
      <c r="E118" s="6"/>
      <c r="F118" s="6">
        <v>53.95</v>
      </c>
      <c r="G118" s="6">
        <v>54.5</v>
      </c>
      <c r="H118" s="6">
        <v>59.95</v>
      </c>
      <c r="I118" s="6">
        <v>63.9</v>
      </c>
      <c r="J118" s="6">
        <v>59.95</v>
      </c>
      <c r="K118" s="6"/>
      <c r="L118" s="6">
        <v>64.989999999999995</v>
      </c>
      <c r="M118" s="6"/>
      <c r="N118" s="6"/>
      <c r="O118" s="6">
        <v>49.95</v>
      </c>
      <c r="P118" s="6"/>
      <c r="Q118" s="6"/>
      <c r="R118" s="6"/>
    </row>
    <row r="119" spans="1:18" x14ac:dyDescent="0.35">
      <c r="A119" s="1">
        <v>116</v>
      </c>
      <c r="B119" s="1" t="s">
        <v>199</v>
      </c>
      <c r="C119" s="10" t="s">
        <v>200</v>
      </c>
      <c r="D119" s="10" t="s">
        <v>196</v>
      </c>
      <c r="E119" s="6">
        <v>34.950000000000003</v>
      </c>
      <c r="F119" s="6">
        <v>34.950000000000003</v>
      </c>
      <c r="G119" s="6">
        <v>37.950000000000003</v>
      </c>
      <c r="H119" s="6">
        <v>37.950000000000003</v>
      </c>
      <c r="I119" s="6">
        <v>39</v>
      </c>
      <c r="J119" s="6">
        <v>42.95</v>
      </c>
      <c r="K119" s="6">
        <v>37.5</v>
      </c>
      <c r="L119" s="6">
        <v>37.99</v>
      </c>
      <c r="M119" s="6"/>
      <c r="N119" s="6">
        <v>37.99</v>
      </c>
      <c r="O119" s="6"/>
      <c r="P119" s="6">
        <v>37.99</v>
      </c>
      <c r="Q119" s="6">
        <v>36.950000000000003</v>
      </c>
      <c r="R119" s="6"/>
    </row>
    <row r="120" spans="1:18" x14ac:dyDescent="0.35">
      <c r="A120" s="1">
        <v>117</v>
      </c>
      <c r="B120" s="1" t="s">
        <v>201</v>
      </c>
      <c r="C120" s="10" t="s">
        <v>202</v>
      </c>
      <c r="D120" s="10" t="s">
        <v>51</v>
      </c>
      <c r="E120" s="6">
        <v>113.75</v>
      </c>
      <c r="F120" s="6">
        <v>99.95</v>
      </c>
      <c r="G120" s="6">
        <v>119.75</v>
      </c>
      <c r="H120" s="6">
        <v>99.95</v>
      </c>
      <c r="I120" s="6"/>
      <c r="J120" s="6">
        <v>99.95</v>
      </c>
      <c r="K120" s="6">
        <v>107.6</v>
      </c>
      <c r="L120" s="6">
        <v>99.99</v>
      </c>
      <c r="M120" s="6"/>
      <c r="N120" s="6"/>
      <c r="O120" s="6"/>
      <c r="P120" s="6"/>
      <c r="Q120" s="6">
        <v>89.95</v>
      </c>
      <c r="R120" s="6"/>
    </row>
    <row r="121" spans="1:18" x14ac:dyDescent="0.35">
      <c r="A121" s="1">
        <v>118</v>
      </c>
      <c r="B121" s="1" t="s">
        <v>203</v>
      </c>
      <c r="C121" s="10" t="s">
        <v>204</v>
      </c>
      <c r="D121" s="10" t="s">
        <v>205</v>
      </c>
      <c r="E121" s="6"/>
      <c r="F121" s="6">
        <v>12.95</v>
      </c>
      <c r="G121" s="24"/>
      <c r="H121" s="24"/>
      <c r="I121" s="6">
        <v>13</v>
      </c>
      <c r="J121" s="6">
        <v>13</v>
      </c>
      <c r="K121" s="6">
        <v>12.95</v>
      </c>
      <c r="L121" s="6">
        <v>13</v>
      </c>
      <c r="M121" s="6">
        <v>13</v>
      </c>
      <c r="N121" s="6"/>
      <c r="O121" s="6"/>
      <c r="P121" s="6">
        <v>12.99</v>
      </c>
      <c r="Q121" s="6">
        <v>12.95</v>
      </c>
      <c r="R121" s="6">
        <v>12.99</v>
      </c>
    </row>
    <row r="122" spans="1:18" x14ac:dyDescent="0.35">
      <c r="A122" s="1">
        <v>119</v>
      </c>
      <c r="B122" s="1" t="s">
        <v>203</v>
      </c>
      <c r="C122" s="10" t="s">
        <v>204</v>
      </c>
      <c r="D122" s="10" t="s">
        <v>206</v>
      </c>
      <c r="E122" s="6">
        <v>26</v>
      </c>
      <c r="F122" s="6"/>
      <c r="G122" s="6">
        <v>26</v>
      </c>
      <c r="H122" s="6">
        <v>26</v>
      </c>
      <c r="I122" s="6">
        <v>26</v>
      </c>
      <c r="J122" s="6">
        <v>25.95</v>
      </c>
      <c r="K122" s="6">
        <v>25.99</v>
      </c>
      <c r="L122" s="6">
        <v>25.99</v>
      </c>
      <c r="M122" s="6">
        <v>26</v>
      </c>
      <c r="N122" s="6">
        <v>23.99</v>
      </c>
      <c r="O122" s="6">
        <v>26</v>
      </c>
      <c r="P122" s="6">
        <v>25.99</v>
      </c>
      <c r="Q122" s="6"/>
      <c r="R122" s="6">
        <v>25.99</v>
      </c>
    </row>
    <row r="123" spans="1:18" x14ac:dyDescent="0.35">
      <c r="A123" s="1">
        <v>120</v>
      </c>
      <c r="B123" s="1" t="s">
        <v>207</v>
      </c>
      <c r="C123" s="10" t="s">
        <v>204</v>
      </c>
      <c r="D123" s="10" t="s">
        <v>205</v>
      </c>
      <c r="E123" s="6">
        <v>16.95</v>
      </c>
      <c r="F123" s="6">
        <v>16.95</v>
      </c>
      <c r="G123" s="24">
        <v>17</v>
      </c>
      <c r="H123" s="6">
        <v>17.95</v>
      </c>
      <c r="I123" s="6">
        <v>17</v>
      </c>
      <c r="J123" s="6">
        <v>17</v>
      </c>
      <c r="K123" s="6">
        <v>16.989999999999998</v>
      </c>
      <c r="L123" s="6">
        <v>17.989999999999998</v>
      </c>
      <c r="M123" s="6">
        <v>17</v>
      </c>
      <c r="N123" s="6">
        <v>16.989999999999998</v>
      </c>
      <c r="O123" s="6">
        <v>16.95</v>
      </c>
      <c r="P123" s="6">
        <v>16.989999999999998</v>
      </c>
      <c r="Q123" s="6">
        <v>16.95</v>
      </c>
      <c r="R123" s="6">
        <v>16.989999999999998</v>
      </c>
    </row>
    <row r="124" spans="1:18" x14ac:dyDescent="0.35">
      <c r="A124" s="1">
        <v>121</v>
      </c>
      <c r="B124" s="1" t="s">
        <v>207</v>
      </c>
      <c r="C124" s="10" t="s">
        <v>204</v>
      </c>
      <c r="D124" s="10" t="s">
        <v>208</v>
      </c>
      <c r="E124" s="6">
        <v>30</v>
      </c>
      <c r="F124" s="6">
        <v>29.95</v>
      </c>
      <c r="G124" s="6">
        <v>28.95</v>
      </c>
      <c r="H124" s="6"/>
      <c r="I124" s="6">
        <v>30</v>
      </c>
      <c r="J124" s="6">
        <v>30</v>
      </c>
      <c r="K124" s="6">
        <v>29.99</v>
      </c>
      <c r="L124" s="6">
        <v>30.99</v>
      </c>
      <c r="M124" s="6">
        <v>32</v>
      </c>
      <c r="N124" s="6"/>
      <c r="O124" s="6">
        <v>29.95</v>
      </c>
      <c r="P124" s="6">
        <v>29.99</v>
      </c>
      <c r="Q124" s="6">
        <v>29.95</v>
      </c>
      <c r="R124" s="6">
        <v>30.99</v>
      </c>
    </row>
    <row r="125" spans="1:18" x14ac:dyDescent="0.35">
      <c r="A125" s="1">
        <v>122</v>
      </c>
      <c r="B125" s="1" t="s">
        <v>209</v>
      </c>
      <c r="C125" s="10" t="s">
        <v>210</v>
      </c>
      <c r="D125" s="10" t="s">
        <v>15</v>
      </c>
      <c r="E125" s="6"/>
      <c r="F125" s="6">
        <v>18.95</v>
      </c>
      <c r="G125" s="6"/>
      <c r="H125" s="6"/>
      <c r="I125" s="6">
        <v>19.75</v>
      </c>
      <c r="J125" s="6"/>
      <c r="K125" s="6">
        <v>18.95</v>
      </c>
      <c r="L125" s="6"/>
      <c r="M125" s="6"/>
      <c r="N125" s="6">
        <v>18.989999999999998</v>
      </c>
      <c r="O125" s="6"/>
      <c r="P125" s="6"/>
      <c r="Q125" s="6">
        <v>18.95</v>
      </c>
      <c r="R125" s="6">
        <v>18.989999999999998</v>
      </c>
    </row>
    <row r="126" spans="1:18" x14ac:dyDescent="0.35">
      <c r="A126" s="1">
        <v>123</v>
      </c>
      <c r="B126" s="1" t="s">
        <v>209</v>
      </c>
      <c r="C126" s="10" t="s">
        <v>211</v>
      </c>
      <c r="D126" s="10" t="s">
        <v>212</v>
      </c>
      <c r="E126" s="8">
        <v>11.75</v>
      </c>
      <c r="F126" s="8">
        <v>10.75</v>
      </c>
      <c r="G126" s="8"/>
      <c r="H126" s="8"/>
      <c r="I126" s="8">
        <v>9</v>
      </c>
      <c r="J126" s="8">
        <v>12.95</v>
      </c>
      <c r="K126" s="8">
        <v>10.25</v>
      </c>
      <c r="L126" s="8">
        <v>11.99</v>
      </c>
      <c r="M126" s="8"/>
      <c r="N126" s="8">
        <v>11</v>
      </c>
      <c r="O126" s="8">
        <v>11.95</v>
      </c>
      <c r="P126" s="8">
        <v>11.95</v>
      </c>
      <c r="Q126" s="8"/>
      <c r="R126" s="8"/>
    </row>
    <row r="127" spans="1:18" x14ac:dyDescent="0.35">
      <c r="A127" s="1">
        <v>124</v>
      </c>
      <c r="B127" s="1" t="s">
        <v>213</v>
      </c>
      <c r="C127" s="10" t="s">
        <v>214</v>
      </c>
      <c r="D127" s="10" t="s">
        <v>215</v>
      </c>
      <c r="E127" s="6"/>
      <c r="F127" s="6">
        <v>7.95</v>
      </c>
      <c r="G127" s="6">
        <v>6.95</v>
      </c>
      <c r="H127" s="6">
        <v>6.95</v>
      </c>
      <c r="I127" s="6">
        <v>7.95</v>
      </c>
      <c r="J127" s="6">
        <v>7.95</v>
      </c>
      <c r="K127" s="15">
        <v>6.99</v>
      </c>
      <c r="L127" s="6">
        <v>7.99</v>
      </c>
      <c r="M127" s="6">
        <v>6.95</v>
      </c>
      <c r="N127" s="6"/>
      <c r="O127" s="6">
        <v>8.9499999999999993</v>
      </c>
      <c r="P127" s="6">
        <v>7.99</v>
      </c>
      <c r="Q127" s="6">
        <v>8.9499999999999993</v>
      </c>
      <c r="R127" s="6">
        <v>7.99</v>
      </c>
    </row>
    <row r="128" spans="1:18" x14ac:dyDescent="0.35">
      <c r="A128" s="1">
        <v>125</v>
      </c>
      <c r="B128" s="1" t="s">
        <v>216</v>
      </c>
      <c r="C128" s="10" t="s">
        <v>214</v>
      </c>
      <c r="D128" s="10" t="s">
        <v>215</v>
      </c>
      <c r="E128" s="6"/>
      <c r="F128" s="6">
        <v>6.95</v>
      </c>
      <c r="G128" s="6"/>
      <c r="H128" s="6">
        <v>9.9499999999999993</v>
      </c>
      <c r="I128" s="6">
        <v>6.95</v>
      </c>
      <c r="J128" s="6">
        <v>7.95</v>
      </c>
      <c r="K128" s="6">
        <v>6.99</v>
      </c>
      <c r="L128" s="6">
        <v>6.99</v>
      </c>
      <c r="M128" s="6">
        <v>6.95</v>
      </c>
      <c r="N128" s="6">
        <v>6.9</v>
      </c>
      <c r="O128" s="6">
        <v>7.95</v>
      </c>
      <c r="P128" s="6">
        <v>6.99</v>
      </c>
      <c r="Q128" s="6">
        <v>6.95</v>
      </c>
      <c r="R128" s="6">
        <v>6.99</v>
      </c>
    </row>
    <row r="129" spans="1:18" x14ac:dyDescent="0.35">
      <c r="A129" s="1">
        <v>126</v>
      </c>
      <c r="B129" s="1" t="s">
        <v>217</v>
      </c>
      <c r="C129" s="10" t="s">
        <v>214</v>
      </c>
      <c r="D129" s="10" t="s">
        <v>215</v>
      </c>
      <c r="E129" s="6"/>
      <c r="F129" s="6">
        <v>9.9499999999999993</v>
      </c>
      <c r="G129" s="6">
        <v>9.75</v>
      </c>
      <c r="H129" s="6">
        <v>10.95</v>
      </c>
      <c r="I129" s="6">
        <v>10.65</v>
      </c>
      <c r="J129" s="6">
        <v>10.95</v>
      </c>
      <c r="K129" s="6"/>
      <c r="L129" s="6">
        <v>10.99</v>
      </c>
      <c r="M129" s="6">
        <v>10.95</v>
      </c>
      <c r="N129" s="6"/>
      <c r="O129" s="6">
        <v>11.95</v>
      </c>
      <c r="P129" s="6">
        <v>10.99</v>
      </c>
      <c r="Q129" s="6">
        <v>9.9499999999999993</v>
      </c>
      <c r="R129" s="6"/>
    </row>
    <row r="130" spans="1:18" x14ac:dyDescent="0.35">
      <c r="A130" s="1">
        <v>127</v>
      </c>
      <c r="B130" s="1" t="s">
        <v>218</v>
      </c>
      <c r="C130" s="10" t="s">
        <v>214</v>
      </c>
      <c r="D130" s="10" t="s">
        <v>215</v>
      </c>
      <c r="E130" s="6"/>
      <c r="F130" s="6">
        <v>6.95</v>
      </c>
      <c r="G130" s="6">
        <v>6.75</v>
      </c>
      <c r="H130" s="6"/>
      <c r="I130" s="6"/>
      <c r="J130" s="6">
        <v>7.95</v>
      </c>
      <c r="K130" s="6">
        <v>10.7</v>
      </c>
      <c r="L130" s="6">
        <v>6.99</v>
      </c>
      <c r="M130" s="6">
        <v>8.5</v>
      </c>
      <c r="N130" s="6"/>
      <c r="O130" s="6">
        <v>7.95</v>
      </c>
      <c r="P130" s="6"/>
      <c r="Q130" s="6">
        <v>6.95</v>
      </c>
      <c r="R130" s="6"/>
    </row>
    <row r="131" spans="1:18" x14ac:dyDescent="0.35">
      <c r="A131" s="10">
        <v>128</v>
      </c>
      <c r="B131" s="1" t="s">
        <v>219</v>
      </c>
      <c r="C131" s="10" t="s">
        <v>214</v>
      </c>
      <c r="D131" s="10" t="s">
        <v>215</v>
      </c>
      <c r="E131" s="6"/>
      <c r="F131" s="6">
        <v>7.95</v>
      </c>
      <c r="G131" s="6">
        <v>9.5</v>
      </c>
      <c r="H131" s="6">
        <v>8.9499999999999993</v>
      </c>
      <c r="I131" s="6">
        <v>8.25</v>
      </c>
      <c r="J131" s="6">
        <v>8.9499999999999993</v>
      </c>
      <c r="K131" s="6">
        <v>8.1999999999999993</v>
      </c>
      <c r="L131" s="6">
        <v>10.99</v>
      </c>
      <c r="M131" s="6">
        <v>8.9499999999999993</v>
      </c>
      <c r="N131" s="6">
        <v>8.99</v>
      </c>
      <c r="O131" s="6"/>
      <c r="P131" s="6"/>
      <c r="Q131" s="6"/>
      <c r="R131" s="6">
        <v>8.99</v>
      </c>
    </row>
    <row r="132" spans="1:18" x14ac:dyDescent="0.35">
      <c r="A132" s="10">
        <v>129</v>
      </c>
      <c r="B132" s="1" t="s">
        <v>220</v>
      </c>
      <c r="C132" s="10" t="s">
        <v>182</v>
      </c>
      <c r="D132" s="10" t="s">
        <v>183</v>
      </c>
      <c r="E132" s="6">
        <v>11</v>
      </c>
      <c r="F132" s="6">
        <v>10.95</v>
      </c>
      <c r="G132" s="6">
        <v>11.95</v>
      </c>
      <c r="H132" s="6">
        <v>11.95</v>
      </c>
      <c r="I132" s="6">
        <v>11.95</v>
      </c>
      <c r="J132" s="6">
        <v>10.95</v>
      </c>
      <c r="K132" s="6">
        <v>11.25</v>
      </c>
      <c r="L132" s="6">
        <v>12.99</v>
      </c>
      <c r="M132" s="6">
        <v>11.95</v>
      </c>
      <c r="N132" s="6"/>
      <c r="O132" s="6">
        <v>11.95</v>
      </c>
      <c r="P132" s="6">
        <v>12.99</v>
      </c>
      <c r="Q132" s="6">
        <v>10.95</v>
      </c>
      <c r="R132" s="6">
        <v>12.99</v>
      </c>
    </row>
    <row r="133" spans="1:18" x14ac:dyDescent="0.35">
      <c r="A133" s="10">
        <v>130</v>
      </c>
      <c r="B133" s="1" t="s">
        <v>221</v>
      </c>
      <c r="C133" s="10" t="s">
        <v>70</v>
      </c>
      <c r="D133" s="10" t="s">
        <v>183</v>
      </c>
      <c r="E133" s="6">
        <v>9.5</v>
      </c>
      <c r="F133" s="6">
        <v>9.5</v>
      </c>
      <c r="G133" s="6">
        <v>8.25</v>
      </c>
      <c r="H133" s="6">
        <v>9.5</v>
      </c>
      <c r="I133" s="6"/>
      <c r="J133" s="6"/>
      <c r="K133" s="6">
        <v>9.5</v>
      </c>
      <c r="L133" s="6">
        <v>9.99</v>
      </c>
      <c r="M133" s="6">
        <v>7.5</v>
      </c>
      <c r="N133" s="6">
        <v>9.99</v>
      </c>
      <c r="O133" s="6"/>
      <c r="P133" s="6"/>
      <c r="Q133" s="6">
        <v>10.95</v>
      </c>
      <c r="R133" s="6">
        <v>9.99</v>
      </c>
    </row>
    <row r="134" spans="1:18" x14ac:dyDescent="0.35">
      <c r="A134" s="10">
        <v>131</v>
      </c>
      <c r="B134" s="1" t="s">
        <v>222</v>
      </c>
      <c r="C134" s="10" t="s">
        <v>70</v>
      </c>
      <c r="D134" s="10" t="s">
        <v>223</v>
      </c>
      <c r="E134" s="6"/>
      <c r="F134" s="6"/>
      <c r="G134" s="6"/>
      <c r="H134" s="6"/>
      <c r="I134" s="6">
        <v>9.9499999999999993</v>
      </c>
      <c r="J134" s="6"/>
      <c r="K134" s="6"/>
      <c r="L134" s="6"/>
      <c r="M134" s="6"/>
      <c r="N134" s="6"/>
      <c r="O134" s="6"/>
      <c r="P134" s="6"/>
      <c r="Q134" s="6"/>
      <c r="R134" s="6"/>
    </row>
    <row r="135" spans="1:18" x14ac:dyDescent="0.35">
      <c r="A135" s="10">
        <v>132</v>
      </c>
      <c r="B135" s="1" t="s">
        <v>224</v>
      </c>
      <c r="C135" s="10" t="s">
        <v>182</v>
      </c>
      <c r="D135" s="10" t="s">
        <v>225</v>
      </c>
      <c r="E135" s="6">
        <v>12.75</v>
      </c>
      <c r="F135" s="6">
        <v>12.75</v>
      </c>
      <c r="G135" s="6">
        <v>12.5</v>
      </c>
      <c r="H135" s="6">
        <v>13.95</v>
      </c>
      <c r="I135" s="6">
        <v>13.25</v>
      </c>
      <c r="J135" s="6">
        <v>12.95</v>
      </c>
      <c r="K135" s="6">
        <v>13.25</v>
      </c>
      <c r="L135" s="6">
        <v>13.99</v>
      </c>
      <c r="M135" s="6">
        <v>13.95</v>
      </c>
      <c r="N135" s="6">
        <v>13.99</v>
      </c>
      <c r="O135" s="6">
        <v>11.95</v>
      </c>
      <c r="P135" s="6">
        <v>13.99</v>
      </c>
      <c r="Q135" s="6">
        <v>13.95</v>
      </c>
      <c r="R135" s="6"/>
    </row>
  </sheetData>
  <mergeCells count="9">
    <mergeCell ref="E1:L1"/>
    <mergeCell ref="M1:R1"/>
    <mergeCell ref="E2:F2"/>
    <mergeCell ref="G2:H2"/>
    <mergeCell ref="I2:J2"/>
    <mergeCell ref="K2:L2"/>
    <mergeCell ref="M2:N2"/>
    <mergeCell ref="O2:P2"/>
    <mergeCell ref="Q2:R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A7DE7A8CFA5A4388034C98E0520BF1" ma:contentTypeVersion="0" ma:contentTypeDescription="Create a new document." ma:contentTypeScope="" ma:versionID="fe6d12ee97d4043a2a35a496d012b8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13A295-779A-4522-BF06-2A3B3365E899}">
  <ds:schemaRefs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8CF4D44-513E-45F0-A443-430892510A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D217C91-0FF8-45E4-9649-0A919EEFD8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West</vt:lpstr>
      <vt:lpstr>North </vt:lpstr>
      <vt:lpstr>East </vt:lpstr>
      <vt:lpstr>Central </vt:lpstr>
      <vt:lpstr>South </vt:lpstr>
      <vt:lpstr>Tobago</vt:lpstr>
      <vt:lpstr>Sheet1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Darren Medina</cp:lastModifiedBy>
  <dcterms:created xsi:type="dcterms:W3CDTF">2016-03-02T12:33:08Z</dcterms:created>
  <dcterms:modified xsi:type="dcterms:W3CDTF">2022-09-21T19:49:26Z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0x01010008A7DE7A8CFA5A4388034C98E0520BF1</vt:lpwstr>
  </property>
</Properties>
</file>